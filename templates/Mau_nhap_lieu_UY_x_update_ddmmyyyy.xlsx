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Policy" sheetId="2" state="visible" r:id="rId4"/>
    <sheet name="Risk" sheetId="3" state="visible" r:id="rId5"/>
    <sheet name="Premium" sheetId="4" state="visible" r:id="rId6"/>
    <sheet name="Claim" sheetId="5" state="visible" r:id="rId7"/>
    <sheet name="Installment" sheetId="6" state="visible" r:id="rId8"/>
    <sheet name="Danh mục" sheetId="7" state="visible" r:id="rId9"/>
  </sheets>
  <definedNames>
    <definedName function="false" hidden="true" localSheetId="4" name="_xlnm._FilterDatabase" vbProcedure="false">Claim!$A$1:$Z$301</definedName>
    <definedName function="false" hidden="true" localSheetId="5" name="_xlnm._FilterDatabase" vbProcedure="false">Installment!$A$1:$BZ$301</definedName>
    <definedName function="false" hidden="true" localSheetId="1" name="_xlnm._FilterDatabase" vbProcedure="false">Policy!$A$1:$Y$301</definedName>
    <definedName function="false" hidden="true" localSheetId="3" name="_xlnm._FilterDatabase" vbProcedure="false">Premium!$A$1:$W$301</definedName>
    <definedName function="false" hidden="true" localSheetId="2" name="_xlnm._FilterDatabase" vbProcedure="false">Risk!$A$1:$O$301</definedName>
    <definedName function="false" hidden="false" name="Hull" vbProcedure="false">'Danh mục'!$L$2:$L$39</definedName>
    <definedName function="false" hidden="false" name="Liability" vbProcedure="false">'Danh mục'!$M$2:$M$37</definedName>
    <definedName function="false" hidden="false" name="L_Broker" vbProcedure="false">'Danh mục'!$B$2:$B$45</definedName>
    <definedName function="false" hidden="false" name="L_Category" vbProcedure="false">'Danh mục'!$H$2:$H$33</definedName>
    <definedName function="false" hidden="false" name="L_Channel" vbProcedure="false">'Danh mục'!$D$2:$D$34</definedName>
    <definedName function="false" hidden="false" name="L_ClaimStatus" vbProcedure="false">'Danh mục'!$O$2:$O$34</definedName>
    <definedName function="false" hidden="false" name="L_Coverage" vbProcedure="false">'Danh mục'!$N$2:$N$33</definedName>
    <definedName function="false" hidden="false" name="L_Flying" vbProcedure="false">'Danh mục'!$I$2:$I$33</definedName>
    <definedName function="false" hidden="false" name="L_InstPaid" vbProcedure="false">'Danh mục'!$Q$2:$Q$33</definedName>
    <definedName function="false" hidden="false" name="L_Leader" vbProcedure="false">'Danh mục'!$E$2:$E$46</definedName>
    <definedName function="false" hidden="false" name="L_PaidStatus" vbProcedure="false">'Danh mục'!$P$2:$P$34</definedName>
    <definedName function="false" hidden="false" name="L_PremStatus" vbProcedure="false">'Danh mục'!$K$2:$K$34</definedName>
    <definedName function="false" hidden="false" name="L_Region" vbProcedure="false">'Danh mục'!$C$2:$C$36</definedName>
    <definedName function="false" hidden="false" name="L_RiskType" vbProcedure="false">'Danh mục'!$F$2:$F$35</definedName>
    <definedName function="false" hidden="false" name="L_Source" vbProcedure="false">'Danh mục'!$J$2:$J$33</definedName>
    <definedName function="false" hidden="false" name="L_Status" vbProcedure="false">'Danh mục'!$A$2:$A$35</definedName>
    <definedName function="false" hidden="false" name="L_Type" vbProcedure="false">'Danh mục'!$G$2:$G$35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Mã MRO của broker. Bắt buộc.</t>
        </r>
      </text>
    </comment>
    <comment ref="D1" authorId="0">
      <text>
        <r>
          <rPr>
            <sz val="10"/>
            <rFont val="Arial"/>
            <family val="2"/>
          </rPr>
          <t xml:space="preserve">Số tham chiếu PVI – DUY NHẤT cho mỗi dòng. Bắt buộc.</t>
        </r>
      </text>
    </comment>
    <comment ref="K1" authorId="0">
      <text>
        <r>
          <rPr>
            <sz val="10"/>
            <rFont val="Arial"/>
            <family val="2"/>
          </rPr>
          <t xml:space="preserve">Ngày bind – không được sau ngày hiệu lực, trừ khi có xác nhận không tổn thất (NKLL).</t>
        </r>
      </text>
    </comment>
    <comment ref="L1" authorId="0">
      <text>
        <r>
          <rPr>
            <sz val="10"/>
            <rFont val="Arial"/>
            <family val="2"/>
          </rPr>
          <t xml:space="preserve">Ngày hiệu lực. Bắt buộc.</t>
        </r>
      </text>
    </comment>
    <comment ref="M1" authorId="0">
      <text>
        <r>
          <rPr>
            <sz val="10"/>
            <rFont val="Arial"/>
            <family val="2"/>
          </rPr>
          <t xml:space="preserve">Ngày hết hạn – phải sau ngày hiệu lực. Bắt buộc.</t>
        </r>
      </text>
    </comment>
    <comment ref="N1" authorId="0">
      <text>
        <r>
          <rPr>
            <sz val="10"/>
            <rFont val="Arial"/>
            <family val="2"/>
          </rPr>
          <t xml:space="preserve">Công thức – không nhập.</t>
        </r>
      </text>
    </comment>
    <comment ref="O1" authorId="0">
      <text>
        <r>
          <rPr>
            <sz val="10"/>
            <rFont val="Arial"/>
            <family val="2"/>
          </rPr>
          <t xml:space="preserve">Công thức – không nhập.</t>
        </r>
      </text>
    </comment>
    <comment ref="V1" authorId="0">
      <text>
        <r>
          <rPr>
            <sz val="10"/>
            <rFont val="Arial"/>
            <family val="2"/>
          </rPr>
          <t xml:space="preserve">Số tham chiếu PVI của hợp đồng năm trước (nếu là tái tục). Dùng để tính tỷ lệ tái tục chính xác.</t>
        </r>
      </text>
    </comment>
    <comment ref="W1" authorId="0">
      <text>
        <r>
          <rPr>
            <sz val="10"/>
            <rFont val="Arial"/>
            <family val="2"/>
          </rPr>
          <t xml:space="preserve">Chỉ điền cho dòng sửa đổi bổ sung (AP/RP): số tham chiếu PVI của hợp đồng gốc.</t>
        </r>
      </text>
    </comment>
    <comment ref="X1" authorId="0">
      <text>
        <r>
          <rPr>
            <sz val="10"/>
            <rFont val="Arial"/>
            <family val="2"/>
          </rPr>
          <t xml:space="preserve">Major PVI (PVI tự khai thác) hoặc Non-major Alif.</t>
        </r>
      </text>
    </comment>
    <comment ref="Y1" authorId="0">
      <text>
        <r>
          <rPr>
            <sz val="10"/>
            <rFont val="Arial"/>
            <family val="2"/>
          </rPr>
          <t xml:space="preserve">Ghi chú nội bộ – không ghi vào các cột số tham chiếu.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Tự lấy từ sheet Policy cùng dòng – không nhập.</t>
        </r>
      </text>
    </comment>
    <comment ref="D1" authorId="0">
      <text>
        <r>
          <rPr>
            <sz val="10"/>
            <rFont val="Arial"/>
            <family val="2"/>
          </rPr>
          <t xml:space="preserve">Tỷ lệ PVI tính theo %: 0,5 nghĩa là 0,5%. Hợp đồng Bound phải &gt; 0.</t>
        </r>
      </text>
    </comment>
    <comment ref="E1" authorId="0">
      <text>
        <r>
          <rPr>
            <sz val="10"/>
            <rFont val="Arial"/>
            <family val="2"/>
          </rPr>
          <t xml:space="preserve">Công thức: share × (Hull + CSL).</t>
        </r>
      </text>
    </comment>
    <comment ref="K1" authorId="0">
      <text>
        <r>
          <rPr>
            <sz val="10"/>
            <rFont val="Arial"/>
            <family val="2"/>
          </rPr>
          <t xml:space="preserve">Số tàu (số nguyên).</t>
        </r>
      </text>
    </comment>
    <comment ref="L1" authorId="0">
      <text>
        <r>
          <rPr>
            <sz val="10"/>
            <rFont val="Arial"/>
            <family val="2"/>
          </rPr>
          <t xml:space="preserve">Tổng giá trị đội tàu (USD).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Phí gốc 100% (USD). Bắt buộc với hợp đồng Bound.</t>
        </r>
      </text>
    </comment>
    <comment ref="I1" authorId="0">
      <text>
        <r>
          <rPr>
            <sz val="10"/>
            <rFont val="Arial"/>
            <family val="2"/>
          </rPr>
          <t xml:space="preserve">Công thức: Deposit GWP × share.</t>
        </r>
      </text>
    </comment>
    <comment ref="J1" authorId="0">
      <text>
        <r>
          <rPr>
            <sz val="10"/>
            <rFont val="Arial"/>
            <family val="2"/>
          </rPr>
          <t xml:space="preserve">Công thức: PVI GWP × (1 − tổng khấu trừ %).</t>
        </r>
      </text>
    </comment>
    <comment ref="K1" authorId="0">
      <text>
        <r>
          <rPr>
            <sz val="10"/>
            <rFont val="Arial"/>
            <family val="2"/>
          </rPr>
          <t xml:space="preserve">% brokerage trên GWP, ví dụ 21,5.</t>
        </r>
      </text>
    </comment>
    <comment ref="L1" authorId="0">
      <text>
        <r>
          <rPr>
            <sz val="10"/>
            <rFont val="Arial"/>
            <family val="2"/>
          </rPr>
          <t xml:space="preserve">% SMB trên GWP.</t>
        </r>
      </text>
    </comment>
    <comment ref="M1" authorId="0">
      <text>
        <r>
          <rPr>
            <sz val="10"/>
            <rFont val="Arial"/>
            <family val="2"/>
          </rPr>
          <t xml:space="preserve">Công thức: brokerage + SMB.</t>
        </r>
      </text>
    </comment>
    <comment ref="N1" authorId="0">
      <text>
        <r>
          <rPr>
            <sz val="10"/>
            <rFont val="Arial"/>
            <family val="2"/>
          </rPr>
          <t xml:space="preserve">% facility fee trên NWP.</t>
        </r>
      </text>
    </comment>
    <comment ref="O1" authorId="0">
      <text>
        <r>
          <rPr>
            <sz val="10"/>
            <rFont val="Arial"/>
            <family val="2"/>
          </rPr>
          <t xml:space="preserve">Khấu trừ khác (USD).</t>
        </r>
      </text>
    </comment>
    <comment ref="P1" authorId="0">
      <text>
        <r>
          <rPr>
            <sz val="10"/>
            <rFont val="Arial"/>
            <family val="2"/>
          </rPr>
          <t xml:space="preserve">Khoản quỹ (USD).</t>
        </r>
      </text>
    </comment>
    <comment ref="Q1" authorId="0">
      <text>
        <r>
          <rPr>
            <sz val="10"/>
            <rFont val="Arial"/>
            <family val="2"/>
          </rPr>
          <t xml:space="preserve">Công thức: NWP × (1 − facility fee %) − khấu trừ khác − quỹ.</t>
        </r>
      </text>
    </comment>
    <comment ref="R1" authorId="0">
      <text>
        <r>
          <rPr>
            <sz val="10"/>
            <rFont val="Arial"/>
            <family val="2"/>
          </rPr>
          <t xml:space="preserve">% chênh lệch so với leader (nếu có).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Chọn MRO của hợp đồng đang hiệu lực vào ngày tổn thất (đúng UY).</t>
        </r>
      </text>
    </comment>
    <comment ref="D1" authorId="0">
      <text>
        <r>
          <rPr>
            <sz val="10"/>
            <rFont val="Arial"/>
            <family val="2"/>
          </rPr>
          <t xml:space="preserve">Số hồ sơ bồi thường – bắt buộc, duy nhất.</t>
        </r>
      </text>
    </comment>
    <comment ref="F1" authorId="0">
      <text>
        <r>
          <rPr>
            <sz val="10"/>
            <rFont val="Arial"/>
            <family val="2"/>
          </rPr>
          <t xml:space="preserve">Ngày tổn thất dd/mm/yyyy. Tổn thất kéo dài: ghi ngày đầu, mô tả khoảng thời gian ở Loss details.</t>
        </r>
      </text>
    </comment>
    <comment ref="I1" authorId="0">
      <text>
        <r>
          <rPr>
            <sz val="10"/>
            <rFont val="Arial"/>
            <family val="2"/>
          </rPr>
          <t xml:space="preserve">Hull hoặc Liability.</t>
        </r>
      </text>
    </comment>
    <comment ref="J1" authorId="0">
      <text>
        <r>
          <rPr>
            <sz val="10"/>
            <rFont val="Arial"/>
            <family val="2"/>
          </rPr>
          <t xml:space="preserve">Danh sách đổi theo Coverage.</t>
        </r>
      </text>
    </comment>
    <comment ref="L1" authorId="0">
      <text>
        <r>
          <rPr>
            <sz val="10"/>
            <rFont val="Arial"/>
            <family val="2"/>
          </rPr>
          <t xml:space="preserve">Số đã trả 100% (USD).</t>
        </r>
      </text>
    </comment>
    <comment ref="N1" authorId="0">
      <text>
        <r>
          <rPr>
            <sz val="10"/>
            <rFont val="Arial"/>
            <family val="2"/>
          </rPr>
          <t xml:space="preserve">Dự phòng 100% (USD). Hồ sơ đang mở phải có dự phòng ban đầu.</t>
        </r>
      </text>
    </comment>
    <comment ref="Q1" authorId="0">
      <text>
        <r>
          <rPr>
            <sz val="10"/>
            <rFont val="Arial"/>
            <family val="2"/>
          </rPr>
          <t xml:space="preserve">Tự lấy từ sheet Risk theo MRO.</t>
        </r>
      </text>
    </comment>
    <comment ref="V1" authorId="0">
      <text>
        <r>
          <rPr>
            <sz val="10"/>
            <rFont val="Arial"/>
            <family val="2"/>
          </rPr>
          <t xml:space="preserve">Công thức: tổng phần PVI đã trả + dự phòng.</t>
        </r>
      </text>
    </comment>
    <comment ref="Z1" authorId="0">
      <text>
        <r>
          <rPr>
            <sz val="10"/>
            <rFont val="Arial"/>
            <family val="2"/>
          </rPr>
          <t xml:space="preserve">Paid chỉ khi PVI đã thực trả.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Chọn MRO đã nhập ở Policy. Mọi hợp đồng Bound đều phải có lịch, kể cả trả một lần.</t>
        </r>
      </text>
    </comment>
    <comment ref="H1" authorId="0">
      <text>
        <r>
          <rPr>
            <sz val="10"/>
            <rFont val="Arial"/>
            <family val="2"/>
          </rPr>
          <t xml:space="preserve">Số tiền kỳ (USD, theo NWP).</t>
        </r>
      </text>
    </comment>
    <comment ref="I1" authorId="0">
      <text>
        <r>
          <rPr>
            <sz val="10"/>
            <rFont val="Arial"/>
            <family val="2"/>
          </rPr>
          <t xml:space="preserve">Hạn thanh toán dd/mm/yyyy.</t>
        </r>
      </text>
    </comment>
    <comment ref="J1" authorId="0">
      <text>
        <r>
          <rPr>
            <sz val="10"/>
            <rFont val="Arial"/>
            <family val="2"/>
          </rPr>
          <t xml:space="preserve">Chọn Paid khi đã thu, đồng thời nhập số thực thu.</t>
        </r>
      </text>
    </comment>
    <comment ref="K1" authorId="0">
      <text>
        <r>
          <rPr>
            <sz val="10"/>
            <rFont val="Arial"/>
            <family val="2"/>
          </rPr>
          <t xml:space="preserve">Số thực thu (USD).</t>
        </r>
      </text>
    </comment>
  </commentList>
</comments>
</file>

<file path=xl/sharedStrings.xml><?xml version="1.0" encoding="utf-8"?>
<sst xmlns="http://schemas.openxmlformats.org/spreadsheetml/2006/main" count="334" uniqueCount="292">
  <si>
    <t xml:space="preserve">Mẫu nhập liệu sổ theo dõi nhận tái bảo hiểm hàng không</t>
  </si>
  <si>
    <t xml:space="preserve">Dùng cho app Bảng chỉ số TBH hàng không – https://dungexim-spec.github.io/aviation-ri-kpi/</t>
  </si>
  <si>
    <t xml:space="preserve">MÀU Ô</t>
  </si>
  <si>
    <t xml:space="preserve">Chữ xanh dương</t>
  </si>
  <si>
    <t xml:space="preserve">Ô nhập liệu.</t>
  </si>
  <si>
    <t xml:space="preserve">Nền xám, chữ đen</t>
  </si>
  <si>
    <t xml:space="preserve">Ô công thức – không nhập, không xoá. Tiêu đề cột công thức có nền xám đậm.</t>
  </si>
  <si>
    <t xml:space="preserve">Nền vàng</t>
  </si>
  <si>
    <t xml:space="preserve">Thiếu dữ liệu bắt buộc.</t>
  </si>
  <si>
    <t xml:space="preserve">Nền đỏ</t>
  </si>
  <si>
    <t xml:space="preserve">Lỗi cần sửa: ngày hết hạn trước ngày hiệu lực, tổn thất ngoài kỳ hợp đồng, hợp đồng Bound có tỷ lệ PVI = 0, kỳ phí quá hạn chưa thu.</t>
  </si>
  <si>
    <t xml:space="preserve">Nền cam</t>
  </si>
  <si>
    <t xml:space="preserve">Cần kiểm tra: bind sau ngày hiệu lực, ngày thông báo trước ngày tổn thất, kỳ phí đến hạn trong 30 ngày, "Paid" nhưng chưa có số tiền.</t>
  </si>
  <si>
    <t xml:space="preserve">QUY TẮC CHÍNH</t>
  </si>
  <si>
    <t xml:space="preserve">1. Một hợp đồng một dòng</t>
  </si>
  <si>
    <t xml:space="preserve">Mỗi dòng Policy có một PVI ref number duy nhất. Sửa đổi bổ sung (AP/RP) dùng số riêng và ghi số hợp đồng gốc vào cột "Endorsement of".</t>
  </si>
  <si>
    <t xml:space="preserve">2. Thứ tự dòng</t>
  </si>
  <si>
    <t xml:space="preserve">Chỉ nhập MRO / broker / tên ở sheet Policy. Sheet Risk và Premium tự lấy theo cùng dòng – dòng 5 của Risk và Premium là của hợp đồng ở dòng 5 Policy. Không chèn, xoá hay sắp xếp dòng riêng ở Risk hoặc Premium.</t>
  </si>
  <si>
    <t xml:space="preserve">3. Ngày tháng</t>
  </si>
  <si>
    <t xml:space="preserve">Nhập dạng ngày của Excel (dd/mm/yyyy). Không gõ chữ, không điền ngày tạm 01/01/2025; chưa biết thì để trống.</t>
  </si>
  <si>
    <t xml:space="preserve">4. Danh sách chọn</t>
  </si>
  <si>
    <t xml:space="preserve">Broker, Region, Status, Channel, Leader, Coverage, Type of loss, Paid… chọn từ danh sách. Thêm giá trị mới ở sheet "Danh mục".</t>
  </si>
  <si>
    <t xml:space="preserve">5. Tỷ lệ PVI</t>
  </si>
  <si>
    <t xml:space="preserve">Nhập theo %: 0,5 nghĩa là 0,5%. Hợp đồng Bound phải &gt; 0.</t>
  </si>
  <si>
    <t xml:space="preserve">6. Phí</t>
  </si>
  <si>
    <t xml:space="preserve">Nhập Deposit GWP (100%), Brokerage %, SMB %, Facility fee %, khấu trừ khác, quỹ. GWP, NWP và net earning của PVI tự tính.</t>
  </si>
  <si>
    <t xml:space="preserve">7. Bồi thường</t>
  </si>
  <si>
    <t xml:space="preserve">Chọn MRO của hợp đồng đang hiệu lực vào ngày tổn thất. Nhập số 100%; phần PVI tự tính. Mỗi hồ sơ có số riêng; hồ sơ mở phải có dự phòng.</t>
  </si>
  <si>
    <t xml:space="preserve">8. Thu phí</t>
  </si>
  <si>
    <t xml:space="preserve">Mọi hợp đồng Bound đều có lịch ở sheet Installment, kể cả trả một lần. Khi thu: chọn Paid và nhập số thực thu.</t>
  </si>
  <si>
    <t xml:space="preserve">9. Tái tục</t>
  </si>
  <si>
    <t xml:space="preserve">Hợp đồng tái tục ghi số PVI ref năm trước vào cột "Prior PVI ref".</t>
  </si>
  <si>
    <t xml:space="preserve">10. Ghi chú</t>
  </si>
  <si>
    <t xml:space="preserve">Ghi chú nội bộ để ở cột Notes, không viết vào cột số tham chiếu.</t>
  </si>
  <si>
    <t xml:space="preserve">ĐẶT TÊN FILE</t>
  </si>
  <si>
    <t xml:space="preserve">UY_&lt;số&gt;_update_&lt;ddmmyyyy&gt;.xlsx, ví dụ UY_2_update_01112026.xlsx (UY2, số liệu chốt ngày 01/11/2026).</t>
  </si>
  <si>
    <t xml:space="preserve">DÒNG VÍ DỤ</t>
  </si>
  <si>
    <t xml:space="preserve">Dòng 2 của mỗi sheet là ví dụ (Status = Offered nên app không tính). Có thể ghi đè hoặc xoá.</t>
  </si>
  <si>
    <t xml:space="preserve">SỨC CHỨA</t>
  </si>
  <si>
    <t xml:space="preserve">Dựng sẵn công thức và kiểm tra cho 300 hợp đồng. Cần thêm: chọn dòng cuối, kéo xuống (fill down) ở tất cả các sheet.</t>
  </si>
  <si>
    <t xml:space="preserve">MRO</t>
  </si>
  <si>
    <t xml:space="preserve">Broker</t>
  </si>
  <si>
    <t xml:space="preserve">PIAS Ref</t>
  </si>
  <si>
    <t xml:space="preserve">PVI ref number</t>
  </si>
  <si>
    <t xml:space="preserve">Original Insured</t>
  </si>
  <si>
    <t xml:space="preserve">Cedant Name</t>
  </si>
  <si>
    <t xml:space="preserve">Region</t>
  </si>
  <si>
    <t xml:space="preserve">Domicile</t>
  </si>
  <si>
    <t xml:space="preserve">Risk offer date</t>
  </si>
  <si>
    <t xml:space="preserve">Status</t>
  </si>
  <si>
    <t xml:space="preserve">Risk bound date</t>
  </si>
  <si>
    <t xml:space="preserve">Inception</t>
  </si>
  <si>
    <t xml:space="preserve">Expiry</t>
  </si>
  <si>
    <t xml:space="preserve">Days on risk</t>
  </si>
  <si>
    <t xml:space="preserve">Days remain</t>
  </si>
  <si>
    <t xml:space="preserve">Flying/Non-flying</t>
  </si>
  <si>
    <t xml:space="preserve">Leader</t>
  </si>
  <si>
    <t xml:space="preserve">Risk type</t>
  </si>
  <si>
    <t xml:space="preserve">Type</t>
  </si>
  <si>
    <t xml:space="preserve">Category</t>
  </si>
  <si>
    <t xml:space="preserve">Channel</t>
  </si>
  <si>
    <t xml:space="preserve">Prior PVI ref</t>
  </si>
  <si>
    <t xml:space="preserve">Endorsement of</t>
  </si>
  <si>
    <t xml:space="preserve">Source</t>
  </si>
  <si>
    <t xml:space="preserve">Notes</t>
  </si>
  <si>
    <t xml:space="preserve">B0000EXAMPLE01</t>
  </si>
  <si>
    <t xml:space="preserve">AJG</t>
  </si>
  <si>
    <t xml:space="preserve">PVI202600001</t>
  </si>
  <si>
    <t xml:space="preserve">VÍ DỤ – xoá dòng này</t>
  </si>
  <si>
    <t xml:space="preserve">Example Insurance Co</t>
  </si>
  <si>
    <t xml:space="preserve">Asia Pacific RIM</t>
  </si>
  <si>
    <t xml:space="preserve">Vietnam</t>
  </si>
  <si>
    <t xml:space="preserve">Offered</t>
  </si>
  <si>
    <t xml:space="preserve">Flying</t>
  </si>
  <si>
    <t xml:space="preserve">AXA XL</t>
  </si>
  <si>
    <t xml:space="preserve">HSL</t>
  </si>
  <si>
    <t xml:space="preserve">RI</t>
  </si>
  <si>
    <t xml:space="preserve">ABC</t>
  </si>
  <si>
    <t xml:space="preserve">A1</t>
  </si>
  <si>
    <t xml:space="preserve">PVI202500001</t>
  </si>
  <si>
    <t xml:space="preserve">Major PVI</t>
  </si>
  <si>
    <t xml:space="preserve">Dòng ví dụ – Status Offered nên app không tính</t>
  </si>
  <si>
    <t xml:space="preserve">PVI share</t>
  </si>
  <si>
    <t xml:space="preserve">Capacity deployment</t>
  </si>
  <si>
    <t xml:space="preserve">Hull</t>
  </si>
  <si>
    <t xml:space="preserve">Spare limit</t>
  </si>
  <si>
    <t xml:space="preserve">CSL</t>
  </si>
  <si>
    <t xml:space="preserve">PA</t>
  </si>
  <si>
    <t xml:space="preserve">AVN52E</t>
  </si>
  <si>
    <t xml:space="preserve">A/C</t>
  </si>
  <si>
    <t xml:space="preserve">AFV</t>
  </si>
  <si>
    <t xml:space="preserve">Pax</t>
  </si>
  <si>
    <t xml:space="preserve">Dept</t>
  </si>
  <si>
    <t xml:space="preserve">Spare value</t>
  </si>
  <si>
    <t xml:space="preserve">Deposit GWP</t>
  </si>
  <si>
    <t xml:space="preserve">Deposit NWP</t>
  </si>
  <si>
    <t xml:space="preserve">PVI deposite GWP</t>
  </si>
  <si>
    <t xml:space="preserve">PVI deposite NWP</t>
  </si>
  <si>
    <t xml:space="preserve">Brokerage</t>
  </si>
  <si>
    <t xml:space="preserve">SMB</t>
  </si>
  <si>
    <t xml:space="preserve">Total deduction</t>
  </si>
  <si>
    <t xml:space="preserve">Facility fee</t>
  </si>
  <si>
    <t xml:space="preserve">Other Deduction</t>
  </si>
  <si>
    <t xml:space="preserve">Fund</t>
  </si>
  <si>
    <t xml:space="preserve">PVI actual earning</t>
  </si>
  <si>
    <t xml:space="preserve">Diffirental from lead</t>
  </si>
  <si>
    <t xml:space="preserve">Facility</t>
  </si>
  <si>
    <t xml:space="preserve">Month</t>
  </si>
  <si>
    <t xml:space="preserve">Year</t>
  </si>
  <si>
    <t xml:space="preserve">Policy status</t>
  </si>
  <si>
    <t xml:space="preserve">Premium status</t>
  </si>
  <si>
    <t xml:space="preserve">Estimated</t>
  </si>
  <si>
    <t xml:space="preserve">Claim number</t>
  </si>
  <si>
    <t xml:space="preserve">Date claim reported</t>
  </si>
  <si>
    <t xml:space="preserve">Occurrence date</t>
  </si>
  <si>
    <t xml:space="preserve">Location</t>
  </si>
  <si>
    <t xml:space="preserve">Loss details</t>
  </si>
  <si>
    <t xml:space="preserve">Coverage</t>
  </si>
  <si>
    <t xml:space="preserve">Type of loss</t>
  </si>
  <si>
    <t xml:space="preserve">Loss adjuster/ Lawyer</t>
  </si>
  <si>
    <t xml:space="preserve">Paid Claim (100%)</t>
  </si>
  <si>
    <t xml:space="preserve">Paid Fee (100%)</t>
  </si>
  <si>
    <t xml:space="preserve">Reserved claim</t>
  </si>
  <si>
    <t xml:space="preserve">Resered Fee</t>
  </si>
  <si>
    <t xml:space="preserve">Gross Incurred</t>
  </si>
  <si>
    <t xml:space="preserve">PVI Paid Claim</t>
  </si>
  <si>
    <t xml:space="preserve">PVI Paid Fee</t>
  </si>
  <si>
    <t xml:space="preserve">PVI reserved claim</t>
  </si>
  <si>
    <t xml:space="preserve">PVI reserved Fee</t>
  </si>
  <si>
    <t xml:space="preserve">PVI's Gross Incured</t>
  </si>
  <si>
    <t xml:space="preserve">Lastest Movement Date</t>
  </si>
  <si>
    <t xml:space="preserve">Refund amout</t>
  </si>
  <si>
    <t xml:space="preserve">Paid Status</t>
  </si>
  <si>
    <t xml:space="preserve">PVIAVC2026000001</t>
  </si>
  <si>
    <t xml:space="preserve">Mô tả tổn thất</t>
  </si>
  <si>
    <t xml:space="preserve">Engine</t>
  </si>
  <si>
    <t xml:space="preserve">Open</t>
  </si>
  <si>
    <t xml:space="preserve">Closing Ref</t>
  </si>
  <si>
    <t xml:space="preserve">Closing Date</t>
  </si>
  <si>
    <t xml:space="preserve">Inst 1 Date</t>
  </si>
  <si>
    <t xml:space="preserve">Inst 1 Share %</t>
  </si>
  <si>
    <t xml:space="preserve">Inst 1 Amount</t>
  </si>
  <si>
    <t xml:space="preserve">Inst 1 Due Date</t>
  </si>
  <si>
    <t xml:space="preserve">Inst 1 Paid</t>
  </si>
  <si>
    <t xml:space="preserve">Inst 1 Actual NWP</t>
  </si>
  <si>
    <t xml:space="preserve">Inst 2 Date</t>
  </si>
  <si>
    <t xml:space="preserve">Inst 2 Share %</t>
  </si>
  <si>
    <t xml:space="preserve">Inst 2 Amount</t>
  </si>
  <si>
    <t xml:space="preserve">Inst 2 Due Date</t>
  </si>
  <si>
    <t xml:space="preserve">Inst 2 Paid</t>
  </si>
  <si>
    <t xml:space="preserve">Inst 2 Actual NWP</t>
  </si>
  <si>
    <t xml:space="preserve">Inst 3 Date</t>
  </si>
  <si>
    <t xml:space="preserve">Inst 3 Share %</t>
  </si>
  <si>
    <t xml:space="preserve">Inst 3 Amount</t>
  </si>
  <si>
    <t xml:space="preserve">Inst 3 Due Date</t>
  </si>
  <si>
    <t xml:space="preserve">Inst 3 Paid</t>
  </si>
  <si>
    <t xml:space="preserve">Inst 3 Actual NWP</t>
  </si>
  <si>
    <t xml:space="preserve">Inst 4 Date</t>
  </si>
  <si>
    <t xml:space="preserve">Inst 4 Share %</t>
  </si>
  <si>
    <t xml:space="preserve">Inst 4 Amount</t>
  </si>
  <si>
    <t xml:space="preserve">Inst 4 Due Date</t>
  </si>
  <si>
    <t xml:space="preserve">Inst 4 Paid</t>
  </si>
  <si>
    <t xml:space="preserve">Inst 4 Actual NWP</t>
  </si>
  <si>
    <t xml:space="preserve">Inst 5 Date</t>
  </si>
  <si>
    <t xml:space="preserve">Inst 5 Share %</t>
  </si>
  <si>
    <t xml:space="preserve">Inst 5 Amount</t>
  </si>
  <si>
    <t xml:space="preserve">Inst 5 Due Date</t>
  </si>
  <si>
    <t xml:space="preserve">Inst 5 Paid</t>
  </si>
  <si>
    <t xml:space="preserve">Inst 5 Actual NWP</t>
  </si>
  <si>
    <t xml:space="preserve">Inst 6 Date</t>
  </si>
  <si>
    <t xml:space="preserve">Inst 6 Share %</t>
  </si>
  <si>
    <t xml:space="preserve">Inst 6 Amount</t>
  </si>
  <si>
    <t xml:space="preserve">Inst 6 Due Date</t>
  </si>
  <si>
    <t xml:space="preserve">Inst 6 Paid</t>
  </si>
  <si>
    <t xml:space="preserve">Inst 6 Actual NWP</t>
  </si>
  <si>
    <t xml:space="preserve">Inst 7 Date</t>
  </si>
  <si>
    <t xml:space="preserve">Inst 7 Share %</t>
  </si>
  <si>
    <t xml:space="preserve">Inst 7 Amount</t>
  </si>
  <si>
    <t xml:space="preserve">Inst 7 Due Date</t>
  </si>
  <si>
    <t xml:space="preserve">Inst 7 Paid</t>
  </si>
  <si>
    <t xml:space="preserve">Inst 7 Actual NWP</t>
  </si>
  <si>
    <t xml:space="preserve">Inst 8 Date</t>
  </si>
  <si>
    <t xml:space="preserve">Inst 8 Share %</t>
  </si>
  <si>
    <t xml:space="preserve">Inst 8 Amount</t>
  </si>
  <si>
    <t xml:space="preserve">Inst 8 Due Date</t>
  </si>
  <si>
    <t xml:space="preserve">Inst 8 Paid</t>
  </si>
  <si>
    <t xml:space="preserve">Inst 8 Actual NWP</t>
  </si>
  <si>
    <t xml:space="preserve">Inst 9 Date</t>
  </si>
  <si>
    <t xml:space="preserve">Inst 9 Share %</t>
  </si>
  <si>
    <t xml:space="preserve">Inst 9 Amount</t>
  </si>
  <si>
    <t xml:space="preserve">Inst 9 Due Date</t>
  </si>
  <si>
    <t xml:space="preserve">Inst 9 Paid</t>
  </si>
  <si>
    <t xml:space="preserve">Inst 9 Actual NWP</t>
  </si>
  <si>
    <t xml:space="preserve">Inst 10 Date</t>
  </si>
  <si>
    <t xml:space="preserve">Inst 10 Share %</t>
  </si>
  <si>
    <t xml:space="preserve">Inst 10 Amount</t>
  </si>
  <si>
    <t xml:space="preserve">Inst 10 Due Date</t>
  </si>
  <si>
    <t xml:space="preserve">Inst 10 Paid</t>
  </si>
  <si>
    <t xml:space="preserve">Inst 10 Actual NWP</t>
  </si>
  <si>
    <t xml:space="preserve">Inst 11 Date</t>
  </si>
  <si>
    <t xml:space="preserve">Inst 11 Share %</t>
  </si>
  <si>
    <t xml:space="preserve">Inst 11 Amount</t>
  </si>
  <si>
    <t xml:space="preserve">Inst 11 Due Date</t>
  </si>
  <si>
    <t xml:space="preserve">Inst 11 Paid</t>
  </si>
  <si>
    <t xml:space="preserve">Inst 11 Actual NWP</t>
  </si>
  <si>
    <t xml:space="preserve">Inst 12 Date</t>
  </si>
  <si>
    <t xml:space="preserve">Inst 12 Share %</t>
  </si>
  <si>
    <t xml:space="preserve">Inst 12 Amount</t>
  </si>
  <si>
    <t xml:space="preserve">Inst 12 Due Date</t>
  </si>
  <si>
    <t xml:space="preserve">Inst 12 Paid</t>
  </si>
  <si>
    <t xml:space="preserve">Inst 12 Actual NWP</t>
  </si>
  <si>
    <t xml:space="preserve">Last Movement Date</t>
  </si>
  <si>
    <t xml:space="preserve">Paid</t>
  </si>
  <si>
    <t xml:space="preserve">Unpaid</t>
  </si>
  <si>
    <t xml:space="preserve">L_Status</t>
  </si>
  <si>
    <t xml:space="preserve">L_Broker</t>
  </si>
  <si>
    <t xml:space="preserve">L_Region</t>
  </si>
  <si>
    <t xml:space="preserve">L_Channel</t>
  </si>
  <si>
    <t xml:space="preserve">L_Leader</t>
  </si>
  <si>
    <t xml:space="preserve">L_RiskType</t>
  </si>
  <si>
    <t xml:space="preserve">L_Type</t>
  </si>
  <si>
    <t xml:space="preserve">L_Category</t>
  </si>
  <si>
    <t xml:space="preserve">L_Flying</t>
  </si>
  <si>
    <t xml:space="preserve">L_Source</t>
  </si>
  <si>
    <t xml:space="preserve">L_PremStatus</t>
  </si>
  <si>
    <t xml:space="preserve">Liability</t>
  </si>
  <si>
    <t xml:space="preserve">L_Coverage</t>
  </si>
  <si>
    <t xml:space="preserve">L_ClaimStatus</t>
  </si>
  <si>
    <t xml:space="preserve">L_PaidStatus</t>
  </si>
  <si>
    <t xml:space="preserve">L_InstPaid</t>
  </si>
  <si>
    <t xml:space="preserve">Bound</t>
  </si>
  <si>
    <t xml:space="preserve">Passenger</t>
  </si>
  <si>
    <t xml:space="preserve">Marsh</t>
  </si>
  <si>
    <t xml:space="preserve">Africa</t>
  </si>
  <si>
    <t xml:space="preserve">MAAPS</t>
  </si>
  <si>
    <t xml:space="preserve">Allianz</t>
  </si>
  <si>
    <t xml:space="preserve">LIABS</t>
  </si>
  <si>
    <t xml:space="preserve">XOL</t>
  </si>
  <si>
    <t xml:space="preserve">2nd Schedule</t>
  </si>
  <si>
    <t xml:space="preserve">Non-Flying</t>
  </si>
  <si>
    <t xml:space="preserve">Non-major Alif</t>
  </si>
  <si>
    <t xml:space="preserve">Closing</t>
  </si>
  <si>
    <t xml:space="preserve">Ground Handling</t>
  </si>
  <si>
    <t xml:space="preserve">Human</t>
  </si>
  <si>
    <t xml:space="preserve">Closed</t>
  </si>
  <si>
    <t xml:space="preserve">Partial</t>
  </si>
  <si>
    <t xml:space="preserve">Cancelled</t>
  </si>
  <si>
    <t xml:space="preserve">WTW</t>
  </si>
  <si>
    <t xml:space="preserve">Middle East</t>
  </si>
  <si>
    <t xml:space="preserve">Open market</t>
  </si>
  <si>
    <t xml:space="preserve">Arrow</t>
  </si>
  <si>
    <t xml:space="preserve">HW</t>
  </si>
  <si>
    <t xml:space="preserve">Direct</t>
  </si>
  <si>
    <t xml:space="preserve">Adjusted</t>
  </si>
  <si>
    <t xml:space="preserve">Hard landing</t>
  </si>
  <si>
    <t xml:space="preserve">Third party property</t>
  </si>
  <si>
    <t xml:space="preserve">Reopened</t>
  </si>
  <si>
    <t xml:space="preserve">Declined</t>
  </si>
  <si>
    <t xml:space="preserve">McGill</t>
  </si>
  <si>
    <t xml:space="preserve">Europe</t>
  </si>
  <si>
    <t xml:space="preserve">Atrium</t>
  </si>
  <si>
    <t xml:space="preserve">TLO</t>
  </si>
  <si>
    <t xml:space="preserve">Fronting</t>
  </si>
  <si>
    <t xml:space="preserve">Bird strike</t>
  </si>
  <si>
    <t xml:space="preserve">MBPH</t>
  </si>
  <si>
    <t xml:space="preserve">Americas</t>
  </si>
  <si>
    <t xml:space="preserve">Beazley</t>
  </si>
  <si>
    <t xml:space="preserve">Spare</t>
  </si>
  <si>
    <t xml:space="preserve">Product / Hangarkeepers</t>
  </si>
  <si>
    <t xml:space="preserve">KMD</t>
  </si>
  <si>
    <t xml:space="preserve">Chubb</t>
  </si>
  <si>
    <t xml:space="preserve">Partial loss</t>
  </si>
  <si>
    <t xml:space="preserve">Other</t>
  </si>
  <si>
    <t xml:space="preserve">Lockton</t>
  </si>
  <si>
    <t xml:space="preserve">Convex</t>
  </si>
  <si>
    <t xml:space="preserve">Total loss</t>
  </si>
  <si>
    <t xml:space="preserve">GC</t>
  </si>
  <si>
    <t xml:space="preserve">Global</t>
  </si>
  <si>
    <t xml:space="preserve">UIB</t>
  </si>
  <si>
    <t xml:space="preserve">Liberty</t>
  </si>
  <si>
    <t xml:space="preserve">Prudent</t>
  </si>
  <si>
    <t xml:space="preserve">LRA</t>
  </si>
  <si>
    <t xml:space="preserve">Howden</t>
  </si>
  <si>
    <t xml:space="preserve">Nexus</t>
  </si>
  <si>
    <t xml:space="preserve">Aon</t>
  </si>
  <si>
    <t xml:space="preserve">SFMIC</t>
  </si>
  <si>
    <t xml:space="preserve">BMS</t>
  </si>
  <si>
    <t xml:space="preserve">SIEL</t>
  </si>
  <si>
    <t xml:space="preserve">Gallagher Re</t>
  </si>
  <si>
    <t xml:space="preserve">Starr</t>
  </si>
  <si>
    <t xml:space="preserve">Tokio Marine Kiln</t>
  </si>
  <si>
    <t xml:space="preserve">Bổ sung giá trị mới vào cuối cột tương ứng (ô trống ngay dưới danh sách). Danh sách chọn trong các sheet tự cập nhật.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</si>
</sst>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0.000"/>
    <numFmt numFmtId="168" formatCode="#,##0"/>
    <numFmt numFmtId="169" formatCode="#,##0.00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7" t="s">
        <v>5</v>
      </c>
      <c r="C7" s="6" t="s">
        <v>6</v>
      </c>
    </row>
    <row r="8" customFormat="false" ht="15" hidden="false" customHeight="false" outlineLevel="0" collapsed="false">
      <c r="B8" s="8" t="s">
        <v>7</v>
      </c>
      <c r="C8" s="6" t="s">
        <v>8</v>
      </c>
    </row>
    <row r="9" customFormat="false" ht="23.85" hidden="false" customHeight="false" outlineLevel="0" collapsed="false">
      <c r="B9" s="9" t="s">
        <v>9</v>
      </c>
      <c r="C9" s="6" t="s">
        <v>10</v>
      </c>
    </row>
    <row r="10" customFormat="false" ht="23.85" hidden="false" customHeight="false" outlineLevel="0" collapsed="false">
      <c r="B10" s="10" t="s">
        <v>11</v>
      </c>
      <c r="C10" s="6" t="s">
        <v>12</v>
      </c>
    </row>
    <row r="11" customFormat="false" ht="15" hidden="false" customHeight="false" outlineLevel="0" collapsed="false">
      <c r="B11" s="6"/>
      <c r="C11" s="6"/>
    </row>
    <row r="12" customFormat="false" ht="15" hidden="false" customHeight="false" outlineLevel="0" collapsed="false">
      <c r="B12" s="3" t="s">
        <v>13</v>
      </c>
      <c r="C12" s="4"/>
    </row>
    <row r="13" customFormat="false" ht="23.85" hidden="false" customHeight="false" outlineLevel="0" collapsed="false">
      <c r="B13" s="6" t="s">
        <v>14</v>
      </c>
      <c r="C13" s="6" t="s">
        <v>15</v>
      </c>
    </row>
    <row r="14" customFormat="false" ht="23.85" hidden="false" customHeight="false" outlineLevel="0" collapsed="false">
      <c r="B14" s="6" t="s">
        <v>16</v>
      </c>
      <c r="C14" s="6" t="s">
        <v>17</v>
      </c>
    </row>
    <row r="15" customFormat="false" ht="15" hidden="false" customHeight="false" outlineLevel="0" collapsed="false">
      <c r="B15" s="6" t="s">
        <v>18</v>
      </c>
      <c r="C15" s="6" t="s">
        <v>19</v>
      </c>
    </row>
    <row r="16" customFormat="false" ht="23.85" hidden="false" customHeight="false" outlineLevel="0" collapsed="false">
      <c r="B16" s="6" t="s">
        <v>20</v>
      </c>
      <c r="C16" s="6" t="s">
        <v>21</v>
      </c>
    </row>
    <row r="17" customFormat="false" ht="15" hidden="false" customHeight="false" outlineLevel="0" collapsed="false">
      <c r="B17" s="6" t="s">
        <v>22</v>
      </c>
      <c r="C17" s="6" t="s">
        <v>23</v>
      </c>
    </row>
    <row r="18" customFormat="false" ht="23.85" hidden="false" customHeight="false" outlineLevel="0" collapsed="false">
      <c r="B18" s="6" t="s">
        <v>24</v>
      </c>
      <c r="C18" s="6" t="s">
        <v>25</v>
      </c>
    </row>
    <row r="19" customFormat="false" ht="23.85" hidden="false" customHeight="false" outlineLevel="0" collapsed="false">
      <c r="B19" s="6" t="s">
        <v>26</v>
      </c>
      <c r="C19" s="6" t="s">
        <v>27</v>
      </c>
    </row>
    <row r="20" customFormat="false" ht="15" hidden="false" customHeight="false" outlineLevel="0" collapsed="false">
      <c r="B20" s="6" t="s">
        <v>28</v>
      </c>
      <c r="C20" s="6" t="s">
        <v>29</v>
      </c>
    </row>
    <row r="21" customFormat="false" ht="15" hidden="false" customHeight="false" outlineLevel="0" collapsed="false">
      <c r="B21" s="6" t="s">
        <v>30</v>
      </c>
      <c r="C21" s="6" t="s">
        <v>31</v>
      </c>
    </row>
    <row r="22" customFormat="false" ht="15" hidden="false" customHeight="false" outlineLevel="0" collapsed="false">
      <c r="B22" s="6" t="s">
        <v>32</v>
      </c>
      <c r="C22" s="6" t="s">
        <v>33</v>
      </c>
    </row>
    <row r="23" customFormat="false" ht="15" hidden="false" customHeight="false" outlineLevel="0" collapsed="false">
      <c r="B23" s="6"/>
      <c r="C23" s="6"/>
    </row>
    <row r="24" customFormat="false" ht="15" hidden="false" customHeight="false" outlineLevel="0" collapsed="false">
      <c r="B24" s="11" t="s">
        <v>34</v>
      </c>
      <c r="C24" s="6" t="s">
        <v>35</v>
      </c>
    </row>
    <row r="25" customFormat="false" ht="15" hidden="false" customHeight="false" outlineLevel="0" collapsed="false">
      <c r="B25" s="11" t="s">
        <v>36</v>
      </c>
      <c r="C25" s="6" t="s">
        <v>37</v>
      </c>
    </row>
    <row r="26" customFormat="false" ht="15" hidden="false" customHeight="false" outlineLevel="0" collapsed="false">
      <c r="B26" s="11" t="s">
        <v>38</v>
      </c>
      <c r="C26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21" min="8" style="0" width="14"/>
    <col collapsed="false" customWidth="true" hidden="false" outlineLevel="0" max="23" min="22" style="0" width="16"/>
    <col collapsed="false" customWidth="true" hidden="false" outlineLevel="0" max="24" min="24" style="0" width="15"/>
    <col collapsed="false" customWidth="true" hidden="false" outlineLevel="0" max="25" min="25" style="0" width="30"/>
  </cols>
  <sheetData>
    <row r="1" customFormat="false" ht="36" hidden="false" customHeight="true" outlineLevel="0" collapsed="false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  <c r="J1" s="12" t="s">
        <v>49</v>
      </c>
      <c r="K1" s="12" t="s">
        <v>50</v>
      </c>
      <c r="L1" s="12" t="s">
        <v>51</v>
      </c>
      <c r="M1" s="12" t="s">
        <v>52</v>
      </c>
      <c r="N1" s="13" t="s">
        <v>53</v>
      </c>
      <c r="O1" s="13" t="s">
        <v>54</v>
      </c>
      <c r="P1" s="12" t="s">
        <v>55</v>
      </c>
      <c r="Q1" s="12" t="s">
        <v>56</v>
      </c>
      <c r="R1" s="12" t="s">
        <v>57</v>
      </c>
      <c r="S1" s="12" t="s">
        <v>58</v>
      </c>
      <c r="T1" s="12" t="s">
        <v>59</v>
      </c>
      <c r="U1" s="12" t="s">
        <v>60</v>
      </c>
      <c r="V1" s="12" t="s">
        <v>61</v>
      </c>
      <c r="W1" s="12" t="s">
        <v>62</v>
      </c>
      <c r="X1" s="12" t="s">
        <v>63</v>
      </c>
      <c r="Y1" s="12" t="s">
        <v>64</v>
      </c>
    </row>
    <row r="2" customFormat="false" ht="15" hidden="false" customHeight="false" outlineLevel="0" collapsed="false">
      <c r="A2" s="14" t="s">
        <v>65</v>
      </c>
      <c r="B2" s="14" t="s">
        <v>66</v>
      </c>
      <c r="C2" s="14"/>
      <c r="D2" s="14" t="s">
        <v>67</v>
      </c>
      <c r="E2" s="14" t="s">
        <v>68</v>
      </c>
      <c r="F2" s="14" t="s">
        <v>69</v>
      </c>
      <c r="G2" s="14" t="s">
        <v>70</v>
      </c>
      <c r="H2" s="14" t="s">
        <v>71</v>
      </c>
      <c r="I2" s="15" t="n">
        <v>46266</v>
      </c>
      <c r="J2" s="14" t="s">
        <v>72</v>
      </c>
      <c r="K2" s="15" t="n">
        <v>46285</v>
      </c>
      <c r="L2" s="15" t="n">
        <v>46296</v>
      </c>
      <c r="M2" s="15" t="n">
        <v>46660</v>
      </c>
      <c r="N2" s="16" t="n">
        <f aca="true">IF(OR(L2="",M2=""),"",MAX(0,MIN(TODAY(),M2)-L2+1))</f>
        <v>13</v>
      </c>
      <c r="O2" s="16" t="n">
        <f aca="true">IF(M2="","",M2-TODAY())</f>
        <v>352</v>
      </c>
      <c r="P2" s="14" t="s">
        <v>73</v>
      </c>
      <c r="Q2" s="14" t="s">
        <v>74</v>
      </c>
      <c r="R2" s="14" t="s">
        <v>75</v>
      </c>
      <c r="S2" s="14" t="s">
        <v>76</v>
      </c>
      <c r="T2" s="14" t="s">
        <v>77</v>
      </c>
      <c r="U2" s="14" t="s">
        <v>78</v>
      </c>
      <c r="V2" s="14" t="s">
        <v>79</v>
      </c>
      <c r="W2" s="14"/>
      <c r="X2" s="14" t="s">
        <v>80</v>
      </c>
      <c r="Y2" s="14" t="s">
        <v>81</v>
      </c>
    </row>
    <row r="3" customFormat="false" ht="15" hidden="false" customHeight="false" outlineLevel="0" collapsed="false">
      <c r="A3" s="14"/>
      <c r="B3" s="14"/>
      <c r="C3" s="14"/>
      <c r="D3" s="14"/>
      <c r="E3" s="14"/>
      <c r="F3" s="14"/>
      <c r="G3" s="14"/>
      <c r="H3" s="14"/>
      <c r="I3" s="15"/>
      <c r="J3" s="14"/>
      <c r="K3" s="15"/>
      <c r="L3" s="15"/>
      <c r="M3" s="15"/>
      <c r="N3" s="16" t="str">
        <f aca="true">IF(OR(L3="",M3=""),"",MAX(0,MIN(TODAY(),M3)-L3+1))</f>
        <v/>
      </c>
      <c r="O3" s="16" t="str">
        <f aca="true">IF(M3="","",M3-TODAY())</f>
        <v/>
      </c>
      <c r="P3" s="14"/>
      <c r="Q3" s="14"/>
      <c r="R3" s="14"/>
      <c r="S3" s="14"/>
      <c r="T3" s="14"/>
      <c r="U3" s="14"/>
      <c r="V3" s="14"/>
      <c r="W3" s="14"/>
      <c r="X3" s="14"/>
      <c r="Y3" s="14"/>
    </row>
    <row r="4" customFormat="false" ht="15" hidden="false" customHeight="false" outlineLevel="0" collapsed="false">
      <c r="A4" s="14"/>
      <c r="B4" s="14"/>
      <c r="C4" s="14"/>
      <c r="D4" s="14"/>
      <c r="E4" s="14"/>
      <c r="F4" s="14"/>
      <c r="G4" s="14"/>
      <c r="H4" s="14"/>
      <c r="I4" s="15"/>
      <c r="J4" s="14"/>
      <c r="K4" s="15"/>
      <c r="L4" s="15"/>
      <c r="M4" s="15"/>
      <c r="N4" s="16" t="str">
        <f aca="true">IF(OR(L4="",M4=""),"",MAX(0,MIN(TODAY(),M4)-L4+1))</f>
        <v/>
      </c>
      <c r="O4" s="16" t="str">
        <f aca="true">IF(M4="","",M4-TODAY())</f>
        <v/>
      </c>
      <c r="P4" s="14"/>
      <c r="Q4" s="14"/>
      <c r="R4" s="14"/>
      <c r="S4" s="14"/>
      <c r="T4" s="14"/>
      <c r="U4" s="14"/>
      <c r="V4" s="14"/>
      <c r="W4" s="14"/>
      <c r="X4" s="14"/>
      <c r="Y4" s="14"/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5"/>
      <c r="J5" s="14"/>
      <c r="K5" s="15"/>
      <c r="L5" s="15"/>
      <c r="M5" s="15"/>
      <c r="N5" s="16" t="str">
        <f aca="true">IF(OR(L5="",M5=""),"",MAX(0,MIN(TODAY(),M5)-L5+1))</f>
        <v/>
      </c>
      <c r="O5" s="16" t="str">
        <f aca="true">IF(M5="","",M5-TODAY())</f>
        <v/>
      </c>
      <c r="P5" s="14"/>
      <c r="Q5" s="14"/>
      <c r="R5" s="14"/>
      <c r="S5" s="14"/>
      <c r="T5" s="14"/>
      <c r="U5" s="14"/>
      <c r="V5" s="14"/>
      <c r="W5" s="14"/>
      <c r="X5" s="14"/>
      <c r="Y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5"/>
      <c r="J6" s="14"/>
      <c r="K6" s="15"/>
      <c r="L6" s="15"/>
      <c r="M6" s="15"/>
      <c r="N6" s="16" t="str">
        <f aca="true">IF(OR(L6="",M6=""),"",MAX(0,MIN(TODAY(),M6)-L6+1))</f>
        <v/>
      </c>
      <c r="O6" s="16" t="str">
        <f aca="true">IF(M6="","",M6-TODAY())</f>
        <v/>
      </c>
      <c r="P6" s="14"/>
      <c r="Q6" s="14"/>
      <c r="R6" s="14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5"/>
      <c r="J7" s="14"/>
      <c r="K7" s="15"/>
      <c r="L7" s="15"/>
      <c r="M7" s="15"/>
      <c r="N7" s="16" t="str">
        <f aca="true">IF(OR(L7="",M7=""),"",MAX(0,MIN(TODAY(),M7)-L7+1))</f>
        <v/>
      </c>
      <c r="O7" s="16" t="str">
        <f aca="true">IF(M7="","",M7-TODAY())</f>
        <v/>
      </c>
      <c r="P7" s="14"/>
      <c r="Q7" s="14"/>
      <c r="R7" s="14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5"/>
      <c r="J8" s="14"/>
      <c r="K8" s="15"/>
      <c r="L8" s="15"/>
      <c r="M8" s="15"/>
      <c r="N8" s="16" t="str">
        <f aca="true">IF(OR(L8="",M8=""),"",MAX(0,MIN(TODAY(),M8)-L8+1))</f>
        <v/>
      </c>
      <c r="O8" s="16" t="str">
        <f aca="true">IF(M8="","",M8-TODAY())</f>
        <v/>
      </c>
      <c r="P8" s="14"/>
      <c r="Q8" s="14"/>
      <c r="R8" s="14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5"/>
      <c r="J9" s="14"/>
      <c r="K9" s="15"/>
      <c r="L9" s="15"/>
      <c r="M9" s="15"/>
      <c r="N9" s="16" t="str">
        <f aca="true">IF(OR(L9="",M9=""),"",MAX(0,MIN(TODAY(),M9)-L9+1))</f>
        <v/>
      </c>
      <c r="O9" s="16" t="str">
        <f aca="true">IF(M9="","",M9-TODAY())</f>
        <v/>
      </c>
      <c r="P9" s="14"/>
      <c r="Q9" s="14"/>
      <c r="R9" s="14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5"/>
      <c r="J10" s="14"/>
      <c r="K10" s="15"/>
      <c r="L10" s="15"/>
      <c r="M10" s="15"/>
      <c r="N10" s="16" t="str">
        <f aca="true">IF(OR(L10="",M10=""),"",MAX(0,MIN(TODAY(),M10)-L10+1))</f>
        <v/>
      </c>
      <c r="O10" s="16" t="str">
        <f aca="true">IF(M10="","",M10-TODAY())</f>
        <v/>
      </c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5"/>
      <c r="J11" s="14"/>
      <c r="K11" s="15"/>
      <c r="L11" s="15"/>
      <c r="M11" s="15"/>
      <c r="N11" s="16" t="str">
        <f aca="true">IF(OR(L11="",M11=""),"",MAX(0,MIN(TODAY(),M11)-L11+1))</f>
        <v/>
      </c>
      <c r="O11" s="16" t="str">
        <f aca="true">IF(M11="","",M11-TODAY())</f>
        <v/>
      </c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5"/>
      <c r="J12" s="14"/>
      <c r="K12" s="15"/>
      <c r="L12" s="15"/>
      <c r="M12" s="15"/>
      <c r="N12" s="16" t="str">
        <f aca="true">IF(OR(L12="",M12=""),"",MAX(0,MIN(TODAY(),M12)-L12+1))</f>
        <v/>
      </c>
      <c r="O12" s="16" t="str">
        <f aca="true">IF(M12="","",M12-TODAY())</f>
        <v/>
      </c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5"/>
      <c r="J13" s="14"/>
      <c r="K13" s="15"/>
      <c r="L13" s="15"/>
      <c r="M13" s="15"/>
      <c r="N13" s="16" t="str">
        <f aca="true">IF(OR(L13="",M13=""),"",MAX(0,MIN(TODAY(),M13)-L13+1))</f>
        <v/>
      </c>
      <c r="O13" s="16" t="str">
        <f aca="true">IF(M13="","",M13-TODAY())</f>
        <v/>
      </c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5"/>
      <c r="J14" s="14"/>
      <c r="K14" s="15"/>
      <c r="L14" s="15"/>
      <c r="M14" s="15"/>
      <c r="N14" s="16" t="str">
        <f aca="true">IF(OR(L14="",M14=""),"",MAX(0,MIN(TODAY(),M14)-L14+1))</f>
        <v/>
      </c>
      <c r="O14" s="16" t="str">
        <f aca="true">IF(M14="","",M14-TODAY())</f>
        <v/>
      </c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5"/>
      <c r="J15" s="14"/>
      <c r="K15" s="15"/>
      <c r="L15" s="15"/>
      <c r="M15" s="15"/>
      <c r="N15" s="16" t="str">
        <f aca="true">IF(OR(L15="",M15=""),"",MAX(0,MIN(TODAY(),M15)-L15+1))</f>
        <v/>
      </c>
      <c r="O15" s="16" t="str">
        <f aca="true">IF(M15="","",M15-TODAY())</f>
        <v/>
      </c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5"/>
      <c r="J16" s="14"/>
      <c r="K16" s="15"/>
      <c r="L16" s="15"/>
      <c r="M16" s="15"/>
      <c r="N16" s="16" t="str">
        <f aca="true">IF(OR(L16="",M16=""),"",MAX(0,MIN(TODAY(),M16)-L16+1))</f>
        <v/>
      </c>
      <c r="O16" s="16" t="str">
        <f aca="true">IF(M16="","",M16-TODAY())</f>
        <v/>
      </c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5"/>
      <c r="J17" s="14"/>
      <c r="K17" s="15"/>
      <c r="L17" s="15"/>
      <c r="M17" s="15"/>
      <c r="N17" s="16" t="str">
        <f aca="true">IF(OR(L17="",M17=""),"",MAX(0,MIN(TODAY(),M17)-L17+1))</f>
        <v/>
      </c>
      <c r="O17" s="16" t="str">
        <f aca="true">IF(M17="","",M17-TODAY())</f>
        <v/>
      </c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5"/>
      <c r="J18" s="14"/>
      <c r="K18" s="15"/>
      <c r="L18" s="15"/>
      <c r="M18" s="15"/>
      <c r="N18" s="16" t="str">
        <f aca="true">IF(OR(L18="",M18=""),"",MAX(0,MIN(TODAY(),M18)-L18+1))</f>
        <v/>
      </c>
      <c r="O18" s="16" t="str">
        <f aca="true">IF(M18="","",M18-TODAY())</f>
        <v/>
      </c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5"/>
      <c r="J19" s="14"/>
      <c r="K19" s="15"/>
      <c r="L19" s="15"/>
      <c r="M19" s="15"/>
      <c r="N19" s="16" t="str">
        <f aca="true">IF(OR(L19="",M19=""),"",MAX(0,MIN(TODAY(),M19)-L19+1))</f>
        <v/>
      </c>
      <c r="O19" s="16" t="str">
        <f aca="true">IF(M19="","",M19-TODAY())</f>
        <v/>
      </c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5"/>
      <c r="J20" s="14"/>
      <c r="K20" s="15"/>
      <c r="L20" s="15"/>
      <c r="M20" s="15"/>
      <c r="N20" s="16" t="str">
        <f aca="true">IF(OR(L20="",M20=""),"",MAX(0,MIN(TODAY(),M20)-L20+1))</f>
        <v/>
      </c>
      <c r="O20" s="16" t="str">
        <f aca="true">IF(M20="","",M20-TODAY())</f>
        <v/>
      </c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5"/>
      <c r="J21" s="14"/>
      <c r="K21" s="15"/>
      <c r="L21" s="15"/>
      <c r="M21" s="15"/>
      <c r="N21" s="16" t="str">
        <f aca="true">IF(OR(L21="",M21=""),"",MAX(0,MIN(TODAY(),M21)-L21+1))</f>
        <v/>
      </c>
      <c r="O21" s="16" t="str">
        <f aca="true">IF(M21="","",M21-TODAY())</f>
        <v/>
      </c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5"/>
      <c r="J22" s="14"/>
      <c r="K22" s="15"/>
      <c r="L22" s="15"/>
      <c r="M22" s="15"/>
      <c r="N22" s="16" t="str">
        <f aca="true">IF(OR(L22="",M22=""),"",MAX(0,MIN(TODAY(),M22)-L22+1))</f>
        <v/>
      </c>
      <c r="O22" s="16" t="str">
        <f aca="true">IF(M22="","",M22-TODAY())</f>
        <v/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5"/>
      <c r="J23" s="14"/>
      <c r="K23" s="15"/>
      <c r="L23" s="15"/>
      <c r="M23" s="15"/>
      <c r="N23" s="16" t="str">
        <f aca="true">IF(OR(L23="",M23=""),"",MAX(0,MIN(TODAY(),M23)-L23+1))</f>
        <v/>
      </c>
      <c r="O23" s="16" t="str">
        <f aca="true">IF(M23="","",M23-TODAY())</f>
        <v/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5"/>
      <c r="J24" s="14"/>
      <c r="K24" s="15"/>
      <c r="L24" s="15"/>
      <c r="M24" s="15"/>
      <c r="N24" s="16" t="str">
        <f aca="true">IF(OR(L24="",M24=""),"",MAX(0,MIN(TODAY(),M24)-L24+1))</f>
        <v/>
      </c>
      <c r="O24" s="16" t="str">
        <f aca="true">IF(M24="","",M24-TODAY())</f>
        <v/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5"/>
      <c r="J25" s="14"/>
      <c r="K25" s="15"/>
      <c r="L25" s="15"/>
      <c r="M25" s="15"/>
      <c r="N25" s="16" t="str">
        <f aca="true">IF(OR(L25="",M25=""),"",MAX(0,MIN(TODAY(),M25)-L25+1))</f>
        <v/>
      </c>
      <c r="O25" s="16" t="str">
        <f aca="true">IF(M25="","",M25-TODAY())</f>
        <v/>
      </c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5"/>
      <c r="J26" s="14"/>
      <c r="K26" s="15"/>
      <c r="L26" s="15"/>
      <c r="M26" s="15"/>
      <c r="N26" s="16" t="str">
        <f aca="true">IF(OR(L26="",M26=""),"",MAX(0,MIN(TODAY(),M26)-L26+1))</f>
        <v/>
      </c>
      <c r="O26" s="16" t="str">
        <f aca="true">IF(M26="","",M26-TODAY())</f>
        <v/>
      </c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5"/>
      <c r="J27" s="14"/>
      <c r="K27" s="15"/>
      <c r="L27" s="15"/>
      <c r="M27" s="15"/>
      <c r="N27" s="16" t="str">
        <f aca="true">IF(OR(L27="",M27=""),"",MAX(0,MIN(TODAY(),M27)-L27+1))</f>
        <v/>
      </c>
      <c r="O27" s="16" t="str">
        <f aca="true">IF(M27="","",M27-TODAY())</f>
        <v/>
      </c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5"/>
      <c r="J28" s="14"/>
      <c r="K28" s="15"/>
      <c r="L28" s="15"/>
      <c r="M28" s="15"/>
      <c r="N28" s="16" t="str">
        <f aca="true">IF(OR(L28="",M28=""),"",MAX(0,MIN(TODAY(),M28)-L28+1))</f>
        <v/>
      </c>
      <c r="O28" s="16" t="str">
        <f aca="true">IF(M28="","",M28-TODAY())</f>
        <v/>
      </c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5"/>
      <c r="J29" s="14"/>
      <c r="K29" s="15"/>
      <c r="L29" s="15"/>
      <c r="M29" s="15"/>
      <c r="N29" s="16" t="str">
        <f aca="true">IF(OR(L29="",M29=""),"",MAX(0,MIN(TODAY(),M29)-L29+1))</f>
        <v/>
      </c>
      <c r="O29" s="16" t="str">
        <f aca="true">IF(M29="","",M29-TODAY())</f>
        <v/>
      </c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5"/>
      <c r="J30" s="14"/>
      <c r="K30" s="15"/>
      <c r="L30" s="15"/>
      <c r="M30" s="15"/>
      <c r="N30" s="16" t="str">
        <f aca="true">IF(OR(L30="",M30=""),"",MAX(0,MIN(TODAY(),M30)-L30+1))</f>
        <v/>
      </c>
      <c r="O30" s="16" t="str">
        <f aca="true">IF(M30="","",M30-TODAY())</f>
        <v/>
      </c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5"/>
      <c r="J31" s="14"/>
      <c r="K31" s="15"/>
      <c r="L31" s="15"/>
      <c r="M31" s="15"/>
      <c r="N31" s="16" t="str">
        <f aca="true">IF(OR(L31="",M31=""),"",MAX(0,MIN(TODAY(),M31)-L31+1))</f>
        <v/>
      </c>
      <c r="O31" s="16" t="str">
        <f aca="true">IF(M31="","",M31-TODAY())</f>
        <v/>
      </c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5"/>
      <c r="J32" s="14"/>
      <c r="K32" s="15"/>
      <c r="L32" s="15"/>
      <c r="M32" s="15"/>
      <c r="N32" s="16" t="str">
        <f aca="true">IF(OR(L32="",M32=""),"",MAX(0,MIN(TODAY(),M32)-L32+1))</f>
        <v/>
      </c>
      <c r="O32" s="16" t="str">
        <f aca="true">IF(M32="","",M32-TODAY())</f>
        <v/>
      </c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5"/>
      <c r="J33" s="14"/>
      <c r="K33" s="15"/>
      <c r="L33" s="15"/>
      <c r="M33" s="15"/>
      <c r="N33" s="16" t="str">
        <f aca="true">IF(OR(L33="",M33=""),"",MAX(0,MIN(TODAY(),M33)-L33+1))</f>
        <v/>
      </c>
      <c r="O33" s="16" t="str">
        <f aca="true">IF(M33="","",M33-TODAY())</f>
        <v/>
      </c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5"/>
      <c r="J34" s="14"/>
      <c r="K34" s="15"/>
      <c r="L34" s="15"/>
      <c r="M34" s="15"/>
      <c r="N34" s="16" t="str">
        <f aca="true">IF(OR(L34="",M34=""),"",MAX(0,MIN(TODAY(),M34)-L34+1))</f>
        <v/>
      </c>
      <c r="O34" s="16" t="str">
        <f aca="true">IF(M34="","",M34-TODAY())</f>
        <v/>
      </c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5"/>
      <c r="J35" s="14"/>
      <c r="K35" s="15"/>
      <c r="L35" s="15"/>
      <c r="M35" s="15"/>
      <c r="N35" s="16" t="str">
        <f aca="true">IF(OR(L35="",M35=""),"",MAX(0,MIN(TODAY(),M35)-L35+1))</f>
        <v/>
      </c>
      <c r="O35" s="16" t="str">
        <f aca="true">IF(M35="","",M35-TODAY())</f>
        <v/>
      </c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5"/>
      <c r="J36" s="14"/>
      <c r="K36" s="15"/>
      <c r="L36" s="15"/>
      <c r="M36" s="15"/>
      <c r="N36" s="16" t="str">
        <f aca="true">IF(OR(L36="",M36=""),"",MAX(0,MIN(TODAY(),M36)-L36+1))</f>
        <v/>
      </c>
      <c r="O36" s="16" t="str">
        <f aca="true">IF(M36="","",M36-TODAY())</f>
        <v/>
      </c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5"/>
      <c r="J37" s="14"/>
      <c r="K37" s="15"/>
      <c r="L37" s="15"/>
      <c r="M37" s="15"/>
      <c r="N37" s="16" t="str">
        <f aca="true">IF(OR(L37="",M37=""),"",MAX(0,MIN(TODAY(),M37)-L37+1))</f>
        <v/>
      </c>
      <c r="O37" s="16" t="str">
        <f aca="true">IF(M37="","",M37-TODAY())</f>
        <v/>
      </c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5"/>
      <c r="J38" s="14"/>
      <c r="K38" s="15"/>
      <c r="L38" s="15"/>
      <c r="M38" s="15"/>
      <c r="N38" s="16" t="str">
        <f aca="true">IF(OR(L38="",M38=""),"",MAX(0,MIN(TODAY(),M38)-L38+1))</f>
        <v/>
      </c>
      <c r="O38" s="16" t="str">
        <f aca="true">IF(M38="","",M38-TODAY())</f>
        <v/>
      </c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5"/>
      <c r="J39" s="14"/>
      <c r="K39" s="15"/>
      <c r="L39" s="15"/>
      <c r="M39" s="15"/>
      <c r="N39" s="16" t="str">
        <f aca="true">IF(OR(L39="",M39=""),"",MAX(0,MIN(TODAY(),M39)-L39+1))</f>
        <v/>
      </c>
      <c r="O39" s="16" t="str">
        <f aca="true">IF(M39="","",M39-TODAY())</f>
        <v/>
      </c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5"/>
      <c r="J40" s="14"/>
      <c r="K40" s="15"/>
      <c r="L40" s="15"/>
      <c r="M40" s="15"/>
      <c r="N40" s="16" t="str">
        <f aca="true">IF(OR(L40="",M40=""),"",MAX(0,MIN(TODAY(),M40)-L40+1))</f>
        <v/>
      </c>
      <c r="O40" s="16" t="str">
        <f aca="true">IF(M40="","",M40-TODAY())</f>
        <v/>
      </c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5"/>
      <c r="J41" s="14"/>
      <c r="K41" s="15"/>
      <c r="L41" s="15"/>
      <c r="M41" s="15"/>
      <c r="N41" s="16" t="str">
        <f aca="true">IF(OR(L41="",M41=""),"",MAX(0,MIN(TODAY(),M41)-L41+1))</f>
        <v/>
      </c>
      <c r="O41" s="16" t="str">
        <f aca="true">IF(M41="","",M41-TODAY())</f>
        <v/>
      </c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5"/>
      <c r="J42" s="14"/>
      <c r="K42" s="15"/>
      <c r="L42" s="15"/>
      <c r="M42" s="15"/>
      <c r="N42" s="16" t="str">
        <f aca="true">IF(OR(L42="",M42=""),"",MAX(0,MIN(TODAY(),M42)-L42+1))</f>
        <v/>
      </c>
      <c r="O42" s="16" t="str">
        <f aca="true">IF(M42="","",M42-TODAY())</f>
        <v/>
      </c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5"/>
      <c r="J43" s="14"/>
      <c r="K43" s="15"/>
      <c r="L43" s="15"/>
      <c r="M43" s="15"/>
      <c r="N43" s="16" t="str">
        <f aca="true">IF(OR(L43="",M43=""),"",MAX(0,MIN(TODAY(),M43)-L43+1))</f>
        <v/>
      </c>
      <c r="O43" s="16" t="str">
        <f aca="true">IF(M43="","",M43-TODAY())</f>
        <v/>
      </c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5"/>
      <c r="J44" s="14"/>
      <c r="K44" s="15"/>
      <c r="L44" s="15"/>
      <c r="M44" s="15"/>
      <c r="N44" s="16" t="str">
        <f aca="true">IF(OR(L44="",M44=""),"",MAX(0,MIN(TODAY(),M44)-L44+1))</f>
        <v/>
      </c>
      <c r="O44" s="16" t="str">
        <f aca="true">IF(M44="","",M44-TODAY())</f>
        <v/>
      </c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5"/>
      <c r="J45" s="14"/>
      <c r="K45" s="15"/>
      <c r="L45" s="15"/>
      <c r="M45" s="15"/>
      <c r="N45" s="16" t="str">
        <f aca="true">IF(OR(L45="",M45=""),"",MAX(0,MIN(TODAY(),M45)-L45+1))</f>
        <v/>
      </c>
      <c r="O45" s="16" t="str">
        <f aca="true">IF(M45="","",M45-TODAY())</f>
        <v/>
      </c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5"/>
      <c r="J46" s="14"/>
      <c r="K46" s="15"/>
      <c r="L46" s="15"/>
      <c r="M46" s="15"/>
      <c r="N46" s="16" t="str">
        <f aca="true">IF(OR(L46="",M46=""),"",MAX(0,MIN(TODAY(),M46)-L46+1))</f>
        <v/>
      </c>
      <c r="O46" s="16" t="str">
        <f aca="true">IF(M46="","",M46-TODAY())</f>
        <v/>
      </c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5"/>
      <c r="J47" s="14"/>
      <c r="K47" s="15"/>
      <c r="L47" s="15"/>
      <c r="M47" s="15"/>
      <c r="N47" s="16" t="str">
        <f aca="true">IF(OR(L47="",M47=""),"",MAX(0,MIN(TODAY(),M47)-L47+1))</f>
        <v/>
      </c>
      <c r="O47" s="16" t="str">
        <f aca="true">IF(M47="","",M47-TODAY())</f>
        <v/>
      </c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5"/>
      <c r="J48" s="14"/>
      <c r="K48" s="15"/>
      <c r="L48" s="15"/>
      <c r="M48" s="15"/>
      <c r="N48" s="16" t="str">
        <f aca="true">IF(OR(L48="",M48=""),"",MAX(0,MIN(TODAY(),M48)-L48+1))</f>
        <v/>
      </c>
      <c r="O48" s="16" t="str">
        <f aca="true">IF(M48="","",M48-TODAY())</f>
        <v/>
      </c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5"/>
      <c r="J49" s="14"/>
      <c r="K49" s="15"/>
      <c r="L49" s="15"/>
      <c r="M49" s="15"/>
      <c r="N49" s="16" t="str">
        <f aca="true">IF(OR(L49="",M49=""),"",MAX(0,MIN(TODAY(),M49)-L49+1))</f>
        <v/>
      </c>
      <c r="O49" s="16" t="str">
        <f aca="true">IF(M49="","",M49-TODAY())</f>
        <v/>
      </c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5"/>
      <c r="J50" s="14"/>
      <c r="K50" s="15"/>
      <c r="L50" s="15"/>
      <c r="M50" s="15"/>
      <c r="N50" s="16" t="str">
        <f aca="true">IF(OR(L50="",M50=""),"",MAX(0,MIN(TODAY(),M50)-L50+1))</f>
        <v/>
      </c>
      <c r="O50" s="16" t="str">
        <f aca="true">IF(M50="","",M50-TODAY())</f>
        <v/>
      </c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5"/>
      <c r="J51" s="14"/>
      <c r="K51" s="15"/>
      <c r="L51" s="15"/>
      <c r="M51" s="15"/>
      <c r="N51" s="16" t="str">
        <f aca="true">IF(OR(L51="",M51=""),"",MAX(0,MIN(TODAY(),M51)-L51+1))</f>
        <v/>
      </c>
      <c r="O51" s="16" t="str">
        <f aca="true">IF(M51="","",M51-TODAY())</f>
        <v/>
      </c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5"/>
      <c r="J52" s="14"/>
      <c r="K52" s="15"/>
      <c r="L52" s="15"/>
      <c r="M52" s="15"/>
      <c r="N52" s="16" t="str">
        <f aca="true">IF(OR(L52="",M52=""),"",MAX(0,MIN(TODAY(),M52)-L52+1))</f>
        <v/>
      </c>
      <c r="O52" s="16" t="str">
        <f aca="true">IF(M52="","",M52-TODAY())</f>
        <v/>
      </c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5"/>
      <c r="J53" s="14"/>
      <c r="K53" s="15"/>
      <c r="L53" s="15"/>
      <c r="M53" s="15"/>
      <c r="N53" s="16" t="str">
        <f aca="true">IF(OR(L53="",M53=""),"",MAX(0,MIN(TODAY(),M53)-L53+1))</f>
        <v/>
      </c>
      <c r="O53" s="16" t="str">
        <f aca="true">IF(M53="","",M53-TODAY())</f>
        <v/>
      </c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5"/>
      <c r="J54" s="14"/>
      <c r="K54" s="15"/>
      <c r="L54" s="15"/>
      <c r="M54" s="15"/>
      <c r="N54" s="16" t="str">
        <f aca="true">IF(OR(L54="",M54=""),"",MAX(0,MIN(TODAY(),M54)-L54+1))</f>
        <v/>
      </c>
      <c r="O54" s="16" t="str">
        <f aca="true">IF(M54="","",M54-TODAY())</f>
        <v/>
      </c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5"/>
      <c r="J55" s="14"/>
      <c r="K55" s="15"/>
      <c r="L55" s="15"/>
      <c r="M55" s="15"/>
      <c r="N55" s="16" t="str">
        <f aca="true">IF(OR(L55="",M55=""),"",MAX(0,MIN(TODAY(),M55)-L55+1))</f>
        <v/>
      </c>
      <c r="O55" s="16" t="str">
        <f aca="true">IF(M55="","",M55-TODAY())</f>
        <v/>
      </c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5"/>
      <c r="J56" s="14"/>
      <c r="K56" s="15"/>
      <c r="L56" s="15"/>
      <c r="M56" s="15"/>
      <c r="N56" s="16" t="str">
        <f aca="true">IF(OR(L56="",M56=""),"",MAX(0,MIN(TODAY(),M56)-L56+1))</f>
        <v/>
      </c>
      <c r="O56" s="16" t="str">
        <f aca="true">IF(M56="","",M56-TODAY())</f>
        <v/>
      </c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5"/>
      <c r="J57" s="14"/>
      <c r="K57" s="15"/>
      <c r="L57" s="15"/>
      <c r="M57" s="15"/>
      <c r="N57" s="16" t="str">
        <f aca="true">IF(OR(L57="",M57=""),"",MAX(0,MIN(TODAY(),M57)-L57+1))</f>
        <v/>
      </c>
      <c r="O57" s="16" t="str">
        <f aca="true">IF(M57="","",M57-TODAY())</f>
        <v/>
      </c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5"/>
      <c r="J58" s="14"/>
      <c r="K58" s="15"/>
      <c r="L58" s="15"/>
      <c r="M58" s="15"/>
      <c r="N58" s="16" t="str">
        <f aca="true">IF(OR(L58="",M58=""),"",MAX(0,MIN(TODAY(),M58)-L58+1))</f>
        <v/>
      </c>
      <c r="O58" s="16" t="str">
        <f aca="true">IF(M58="","",M58-TODAY())</f>
        <v/>
      </c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5"/>
      <c r="J59" s="14"/>
      <c r="K59" s="15"/>
      <c r="L59" s="15"/>
      <c r="M59" s="15"/>
      <c r="N59" s="16" t="str">
        <f aca="true">IF(OR(L59="",M59=""),"",MAX(0,MIN(TODAY(),M59)-L59+1))</f>
        <v/>
      </c>
      <c r="O59" s="16" t="str">
        <f aca="true">IF(M59="","",M59-TODAY())</f>
        <v/>
      </c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5"/>
      <c r="J60" s="14"/>
      <c r="K60" s="15"/>
      <c r="L60" s="15"/>
      <c r="M60" s="15"/>
      <c r="N60" s="16" t="str">
        <f aca="true">IF(OR(L60="",M60=""),"",MAX(0,MIN(TODAY(),M60)-L60+1))</f>
        <v/>
      </c>
      <c r="O60" s="16" t="str">
        <f aca="true">IF(M60="","",M60-TODAY())</f>
        <v/>
      </c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customFormat="false" ht="15" hidden="false" customHeight="false" outlineLevel="0" collapsed="false">
      <c r="A61" s="14"/>
      <c r="B61" s="14"/>
      <c r="C61" s="14"/>
      <c r="D61" s="14"/>
      <c r="E61" s="14"/>
      <c r="F61" s="14"/>
      <c r="G61" s="14"/>
      <c r="H61" s="14"/>
      <c r="I61" s="15"/>
      <c r="J61" s="14"/>
      <c r="K61" s="15"/>
      <c r="L61" s="15"/>
      <c r="M61" s="15"/>
      <c r="N61" s="16" t="str">
        <f aca="true">IF(OR(L61="",M61=""),"",MAX(0,MIN(TODAY(),M61)-L61+1))</f>
        <v/>
      </c>
      <c r="O61" s="16" t="str">
        <f aca="true">IF(M61="","",M61-TODAY())</f>
        <v/>
      </c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customFormat="false" ht="15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  <c r="I62" s="15"/>
      <c r="J62" s="14"/>
      <c r="K62" s="15"/>
      <c r="L62" s="15"/>
      <c r="M62" s="15"/>
      <c r="N62" s="16" t="str">
        <f aca="true">IF(OR(L62="",M62=""),"",MAX(0,MIN(TODAY(),M62)-L62+1))</f>
        <v/>
      </c>
      <c r="O62" s="16" t="str">
        <f aca="true">IF(M62="","",M62-TODAY())</f>
        <v/>
      </c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customFormat="false" ht="15" hidden="false" customHeight="false" outlineLevel="0" collapsed="false">
      <c r="A63" s="14"/>
      <c r="B63" s="14"/>
      <c r="C63" s="14"/>
      <c r="D63" s="14"/>
      <c r="E63" s="14"/>
      <c r="F63" s="14"/>
      <c r="G63" s="14"/>
      <c r="H63" s="14"/>
      <c r="I63" s="15"/>
      <c r="J63" s="14"/>
      <c r="K63" s="15"/>
      <c r="L63" s="15"/>
      <c r="M63" s="15"/>
      <c r="N63" s="16" t="str">
        <f aca="true">IF(OR(L63="",M63=""),"",MAX(0,MIN(TODAY(),M63)-L63+1))</f>
        <v/>
      </c>
      <c r="O63" s="16" t="str">
        <f aca="true">IF(M63="","",M63-TODAY())</f>
        <v/>
      </c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customFormat="false" ht="15" hidden="false" customHeight="false" outlineLevel="0" collapsed="false">
      <c r="A64" s="14"/>
      <c r="B64" s="14"/>
      <c r="C64" s="14"/>
      <c r="D64" s="14"/>
      <c r="E64" s="14"/>
      <c r="F64" s="14"/>
      <c r="G64" s="14"/>
      <c r="H64" s="14"/>
      <c r="I64" s="15"/>
      <c r="J64" s="14"/>
      <c r="K64" s="15"/>
      <c r="L64" s="15"/>
      <c r="M64" s="15"/>
      <c r="N64" s="16" t="str">
        <f aca="true">IF(OR(L64="",M64=""),"",MAX(0,MIN(TODAY(),M64)-L64+1))</f>
        <v/>
      </c>
      <c r="O64" s="16" t="str">
        <f aca="true">IF(M64="","",M64-TODAY())</f>
        <v/>
      </c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customFormat="false" ht="15" hidden="false" customHeight="false" outlineLevel="0" collapsed="false">
      <c r="A65" s="14"/>
      <c r="B65" s="14"/>
      <c r="C65" s="14"/>
      <c r="D65" s="14"/>
      <c r="E65" s="14"/>
      <c r="F65" s="14"/>
      <c r="G65" s="14"/>
      <c r="H65" s="14"/>
      <c r="I65" s="15"/>
      <c r="J65" s="14"/>
      <c r="K65" s="15"/>
      <c r="L65" s="15"/>
      <c r="M65" s="15"/>
      <c r="N65" s="16" t="str">
        <f aca="true">IF(OR(L65="",M65=""),"",MAX(0,MIN(TODAY(),M65)-L65+1))</f>
        <v/>
      </c>
      <c r="O65" s="16" t="str">
        <f aca="true">IF(M65="","",M65-TODAY())</f>
        <v/>
      </c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customFormat="false" ht="15" hidden="false" customHeight="false" outlineLevel="0" collapsed="false">
      <c r="A66" s="14"/>
      <c r="B66" s="14"/>
      <c r="C66" s="14"/>
      <c r="D66" s="14"/>
      <c r="E66" s="14"/>
      <c r="F66" s="14"/>
      <c r="G66" s="14"/>
      <c r="H66" s="14"/>
      <c r="I66" s="15"/>
      <c r="J66" s="14"/>
      <c r="K66" s="15"/>
      <c r="L66" s="15"/>
      <c r="M66" s="15"/>
      <c r="N66" s="16" t="str">
        <f aca="true">IF(OR(L66="",M66=""),"",MAX(0,MIN(TODAY(),M66)-L66+1))</f>
        <v/>
      </c>
      <c r="O66" s="16" t="str">
        <f aca="true">IF(M66="","",M66-TODAY())</f>
        <v/>
      </c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customFormat="false" ht="15" hidden="false" customHeight="false" outlineLevel="0" collapsed="false">
      <c r="A67" s="14"/>
      <c r="B67" s="14"/>
      <c r="C67" s="14"/>
      <c r="D67" s="14"/>
      <c r="E67" s="14"/>
      <c r="F67" s="14"/>
      <c r="G67" s="14"/>
      <c r="H67" s="14"/>
      <c r="I67" s="15"/>
      <c r="J67" s="14"/>
      <c r="K67" s="15"/>
      <c r="L67" s="15"/>
      <c r="M67" s="15"/>
      <c r="N67" s="16" t="str">
        <f aca="true">IF(OR(L67="",M67=""),"",MAX(0,MIN(TODAY(),M67)-L67+1))</f>
        <v/>
      </c>
      <c r="O67" s="16" t="str">
        <f aca="true">IF(M67="","",M67-TODAY())</f>
        <v/>
      </c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customFormat="false" ht="15" hidden="false" customHeight="false" outlineLevel="0" collapsed="false">
      <c r="A68" s="14"/>
      <c r="B68" s="14"/>
      <c r="C68" s="14"/>
      <c r="D68" s="14"/>
      <c r="E68" s="14"/>
      <c r="F68" s="14"/>
      <c r="G68" s="14"/>
      <c r="H68" s="14"/>
      <c r="I68" s="15"/>
      <c r="J68" s="14"/>
      <c r="K68" s="15"/>
      <c r="L68" s="15"/>
      <c r="M68" s="15"/>
      <c r="N68" s="16" t="str">
        <f aca="true">IF(OR(L68="",M68=""),"",MAX(0,MIN(TODAY(),M68)-L68+1))</f>
        <v/>
      </c>
      <c r="O68" s="16" t="str">
        <f aca="true">IF(M68="","",M68-TODAY())</f>
        <v/>
      </c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4"/>
      <c r="G69" s="14"/>
      <c r="H69" s="14"/>
      <c r="I69" s="15"/>
      <c r="J69" s="14"/>
      <c r="K69" s="15"/>
      <c r="L69" s="15"/>
      <c r="M69" s="15"/>
      <c r="N69" s="16" t="str">
        <f aca="true">IF(OR(L69="",M69=""),"",MAX(0,MIN(TODAY(),M69)-L69+1))</f>
        <v/>
      </c>
      <c r="O69" s="16" t="str">
        <f aca="true">IF(M69="","",M69-TODAY())</f>
        <v/>
      </c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customFormat="false" ht="15" hidden="false" customHeight="false" outlineLevel="0" collapsed="false">
      <c r="A70" s="14"/>
      <c r="B70" s="14"/>
      <c r="C70" s="14"/>
      <c r="D70" s="14"/>
      <c r="E70" s="14"/>
      <c r="F70" s="14"/>
      <c r="G70" s="14"/>
      <c r="H70" s="14"/>
      <c r="I70" s="15"/>
      <c r="J70" s="14"/>
      <c r="K70" s="15"/>
      <c r="L70" s="15"/>
      <c r="M70" s="15"/>
      <c r="N70" s="16" t="str">
        <f aca="true">IF(OR(L70="",M70=""),"",MAX(0,MIN(TODAY(),M70)-L70+1))</f>
        <v/>
      </c>
      <c r="O70" s="16" t="str">
        <f aca="true">IF(M70="","",M70-TODAY())</f>
        <v/>
      </c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customFormat="false" ht="15" hidden="false" customHeight="false" outlineLevel="0" collapsed="false">
      <c r="A71" s="14"/>
      <c r="B71" s="14"/>
      <c r="C71" s="14"/>
      <c r="D71" s="14"/>
      <c r="E71" s="14"/>
      <c r="F71" s="14"/>
      <c r="G71" s="14"/>
      <c r="H71" s="14"/>
      <c r="I71" s="15"/>
      <c r="J71" s="14"/>
      <c r="K71" s="15"/>
      <c r="L71" s="15"/>
      <c r="M71" s="15"/>
      <c r="N71" s="16" t="str">
        <f aca="true">IF(OR(L71="",M71=""),"",MAX(0,MIN(TODAY(),M71)-L71+1))</f>
        <v/>
      </c>
      <c r="O71" s="16" t="str">
        <f aca="true">IF(M71="","",M71-TODAY())</f>
        <v/>
      </c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customFormat="false" ht="15" hidden="false" customHeight="false" outlineLevel="0" collapsed="false">
      <c r="A72" s="14"/>
      <c r="B72" s="14"/>
      <c r="C72" s="14"/>
      <c r="D72" s="14"/>
      <c r="E72" s="14"/>
      <c r="F72" s="14"/>
      <c r="G72" s="14"/>
      <c r="H72" s="14"/>
      <c r="I72" s="15"/>
      <c r="J72" s="14"/>
      <c r="K72" s="15"/>
      <c r="L72" s="15"/>
      <c r="M72" s="15"/>
      <c r="N72" s="16" t="str">
        <f aca="true">IF(OR(L72="",M72=""),"",MAX(0,MIN(TODAY(),M72)-L72+1))</f>
        <v/>
      </c>
      <c r="O72" s="16" t="str">
        <f aca="true">IF(M72="","",M72-TODAY())</f>
        <v/>
      </c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customFormat="false" ht="15" hidden="false" customHeight="false" outlineLevel="0" collapsed="false">
      <c r="A73" s="14"/>
      <c r="B73" s="14"/>
      <c r="C73" s="14"/>
      <c r="D73" s="14"/>
      <c r="E73" s="14"/>
      <c r="F73" s="14"/>
      <c r="G73" s="14"/>
      <c r="H73" s="14"/>
      <c r="I73" s="15"/>
      <c r="J73" s="14"/>
      <c r="K73" s="15"/>
      <c r="L73" s="15"/>
      <c r="M73" s="15"/>
      <c r="N73" s="16" t="str">
        <f aca="true">IF(OR(L73="",M73=""),"",MAX(0,MIN(TODAY(),M73)-L73+1))</f>
        <v/>
      </c>
      <c r="O73" s="16" t="str">
        <f aca="true">IF(M73="","",M73-TODAY())</f>
        <v/>
      </c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customFormat="false" ht="15" hidden="false" customHeight="false" outlineLevel="0" collapsed="false">
      <c r="A74" s="14"/>
      <c r="B74" s="14"/>
      <c r="C74" s="14"/>
      <c r="D74" s="14"/>
      <c r="E74" s="14"/>
      <c r="F74" s="14"/>
      <c r="G74" s="14"/>
      <c r="H74" s="14"/>
      <c r="I74" s="15"/>
      <c r="J74" s="14"/>
      <c r="K74" s="15"/>
      <c r="L74" s="15"/>
      <c r="M74" s="15"/>
      <c r="N74" s="16" t="str">
        <f aca="true">IF(OR(L74="",M74=""),"",MAX(0,MIN(TODAY(),M74)-L74+1))</f>
        <v/>
      </c>
      <c r="O74" s="16" t="str">
        <f aca="true">IF(M74="","",M74-TODAY())</f>
        <v/>
      </c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customFormat="false" ht="15" hidden="false" customHeight="false" outlineLevel="0" collapsed="false">
      <c r="A75" s="14"/>
      <c r="B75" s="14"/>
      <c r="C75" s="14"/>
      <c r="D75" s="14"/>
      <c r="E75" s="14"/>
      <c r="F75" s="14"/>
      <c r="G75" s="14"/>
      <c r="H75" s="14"/>
      <c r="I75" s="15"/>
      <c r="J75" s="14"/>
      <c r="K75" s="15"/>
      <c r="L75" s="15"/>
      <c r="M75" s="15"/>
      <c r="N75" s="16" t="str">
        <f aca="true">IF(OR(L75="",M75=""),"",MAX(0,MIN(TODAY(),M75)-L75+1))</f>
        <v/>
      </c>
      <c r="O75" s="16" t="str">
        <f aca="true">IF(M75="","",M75-TODAY())</f>
        <v/>
      </c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customFormat="false" ht="15" hidden="false" customHeight="false" outlineLevel="0" collapsed="false">
      <c r="A76" s="14"/>
      <c r="B76" s="14"/>
      <c r="C76" s="14"/>
      <c r="D76" s="14"/>
      <c r="E76" s="14"/>
      <c r="F76" s="14"/>
      <c r="G76" s="14"/>
      <c r="H76" s="14"/>
      <c r="I76" s="15"/>
      <c r="J76" s="14"/>
      <c r="K76" s="15"/>
      <c r="L76" s="15"/>
      <c r="M76" s="15"/>
      <c r="N76" s="16" t="str">
        <f aca="true">IF(OR(L76="",M76=""),"",MAX(0,MIN(TODAY(),M76)-L76+1))</f>
        <v/>
      </c>
      <c r="O76" s="16" t="str">
        <f aca="true">IF(M76="","",M76-TODAY())</f>
        <v/>
      </c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customFormat="false" ht="15" hidden="false" customHeight="false" outlineLevel="0" collapsed="false">
      <c r="A77" s="14"/>
      <c r="B77" s="14"/>
      <c r="C77" s="14"/>
      <c r="D77" s="14"/>
      <c r="E77" s="14"/>
      <c r="F77" s="14"/>
      <c r="G77" s="14"/>
      <c r="H77" s="14"/>
      <c r="I77" s="15"/>
      <c r="J77" s="14"/>
      <c r="K77" s="15"/>
      <c r="L77" s="15"/>
      <c r="M77" s="15"/>
      <c r="N77" s="16" t="str">
        <f aca="true">IF(OR(L77="",M77=""),"",MAX(0,MIN(TODAY(),M77)-L77+1))</f>
        <v/>
      </c>
      <c r="O77" s="16" t="str">
        <f aca="true">IF(M77="","",M77-TODAY())</f>
        <v/>
      </c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customFormat="false" ht="15" hidden="false" customHeight="false" outlineLevel="0" collapsed="false">
      <c r="A78" s="14"/>
      <c r="B78" s="14"/>
      <c r="C78" s="14"/>
      <c r="D78" s="14"/>
      <c r="E78" s="14"/>
      <c r="F78" s="14"/>
      <c r="G78" s="14"/>
      <c r="H78" s="14"/>
      <c r="I78" s="15"/>
      <c r="J78" s="14"/>
      <c r="K78" s="15"/>
      <c r="L78" s="15"/>
      <c r="M78" s="15"/>
      <c r="N78" s="16" t="str">
        <f aca="true">IF(OR(L78="",M78=""),"",MAX(0,MIN(TODAY(),M78)-L78+1))</f>
        <v/>
      </c>
      <c r="O78" s="16" t="str">
        <f aca="true">IF(M78="","",M78-TODAY())</f>
        <v/>
      </c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customFormat="false" ht="15" hidden="false" customHeight="false" outlineLevel="0" collapsed="false">
      <c r="A79" s="14"/>
      <c r="B79" s="14"/>
      <c r="C79" s="14"/>
      <c r="D79" s="14"/>
      <c r="E79" s="14"/>
      <c r="F79" s="14"/>
      <c r="G79" s="14"/>
      <c r="H79" s="14"/>
      <c r="I79" s="15"/>
      <c r="J79" s="14"/>
      <c r="K79" s="15"/>
      <c r="L79" s="15"/>
      <c r="M79" s="15"/>
      <c r="N79" s="16" t="str">
        <f aca="true">IF(OR(L79="",M79=""),"",MAX(0,MIN(TODAY(),M79)-L79+1))</f>
        <v/>
      </c>
      <c r="O79" s="16" t="str">
        <f aca="true">IF(M79="","",M79-TODAY())</f>
        <v/>
      </c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customFormat="false" ht="15" hidden="false" customHeight="false" outlineLevel="0" collapsed="false">
      <c r="A80" s="14"/>
      <c r="B80" s="14"/>
      <c r="C80" s="14"/>
      <c r="D80" s="14"/>
      <c r="E80" s="14"/>
      <c r="F80" s="14"/>
      <c r="G80" s="14"/>
      <c r="H80" s="14"/>
      <c r="I80" s="15"/>
      <c r="J80" s="14"/>
      <c r="K80" s="15"/>
      <c r="L80" s="15"/>
      <c r="M80" s="15"/>
      <c r="N80" s="16" t="str">
        <f aca="true">IF(OR(L80="",M80=""),"",MAX(0,MIN(TODAY(),M80)-L80+1))</f>
        <v/>
      </c>
      <c r="O80" s="16" t="str">
        <f aca="true">IF(M80="","",M80-TODAY())</f>
        <v/>
      </c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customFormat="false" ht="15" hidden="false" customHeight="false" outlineLevel="0" collapsed="false">
      <c r="A81" s="14"/>
      <c r="B81" s="14"/>
      <c r="C81" s="14"/>
      <c r="D81" s="14"/>
      <c r="E81" s="14"/>
      <c r="F81" s="14"/>
      <c r="G81" s="14"/>
      <c r="H81" s="14"/>
      <c r="I81" s="15"/>
      <c r="J81" s="14"/>
      <c r="K81" s="15"/>
      <c r="L81" s="15"/>
      <c r="M81" s="15"/>
      <c r="N81" s="16" t="str">
        <f aca="true">IF(OR(L81="",M81=""),"",MAX(0,MIN(TODAY(),M81)-L81+1))</f>
        <v/>
      </c>
      <c r="O81" s="16" t="str">
        <f aca="true">IF(M81="","",M81-TODAY())</f>
        <v/>
      </c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customFormat="false" ht="15" hidden="false" customHeight="false" outlineLevel="0" collapsed="false">
      <c r="A82" s="14"/>
      <c r="B82" s="14"/>
      <c r="C82" s="14"/>
      <c r="D82" s="14"/>
      <c r="E82" s="14"/>
      <c r="F82" s="14"/>
      <c r="G82" s="14"/>
      <c r="H82" s="14"/>
      <c r="I82" s="15"/>
      <c r="J82" s="14"/>
      <c r="K82" s="15"/>
      <c r="L82" s="15"/>
      <c r="M82" s="15"/>
      <c r="N82" s="16" t="str">
        <f aca="true">IF(OR(L82="",M82=""),"",MAX(0,MIN(TODAY(),M82)-L82+1))</f>
        <v/>
      </c>
      <c r="O82" s="16" t="str">
        <f aca="true">IF(M82="","",M82-TODAY())</f>
        <v/>
      </c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customFormat="false" ht="15" hidden="false" customHeight="false" outlineLevel="0" collapsed="false">
      <c r="A83" s="14"/>
      <c r="B83" s="14"/>
      <c r="C83" s="14"/>
      <c r="D83" s="14"/>
      <c r="E83" s="14"/>
      <c r="F83" s="14"/>
      <c r="G83" s="14"/>
      <c r="H83" s="14"/>
      <c r="I83" s="15"/>
      <c r="J83" s="14"/>
      <c r="K83" s="15"/>
      <c r="L83" s="15"/>
      <c r="M83" s="15"/>
      <c r="N83" s="16" t="str">
        <f aca="true">IF(OR(L83="",M83=""),"",MAX(0,MIN(TODAY(),M83)-L83+1))</f>
        <v/>
      </c>
      <c r="O83" s="16" t="str">
        <f aca="true">IF(M83="","",M83-TODAY())</f>
        <v/>
      </c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customFormat="false" ht="15" hidden="false" customHeight="false" outlineLevel="0" collapsed="false">
      <c r="A84" s="14"/>
      <c r="B84" s="14"/>
      <c r="C84" s="14"/>
      <c r="D84" s="14"/>
      <c r="E84" s="14"/>
      <c r="F84" s="14"/>
      <c r="G84" s="14"/>
      <c r="H84" s="14"/>
      <c r="I84" s="15"/>
      <c r="J84" s="14"/>
      <c r="K84" s="15"/>
      <c r="L84" s="15"/>
      <c r="M84" s="15"/>
      <c r="N84" s="16" t="str">
        <f aca="true">IF(OR(L84="",M84=""),"",MAX(0,MIN(TODAY(),M84)-L84+1))</f>
        <v/>
      </c>
      <c r="O84" s="16" t="str">
        <f aca="true">IF(M84="","",M84-TODAY())</f>
        <v/>
      </c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customFormat="false" ht="15" hidden="false" customHeight="false" outlineLevel="0" collapsed="false">
      <c r="A85" s="14"/>
      <c r="B85" s="14"/>
      <c r="C85" s="14"/>
      <c r="D85" s="14"/>
      <c r="E85" s="14"/>
      <c r="F85" s="14"/>
      <c r="G85" s="14"/>
      <c r="H85" s="14"/>
      <c r="I85" s="15"/>
      <c r="J85" s="14"/>
      <c r="K85" s="15"/>
      <c r="L85" s="15"/>
      <c r="M85" s="15"/>
      <c r="N85" s="16" t="str">
        <f aca="true">IF(OR(L85="",M85=""),"",MAX(0,MIN(TODAY(),M85)-L85+1))</f>
        <v/>
      </c>
      <c r="O85" s="16" t="str">
        <f aca="true">IF(M85="","",M85-TODAY())</f>
        <v/>
      </c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customFormat="false" ht="15" hidden="false" customHeight="false" outlineLevel="0" collapsed="false">
      <c r="A86" s="14"/>
      <c r="B86" s="14"/>
      <c r="C86" s="14"/>
      <c r="D86" s="14"/>
      <c r="E86" s="14"/>
      <c r="F86" s="14"/>
      <c r="G86" s="14"/>
      <c r="H86" s="14"/>
      <c r="I86" s="15"/>
      <c r="J86" s="14"/>
      <c r="K86" s="15"/>
      <c r="L86" s="15"/>
      <c r="M86" s="15"/>
      <c r="N86" s="16" t="str">
        <f aca="true">IF(OR(L86="",M86=""),"",MAX(0,MIN(TODAY(),M86)-L86+1))</f>
        <v/>
      </c>
      <c r="O86" s="16" t="str">
        <f aca="true">IF(M86="","",M86-TODAY())</f>
        <v/>
      </c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customFormat="false" ht="15" hidden="false" customHeight="false" outlineLevel="0" collapsed="false">
      <c r="A87" s="14"/>
      <c r="B87" s="14"/>
      <c r="C87" s="14"/>
      <c r="D87" s="14"/>
      <c r="E87" s="14"/>
      <c r="F87" s="14"/>
      <c r="G87" s="14"/>
      <c r="H87" s="14"/>
      <c r="I87" s="15"/>
      <c r="J87" s="14"/>
      <c r="K87" s="15"/>
      <c r="L87" s="15"/>
      <c r="M87" s="15"/>
      <c r="N87" s="16" t="str">
        <f aca="true">IF(OR(L87="",M87=""),"",MAX(0,MIN(TODAY(),M87)-L87+1))</f>
        <v/>
      </c>
      <c r="O87" s="16" t="str">
        <f aca="true">IF(M87="","",M87-TODAY())</f>
        <v/>
      </c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customFormat="false" ht="15" hidden="false" customHeight="false" outlineLevel="0" collapsed="false">
      <c r="A88" s="14"/>
      <c r="B88" s="14"/>
      <c r="C88" s="14"/>
      <c r="D88" s="14"/>
      <c r="E88" s="14"/>
      <c r="F88" s="14"/>
      <c r="G88" s="14"/>
      <c r="H88" s="14"/>
      <c r="I88" s="15"/>
      <c r="J88" s="14"/>
      <c r="K88" s="15"/>
      <c r="L88" s="15"/>
      <c r="M88" s="15"/>
      <c r="N88" s="16" t="str">
        <f aca="true">IF(OR(L88="",M88=""),"",MAX(0,MIN(TODAY(),M88)-L88+1))</f>
        <v/>
      </c>
      <c r="O88" s="16" t="str">
        <f aca="true">IF(M88="","",M88-TODAY())</f>
        <v/>
      </c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customFormat="false" ht="15" hidden="false" customHeight="false" outlineLevel="0" collapsed="false">
      <c r="A89" s="14"/>
      <c r="B89" s="14"/>
      <c r="C89" s="14"/>
      <c r="D89" s="14"/>
      <c r="E89" s="14"/>
      <c r="F89" s="14"/>
      <c r="G89" s="14"/>
      <c r="H89" s="14"/>
      <c r="I89" s="15"/>
      <c r="J89" s="14"/>
      <c r="K89" s="15"/>
      <c r="L89" s="15"/>
      <c r="M89" s="15"/>
      <c r="N89" s="16" t="str">
        <f aca="true">IF(OR(L89="",M89=""),"",MAX(0,MIN(TODAY(),M89)-L89+1))</f>
        <v/>
      </c>
      <c r="O89" s="16" t="str">
        <f aca="true">IF(M89="","",M89-TODAY())</f>
        <v/>
      </c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customFormat="false" ht="15" hidden="false" customHeight="false" outlineLevel="0" collapsed="false">
      <c r="A90" s="14"/>
      <c r="B90" s="14"/>
      <c r="C90" s="14"/>
      <c r="D90" s="14"/>
      <c r="E90" s="14"/>
      <c r="F90" s="14"/>
      <c r="G90" s="14"/>
      <c r="H90" s="14"/>
      <c r="I90" s="15"/>
      <c r="J90" s="14"/>
      <c r="K90" s="15"/>
      <c r="L90" s="15"/>
      <c r="M90" s="15"/>
      <c r="N90" s="16" t="str">
        <f aca="true">IF(OR(L90="",M90=""),"",MAX(0,MIN(TODAY(),M90)-L90+1))</f>
        <v/>
      </c>
      <c r="O90" s="16" t="str">
        <f aca="true">IF(M90="","",M90-TODAY())</f>
        <v/>
      </c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customFormat="false" ht="15" hidden="false" customHeight="false" outlineLevel="0" collapsed="false">
      <c r="A91" s="14"/>
      <c r="B91" s="14"/>
      <c r="C91" s="14"/>
      <c r="D91" s="14"/>
      <c r="E91" s="14"/>
      <c r="F91" s="14"/>
      <c r="G91" s="14"/>
      <c r="H91" s="14"/>
      <c r="I91" s="15"/>
      <c r="J91" s="14"/>
      <c r="K91" s="15"/>
      <c r="L91" s="15"/>
      <c r="M91" s="15"/>
      <c r="N91" s="16" t="str">
        <f aca="true">IF(OR(L91="",M91=""),"",MAX(0,MIN(TODAY(),M91)-L91+1))</f>
        <v/>
      </c>
      <c r="O91" s="16" t="str">
        <f aca="true">IF(M91="","",M91-TODAY())</f>
        <v/>
      </c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customFormat="false" ht="15" hidden="false" customHeight="false" outlineLevel="0" collapsed="false">
      <c r="A92" s="14"/>
      <c r="B92" s="14"/>
      <c r="C92" s="14"/>
      <c r="D92" s="14"/>
      <c r="E92" s="14"/>
      <c r="F92" s="14"/>
      <c r="G92" s="14"/>
      <c r="H92" s="14"/>
      <c r="I92" s="15"/>
      <c r="J92" s="14"/>
      <c r="K92" s="15"/>
      <c r="L92" s="15"/>
      <c r="M92" s="15"/>
      <c r="N92" s="16" t="str">
        <f aca="true">IF(OR(L92="",M92=""),"",MAX(0,MIN(TODAY(),M92)-L92+1))</f>
        <v/>
      </c>
      <c r="O92" s="16" t="str">
        <f aca="true">IF(M92="","",M92-TODAY())</f>
        <v/>
      </c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customFormat="false" ht="15" hidden="false" customHeight="false" outlineLevel="0" collapsed="false">
      <c r="A93" s="14"/>
      <c r="B93" s="14"/>
      <c r="C93" s="14"/>
      <c r="D93" s="14"/>
      <c r="E93" s="14"/>
      <c r="F93" s="14"/>
      <c r="G93" s="14"/>
      <c r="H93" s="14"/>
      <c r="I93" s="15"/>
      <c r="J93" s="14"/>
      <c r="K93" s="15"/>
      <c r="L93" s="15"/>
      <c r="M93" s="15"/>
      <c r="N93" s="16" t="str">
        <f aca="true">IF(OR(L93="",M93=""),"",MAX(0,MIN(TODAY(),M93)-L93+1))</f>
        <v/>
      </c>
      <c r="O93" s="16" t="str">
        <f aca="true">IF(M93="","",M93-TODAY())</f>
        <v/>
      </c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customFormat="false" ht="15" hidden="false" customHeight="false" outlineLevel="0" collapsed="false">
      <c r="A94" s="14"/>
      <c r="B94" s="14"/>
      <c r="C94" s="14"/>
      <c r="D94" s="14"/>
      <c r="E94" s="14"/>
      <c r="F94" s="14"/>
      <c r="G94" s="14"/>
      <c r="H94" s="14"/>
      <c r="I94" s="15"/>
      <c r="J94" s="14"/>
      <c r="K94" s="15"/>
      <c r="L94" s="15"/>
      <c r="M94" s="15"/>
      <c r="N94" s="16" t="str">
        <f aca="true">IF(OR(L94="",M94=""),"",MAX(0,MIN(TODAY(),M94)-L94+1))</f>
        <v/>
      </c>
      <c r="O94" s="16" t="str">
        <f aca="true">IF(M94="","",M94-TODAY())</f>
        <v/>
      </c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customFormat="false" ht="15" hidden="false" customHeight="false" outlineLevel="0" collapsed="false">
      <c r="A95" s="14"/>
      <c r="B95" s="14"/>
      <c r="C95" s="14"/>
      <c r="D95" s="14"/>
      <c r="E95" s="14"/>
      <c r="F95" s="14"/>
      <c r="G95" s="14"/>
      <c r="H95" s="14"/>
      <c r="I95" s="15"/>
      <c r="J95" s="14"/>
      <c r="K95" s="15"/>
      <c r="L95" s="15"/>
      <c r="M95" s="15"/>
      <c r="N95" s="16" t="str">
        <f aca="true">IF(OR(L95="",M95=""),"",MAX(0,MIN(TODAY(),M95)-L95+1))</f>
        <v/>
      </c>
      <c r="O95" s="16" t="str">
        <f aca="true">IF(M95="","",M95-TODAY())</f>
        <v/>
      </c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customFormat="false" ht="15" hidden="false" customHeight="false" outlineLevel="0" collapsed="false">
      <c r="A96" s="14"/>
      <c r="B96" s="14"/>
      <c r="C96" s="14"/>
      <c r="D96" s="14"/>
      <c r="E96" s="14"/>
      <c r="F96" s="14"/>
      <c r="G96" s="14"/>
      <c r="H96" s="14"/>
      <c r="I96" s="15"/>
      <c r="J96" s="14"/>
      <c r="K96" s="15"/>
      <c r="L96" s="15"/>
      <c r="M96" s="15"/>
      <c r="N96" s="16" t="str">
        <f aca="true">IF(OR(L96="",M96=""),"",MAX(0,MIN(TODAY(),M96)-L96+1))</f>
        <v/>
      </c>
      <c r="O96" s="16" t="str">
        <f aca="true">IF(M96="","",M96-TODAY())</f>
        <v/>
      </c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customFormat="false" ht="15" hidden="false" customHeight="false" outlineLevel="0" collapsed="false">
      <c r="A97" s="14"/>
      <c r="B97" s="14"/>
      <c r="C97" s="14"/>
      <c r="D97" s="14"/>
      <c r="E97" s="14"/>
      <c r="F97" s="14"/>
      <c r="G97" s="14"/>
      <c r="H97" s="14"/>
      <c r="I97" s="15"/>
      <c r="J97" s="14"/>
      <c r="K97" s="15"/>
      <c r="L97" s="15"/>
      <c r="M97" s="15"/>
      <c r="N97" s="16" t="str">
        <f aca="true">IF(OR(L97="",M97=""),"",MAX(0,MIN(TODAY(),M97)-L97+1))</f>
        <v/>
      </c>
      <c r="O97" s="16" t="str">
        <f aca="true">IF(M97="","",M97-TODAY())</f>
        <v/>
      </c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customFormat="false" ht="15" hidden="false" customHeight="false" outlineLevel="0" collapsed="false">
      <c r="A98" s="14"/>
      <c r="B98" s="14"/>
      <c r="C98" s="14"/>
      <c r="D98" s="14"/>
      <c r="E98" s="14"/>
      <c r="F98" s="14"/>
      <c r="G98" s="14"/>
      <c r="H98" s="14"/>
      <c r="I98" s="15"/>
      <c r="J98" s="14"/>
      <c r="K98" s="15"/>
      <c r="L98" s="15"/>
      <c r="M98" s="15"/>
      <c r="N98" s="16" t="str">
        <f aca="true">IF(OR(L98="",M98=""),"",MAX(0,MIN(TODAY(),M98)-L98+1))</f>
        <v/>
      </c>
      <c r="O98" s="16" t="str">
        <f aca="true">IF(M98="","",M98-TODAY())</f>
        <v/>
      </c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customFormat="false" ht="15" hidden="false" customHeight="false" outlineLevel="0" collapsed="false">
      <c r="A99" s="14"/>
      <c r="B99" s="14"/>
      <c r="C99" s="14"/>
      <c r="D99" s="14"/>
      <c r="E99" s="14"/>
      <c r="F99" s="14"/>
      <c r="G99" s="14"/>
      <c r="H99" s="14"/>
      <c r="I99" s="15"/>
      <c r="J99" s="14"/>
      <c r="K99" s="15"/>
      <c r="L99" s="15"/>
      <c r="M99" s="15"/>
      <c r="N99" s="16" t="str">
        <f aca="true">IF(OR(L99="",M99=""),"",MAX(0,MIN(TODAY(),M99)-L99+1))</f>
        <v/>
      </c>
      <c r="O99" s="16" t="str">
        <f aca="true">IF(M99="","",M99-TODAY())</f>
        <v/>
      </c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customFormat="false" ht="15" hidden="false" customHeight="false" outlineLevel="0" collapsed="false">
      <c r="A100" s="14"/>
      <c r="B100" s="14"/>
      <c r="C100" s="14"/>
      <c r="D100" s="14"/>
      <c r="E100" s="14"/>
      <c r="F100" s="14"/>
      <c r="G100" s="14"/>
      <c r="H100" s="14"/>
      <c r="I100" s="15"/>
      <c r="J100" s="14"/>
      <c r="K100" s="15"/>
      <c r="L100" s="15"/>
      <c r="M100" s="15"/>
      <c r="N100" s="16" t="str">
        <f aca="true">IF(OR(L100="",M100=""),"",MAX(0,MIN(TODAY(),M100)-L100+1))</f>
        <v/>
      </c>
      <c r="O100" s="16" t="str">
        <f aca="true">IF(M100="","",M100-TODAY())</f>
        <v/>
      </c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customFormat="false" ht="15" hidden="false" customHeight="false" outlineLevel="0" collapsed="false">
      <c r="A101" s="14"/>
      <c r="B101" s="14"/>
      <c r="C101" s="14"/>
      <c r="D101" s="14"/>
      <c r="E101" s="14"/>
      <c r="F101" s="14"/>
      <c r="G101" s="14"/>
      <c r="H101" s="14"/>
      <c r="I101" s="15"/>
      <c r="J101" s="14"/>
      <c r="K101" s="15"/>
      <c r="L101" s="15"/>
      <c r="M101" s="15"/>
      <c r="N101" s="16" t="str">
        <f aca="true">IF(OR(L101="",M101=""),"",MAX(0,MIN(TODAY(),M101)-L101+1))</f>
        <v/>
      </c>
      <c r="O101" s="16" t="str">
        <f aca="true">IF(M101="","",M101-TODAY())</f>
        <v/>
      </c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customFormat="false" ht="15" hidden="false" customHeight="false" outlineLevel="0" collapsed="false">
      <c r="A102" s="14"/>
      <c r="B102" s="14"/>
      <c r="C102" s="14"/>
      <c r="D102" s="14"/>
      <c r="E102" s="14"/>
      <c r="F102" s="14"/>
      <c r="G102" s="14"/>
      <c r="H102" s="14"/>
      <c r="I102" s="15"/>
      <c r="J102" s="14"/>
      <c r="K102" s="15"/>
      <c r="L102" s="15"/>
      <c r="M102" s="15"/>
      <c r="N102" s="16" t="str">
        <f aca="true">IF(OR(L102="",M102=""),"",MAX(0,MIN(TODAY(),M102)-L102+1))</f>
        <v/>
      </c>
      <c r="O102" s="16" t="str">
        <f aca="true">IF(M102="","",M102-TODAY())</f>
        <v/>
      </c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customFormat="false" ht="15" hidden="false" customHeight="false" outlineLevel="0" collapsed="false">
      <c r="A103" s="14"/>
      <c r="B103" s="14"/>
      <c r="C103" s="14"/>
      <c r="D103" s="14"/>
      <c r="E103" s="14"/>
      <c r="F103" s="14"/>
      <c r="G103" s="14"/>
      <c r="H103" s="14"/>
      <c r="I103" s="15"/>
      <c r="J103" s="14"/>
      <c r="K103" s="15"/>
      <c r="L103" s="15"/>
      <c r="M103" s="15"/>
      <c r="N103" s="16" t="str">
        <f aca="true">IF(OR(L103="",M103=""),"",MAX(0,MIN(TODAY(),M103)-L103+1))</f>
        <v/>
      </c>
      <c r="O103" s="16" t="str">
        <f aca="true">IF(M103="","",M103-TODAY())</f>
        <v/>
      </c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customFormat="false" ht="15" hidden="false" customHeight="false" outlineLevel="0" collapsed="false">
      <c r="A104" s="14"/>
      <c r="B104" s="14"/>
      <c r="C104" s="14"/>
      <c r="D104" s="14"/>
      <c r="E104" s="14"/>
      <c r="F104" s="14"/>
      <c r="G104" s="14"/>
      <c r="H104" s="14"/>
      <c r="I104" s="15"/>
      <c r="J104" s="14"/>
      <c r="K104" s="15"/>
      <c r="L104" s="15"/>
      <c r="M104" s="15"/>
      <c r="N104" s="16" t="str">
        <f aca="true">IF(OR(L104="",M104=""),"",MAX(0,MIN(TODAY(),M104)-L104+1))</f>
        <v/>
      </c>
      <c r="O104" s="16" t="str">
        <f aca="true">IF(M104="","",M104-TODAY())</f>
        <v/>
      </c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customFormat="false" ht="15" hidden="false" customHeight="false" outlineLevel="0" collapsed="false">
      <c r="A105" s="14"/>
      <c r="B105" s="14"/>
      <c r="C105" s="14"/>
      <c r="D105" s="14"/>
      <c r="E105" s="14"/>
      <c r="F105" s="14"/>
      <c r="G105" s="14"/>
      <c r="H105" s="14"/>
      <c r="I105" s="15"/>
      <c r="J105" s="14"/>
      <c r="K105" s="15"/>
      <c r="L105" s="15"/>
      <c r="M105" s="15"/>
      <c r="N105" s="16" t="str">
        <f aca="true">IF(OR(L105="",M105=""),"",MAX(0,MIN(TODAY(),M105)-L105+1))</f>
        <v/>
      </c>
      <c r="O105" s="16" t="str">
        <f aca="true">IF(M105="","",M105-TODAY())</f>
        <v/>
      </c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customFormat="false" ht="15" hidden="false" customHeight="false" outlineLevel="0" collapsed="false">
      <c r="A106" s="14"/>
      <c r="B106" s="14"/>
      <c r="C106" s="14"/>
      <c r="D106" s="14"/>
      <c r="E106" s="14"/>
      <c r="F106" s="14"/>
      <c r="G106" s="14"/>
      <c r="H106" s="14"/>
      <c r="I106" s="15"/>
      <c r="J106" s="14"/>
      <c r="K106" s="15"/>
      <c r="L106" s="15"/>
      <c r="M106" s="15"/>
      <c r="N106" s="16" t="str">
        <f aca="true">IF(OR(L106="",M106=""),"",MAX(0,MIN(TODAY(),M106)-L106+1))</f>
        <v/>
      </c>
      <c r="O106" s="16" t="str">
        <f aca="true">IF(M106="","",M106-TODAY())</f>
        <v/>
      </c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customFormat="false" ht="15" hidden="false" customHeight="false" outlineLevel="0" collapsed="false">
      <c r="A107" s="14"/>
      <c r="B107" s="14"/>
      <c r="C107" s="14"/>
      <c r="D107" s="14"/>
      <c r="E107" s="14"/>
      <c r="F107" s="14"/>
      <c r="G107" s="14"/>
      <c r="H107" s="14"/>
      <c r="I107" s="15"/>
      <c r="J107" s="14"/>
      <c r="K107" s="15"/>
      <c r="L107" s="15"/>
      <c r="M107" s="15"/>
      <c r="N107" s="16" t="str">
        <f aca="true">IF(OR(L107="",M107=""),"",MAX(0,MIN(TODAY(),M107)-L107+1))</f>
        <v/>
      </c>
      <c r="O107" s="16" t="str">
        <f aca="true">IF(M107="","",M107-TODAY())</f>
        <v/>
      </c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customFormat="false" ht="15" hidden="false" customHeight="false" outlineLevel="0" collapsed="false">
      <c r="A108" s="14"/>
      <c r="B108" s="14"/>
      <c r="C108" s="14"/>
      <c r="D108" s="14"/>
      <c r="E108" s="14"/>
      <c r="F108" s="14"/>
      <c r="G108" s="14"/>
      <c r="H108" s="14"/>
      <c r="I108" s="15"/>
      <c r="J108" s="14"/>
      <c r="K108" s="15"/>
      <c r="L108" s="15"/>
      <c r="M108" s="15"/>
      <c r="N108" s="16" t="str">
        <f aca="true">IF(OR(L108="",M108=""),"",MAX(0,MIN(TODAY(),M108)-L108+1))</f>
        <v/>
      </c>
      <c r="O108" s="16" t="str">
        <f aca="true">IF(M108="","",M108-TODAY())</f>
        <v/>
      </c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customFormat="false" ht="15" hidden="false" customHeight="false" outlineLevel="0" collapsed="false">
      <c r="A109" s="14"/>
      <c r="B109" s="14"/>
      <c r="C109" s="14"/>
      <c r="D109" s="14"/>
      <c r="E109" s="14"/>
      <c r="F109" s="14"/>
      <c r="G109" s="14"/>
      <c r="H109" s="14"/>
      <c r="I109" s="15"/>
      <c r="J109" s="14"/>
      <c r="K109" s="15"/>
      <c r="L109" s="15"/>
      <c r="M109" s="15"/>
      <c r="N109" s="16" t="str">
        <f aca="true">IF(OR(L109="",M109=""),"",MAX(0,MIN(TODAY(),M109)-L109+1))</f>
        <v/>
      </c>
      <c r="O109" s="16" t="str">
        <f aca="true">IF(M109="","",M109-TODAY())</f>
        <v/>
      </c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customFormat="false" ht="15" hidden="false" customHeight="false" outlineLevel="0" collapsed="false">
      <c r="A110" s="14"/>
      <c r="B110" s="14"/>
      <c r="C110" s="14"/>
      <c r="D110" s="14"/>
      <c r="E110" s="14"/>
      <c r="F110" s="14"/>
      <c r="G110" s="14"/>
      <c r="H110" s="14"/>
      <c r="I110" s="15"/>
      <c r="J110" s="14"/>
      <c r="K110" s="15"/>
      <c r="L110" s="15"/>
      <c r="M110" s="15"/>
      <c r="N110" s="16" t="str">
        <f aca="true">IF(OR(L110="",M110=""),"",MAX(0,MIN(TODAY(),M110)-L110+1))</f>
        <v/>
      </c>
      <c r="O110" s="16" t="str">
        <f aca="true">IF(M110="","",M110-TODAY())</f>
        <v/>
      </c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customFormat="false" ht="15" hidden="false" customHeight="false" outlineLevel="0" collapsed="false">
      <c r="A111" s="14"/>
      <c r="B111" s="14"/>
      <c r="C111" s="14"/>
      <c r="D111" s="14"/>
      <c r="E111" s="14"/>
      <c r="F111" s="14"/>
      <c r="G111" s="14"/>
      <c r="H111" s="14"/>
      <c r="I111" s="15"/>
      <c r="J111" s="14"/>
      <c r="K111" s="15"/>
      <c r="L111" s="15"/>
      <c r="M111" s="15"/>
      <c r="N111" s="16" t="str">
        <f aca="true">IF(OR(L111="",M111=""),"",MAX(0,MIN(TODAY(),M111)-L111+1))</f>
        <v/>
      </c>
      <c r="O111" s="16" t="str">
        <f aca="true">IF(M111="","",M111-TODAY())</f>
        <v/>
      </c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customFormat="false" ht="15" hidden="false" customHeight="false" outlineLevel="0" collapsed="false">
      <c r="A112" s="14"/>
      <c r="B112" s="14"/>
      <c r="C112" s="14"/>
      <c r="D112" s="14"/>
      <c r="E112" s="14"/>
      <c r="F112" s="14"/>
      <c r="G112" s="14"/>
      <c r="H112" s="14"/>
      <c r="I112" s="15"/>
      <c r="J112" s="14"/>
      <c r="K112" s="15"/>
      <c r="L112" s="15"/>
      <c r="M112" s="15"/>
      <c r="N112" s="16" t="str">
        <f aca="true">IF(OR(L112="",M112=""),"",MAX(0,MIN(TODAY(),M112)-L112+1))</f>
        <v/>
      </c>
      <c r="O112" s="16" t="str">
        <f aca="true">IF(M112="","",M112-TODAY())</f>
        <v/>
      </c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customFormat="false" ht="15" hidden="false" customHeight="false" outlineLevel="0" collapsed="false">
      <c r="A113" s="14"/>
      <c r="B113" s="14"/>
      <c r="C113" s="14"/>
      <c r="D113" s="14"/>
      <c r="E113" s="14"/>
      <c r="F113" s="14"/>
      <c r="G113" s="14"/>
      <c r="H113" s="14"/>
      <c r="I113" s="15"/>
      <c r="J113" s="14"/>
      <c r="K113" s="15"/>
      <c r="L113" s="15"/>
      <c r="M113" s="15"/>
      <c r="N113" s="16" t="str">
        <f aca="true">IF(OR(L113="",M113=""),"",MAX(0,MIN(TODAY(),M113)-L113+1))</f>
        <v/>
      </c>
      <c r="O113" s="16" t="str">
        <f aca="true">IF(M113="","",M113-TODAY())</f>
        <v/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customFormat="false" ht="15" hidden="false" customHeight="false" outlineLevel="0" collapsed="false">
      <c r="A114" s="14"/>
      <c r="B114" s="14"/>
      <c r="C114" s="14"/>
      <c r="D114" s="14"/>
      <c r="E114" s="14"/>
      <c r="F114" s="14"/>
      <c r="G114" s="14"/>
      <c r="H114" s="14"/>
      <c r="I114" s="15"/>
      <c r="J114" s="14"/>
      <c r="K114" s="15"/>
      <c r="L114" s="15"/>
      <c r="M114" s="15"/>
      <c r="N114" s="16" t="str">
        <f aca="true">IF(OR(L114="",M114=""),"",MAX(0,MIN(TODAY(),M114)-L114+1))</f>
        <v/>
      </c>
      <c r="O114" s="16" t="str">
        <f aca="true">IF(M114="","",M114-TODAY())</f>
        <v/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customFormat="false" ht="15" hidden="false" customHeight="false" outlineLevel="0" collapsed="false">
      <c r="A115" s="14"/>
      <c r="B115" s="14"/>
      <c r="C115" s="14"/>
      <c r="D115" s="14"/>
      <c r="E115" s="14"/>
      <c r="F115" s="14"/>
      <c r="G115" s="14"/>
      <c r="H115" s="14"/>
      <c r="I115" s="15"/>
      <c r="J115" s="14"/>
      <c r="K115" s="15"/>
      <c r="L115" s="15"/>
      <c r="M115" s="15"/>
      <c r="N115" s="16" t="str">
        <f aca="true">IF(OR(L115="",M115=""),"",MAX(0,MIN(TODAY(),M115)-L115+1))</f>
        <v/>
      </c>
      <c r="O115" s="16" t="str">
        <f aca="true">IF(M115="","",M115-TODAY())</f>
        <v/>
      </c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customFormat="false" ht="15" hidden="false" customHeight="false" outlineLevel="0" collapsed="false">
      <c r="A116" s="14"/>
      <c r="B116" s="14"/>
      <c r="C116" s="14"/>
      <c r="D116" s="14"/>
      <c r="E116" s="14"/>
      <c r="F116" s="14"/>
      <c r="G116" s="14"/>
      <c r="H116" s="14"/>
      <c r="I116" s="15"/>
      <c r="J116" s="14"/>
      <c r="K116" s="15"/>
      <c r="L116" s="15"/>
      <c r="M116" s="15"/>
      <c r="N116" s="16" t="str">
        <f aca="true">IF(OR(L116="",M116=""),"",MAX(0,MIN(TODAY(),M116)-L116+1))</f>
        <v/>
      </c>
      <c r="O116" s="16" t="str">
        <f aca="true">IF(M116="","",M116-TODAY())</f>
        <v/>
      </c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customFormat="false" ht="15" hidden="false" customHeight="false" outlineLevel="0" collapsed="false">
      <c r="A117" s="14"/>
      <c r="B117" s="14"/>
      <c r="C117" s="14"/>
      <c r="D117" s="14"/>
      <c r="E117" s="14"/>
      <c r="F117" s="14"/>
      <c r="G117" s="14"/>
      <c r="H117" s="14"/>
      <c r="I117" s="15"/>
      <c r="J117" s="14"/>
      <c r="K117" s="15"/>
      <c r="L117" s="15"/>
      <c r="M117" s="15"/>
      <c r="N117" s="16" t="str">
        <f aca="true">IF(OR(L117="",M117=""),"",MAX(0,MIN(TODAY(),M117)-L117+1))</f>
        <v/>
      </c>
      <c r="O117" s="16" t="str">
        <f aca="true">IF(M117="","",M117-TODAY())</f>
        <v/>
      </c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customFormat="false" ht="15" hidden="false" customHeight="false" outlineLevel="0" collapsed="false">
      <c r="A118" s="14"/>
      <c r="B118" s="14"/>
      <c r="C118" s="14"/>
      <c r="D118" s="14"/>
      <c r="E118" s="14"/>
      <c r="F118" s="14"/>
      <c r="G118" s="14"/>
      <c r="H118" s="14"/>
      <c r="I118" s="15"/>
      <c r="J118" s="14"/>
      <c r="K118" s="15"/>
      <c r="L118" s="15"/>
      <c r="M118" s="15"/>
      <c r="N118" s="16" t="str">
        <f aca="true">IF(OR(L118="",M118=""),"",MAX(0,MIN(TODAY(),M118)-L118+1))</f>
        <v/>
      </c>
      <c r="O118" s="16" t="str">
        <f aca="true">IF(M118="","",M118-TODAY())</f>
        <v/>
      </c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customFormat="false" ht="15" hidden="false" customHeight="false" outlineLevel="0" collapsed="false">
      <c r="A119" s="14"/>
      <c r="B119" s="14"/>
      <c r="C119" s="14"/>
      <c r="D119" s="14"/>
      <c r="E119" s="14"/>
      <c r="F119" s="14"/>
      <c r="G119" s="14"/>
      <c r="H119" s="14"/>
      <c r="I119" s="15"/>
      <c r="J119" s="14"/>
      <c r="K119" s="15"/>
      <c r="L119" s="15"/>
      <c r="M119" s="15"/>
      <c r="N119" s="16" t="str">
        <f aca="true">IF(OR(L119="",M119=""),"",MAX(0,MIN(TODAY(),M119)-L119+1))</f>
        <v/>
      </c>
      <c r="O119" s="16" t="str">
        <f aca="true">IF(M119="","",M119-TODAY())</f>
        <v/>
      </c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customFormat="false" ht="15" hidden="false" customHeight="false" outlineLevel="0" collapsed="false">
      <c r="A120" s="14"/>
      <c r="B120" s="14"/>
      <c r="C120" s="14"/>
      <c r="D120" s="14"/>
      <c r="E120" s="14"/>
      <c r="F120" s="14"/>
      <c r="G120" s="14"/>
      <c r="H120" s="14"/>
      <c r="I120" s="15"/>
      <c r="J120" s="14"/>
      <c r="K120" s="15"/>
      <c r="L120" s="15"/>
      <c r="M120" s="15"/>
      <c r="N120" s="16" t="str">
        <f aca="true">IF(OR(L120="",M120=""),"",MAX(0,MIN(TODAY(),M120)-L120+1))</f>
        <v/>
      </c>
      <c r="O120" s="16" t="str">
        <f aca="true">IF(M120="","",M120-TODAY())</f>
        <v/>
      </c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customFormat="false" ht="15" hidden="false" customHeight="false" outlineLevel="0" collapsed="false">
      <c r="A121" s="14"/>
      <c r="B121" s="14"/>
      <c r="C121" s="14"/>
      <c r="D121" s="14"/>
      <c r="E121" s="14"/>
      <c r="F121" s="14"/>
      <c r="G121" s="14"/>
      <c r="H121" s="14"/>
      <c r="I121" s="15"/>
      <c r="J121" s="14"/>
      <c r="K121" s="15"/>
      <c r="L121" s="15"/>
      <c r="M121" s="15"/>
      <c r="N121" s="16" t="str">
        <f aca="true">IF(OR(L121="",M121=""),"",MAX(0,MIN(TODAY(),M121)-L121+1))</f>
        <v/>
      </c>
      <c r="O121" s="16" t="str">
        <f aca="true">IF(M121="","",M121-TODAY())</f>
        <v/>
      </c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customFormat="false" ht="15" hidden="false" customHeight="false" outlineLevel="0" collapsed="false">
      <c r="A122" s="14"/>
      <c r="B122" s="14"/>
      <c r="C122" s="14"/>
      <c r="D122" s="14"/>
      <c r="E122" s="14"/>
      <c r="F122" s="14"/>
      <c r="G122" s="14"/>
      <c r="H122" s="14"/>
      <c r="I122" s="15"/>
      <c r="J122" s="14"/>
      <c r="K122" s="15"/>
      <c r="L122" s="15"/>
      <c r="M122" s="15"/>
      <c r="N122" s="16" t="str">
        <f aca="true">IF(OR(L122="",M122=""),"",MAX(0,MIN(TODAY(),M122)-L122+1))</f>
        <v/>
      </c>
      <c r="O122" s="16" t="str">
        <f aca="true">IF(M122="","",M122-TODAY())</f>
        <v/>
      </c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customFormat="false" ht="15" hidden="false" customHeight="false" outlineLevel="0" collapsed="false">
      <c r="A123" s="14"/>
      <c r="B123" s="14"/>
      <c r="C123" s="14"/>
      <c r="D123" s="14"/>
      <c r="E123" s="14"/>
      <c r="F123" s="14"/>
      <c r="G123" s="14"/>
      <c r="H123" s="14"/>
      <c r="I123" s="15"/>
      <c r="J123" s="14"/>
      <c r="K123" s="15"/>
      <c r="L123" s="15"/>
      <c r="M123" s="15"/>
      <c r="N123" s="16" t="str">
        <f aca="true">IF(OR(L123="",M123=""),"",MAX(0,MIN(TODAY(),M123)-L123+1))</f>
        <v/>
      </c>
      <c r="O123" s="16" t="str">
        <f aca="true">IF(M123="","",M123-TODAY())</f>
        <v/>
      </c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customFormat="false" ht="15" hidden="false" customHeight="false" outlineLevel="0" collapsed="false">
      <c r="A124" s="14"/>
      <c r="B124" s="14"/>
      <c r="C124" s="14"/>
      <c r="D124" s="14"/>
      <c r="E124" s="14"/>
      <c r="F124" s="14"/>
      <c r="G124" s="14"/>
      <c r="H124" s="14"/>
      <c r="I124" s="15"/>
      <c r="J124" s="14"/>
      <c r="K124" s="15"/>
      <c r="L124" s="15"/>
      <c r="M124" s="15"/>
      <c r="N124" s="16" t="str">
        <f aca="true">IF(OR(L124="",M124=""),"",MAX(0,MIN(TODAY(),M124)-L124+1))</f>
        <v/>
      </c>
      <c r="O124" s="16" t="str">
        <f aca="true">IF(M124="","",M124-TODAY())</f>
        <v/>
      </c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customFormat="false" ht="15" hidden="false" customHeight="false" outlineLevel="0" collapsed="false">
      <c r="A125" s="14"/>
      <c r="B125" s="14"/>
      <c r="C125" s="14"/>
      <c r="D125" s="14"/>
      <c r="E125" s="14"/>
      <c r="F125" s="14"/>
      <c r="G125" s="14"/>
      <c r="H125" s="14"/>
      <c r="I125" s="15"/>
      <c r="J125" s="14"/>
      <c r="K125" s="15"/>
      <c r="L125" s="15"/>
      <c r="M125" s="15"/>
      <c r="N125" s="16" t="str">
        <f aca="true">IF(OR(L125="",M125=""),"",MAX(0,MIN(TODAY(),M125)-L125+1))</f>
        <v/>
      </c>
      <c r="O125" s="16" t="str">
        <f aca="true">IF(M125="","",M125-TODAY())</f>
        <v/>
      </c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customFormat="false" ht="15" hidden="false" customHeight="false" outlineLevel="0" collapsed="false">
      <c r="A126" s="14"/>
      <c r="B126" s="14"/>
      <c r="C126" s="14"/>
      <c r="D126" s="14"/>
      <c r="E126" s="14"/>
      <c r="F126" s="14"/>
      <c r="G126" s="14"/>
      <c r="H126" s="14"/>
      <c r="I126" s="15"/>
      <c r="J126" s="14"/>
      <c r="K126" s="15"/>
      <c r="L126" s="15"/>
      <c r="M126" s="15"/>
      <c r="N126" s="16" t="str">
        <f aca="true">IF(OR(L126="",M126=""),"",MAX(0,MIN(TODAY(),M126)-L126+1))</f>
        <v/>
      </c>
      <c r="O126" s="16" t="str">
        <f aca="true">IF(M126="","",M126-TODAY())</f>
        <v/>
      </c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customFormat="false" ht="15" hidden="false" customHeight="false" outlineLevel="0" collapsed="false">
      <c r="A127" s="14"/>
      <c r="B127" s="14"/>
      <c r="C127" s="14"/>
      <c r="D127" s="14"/>
      <c r="E127" s="14"/>
      <c r="F127" s="14"/>
      <c r="G127" s="14"/>
      <c r="H127" s="14"/>
      <c r="I127" s="15"/>
      <c r="J127" s="14"/>
      <c r="K127" s="15"/>
      <c r="L127" s="15"/>
      <c r="M127" s="15"/>
      <c r="N127" s="16" t="str">
        <f aca="true">IF(OR(L127="",M127=""),"",MAX(0,MIN(TODAY(),M127)-L127+1))</f>
        <v/>
      </c>
      <c r="O127" s="16" t="str">
        <f aca="true">IF(M127="","",M127-TODAY())</f>
        <v/>
      </c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customFormat="false" ht="15" hidden="false" customHeight="false" outlineLevel="0" collapsed="false">
      <c r="A128" s="14"/>
      <c r="B128" s="14"/>
      <c r="C128" s="14"/>
      <c r="D128" s="14"/>
      <c r="E128" s="14"/>
      <c r="F128" s="14"/>
      <c r="G128" s="14"/>
      <c r="H128" s="14"/>
      <c r="I128" s="15"/>
      <c r="J128" s="14"/>
      <c r="K128" s="15"/>
      <c r="L128" s="15"/>
      <c r="M128" s="15"/>
      <c r="N128" s="16" t="str">
        <f aca="true">IF(OR(L128="",M128=""),"",MAX(0,MIN(TODAY(),M128)-L128+1))</f>
        <v/>
      </c>
      <c r="O128" s="16" t="str">
        <f aca="true">IF(M128="","",M128-TODAY())</f>
        <v/>
      </c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customFormat="false" ht="15" hidden="false" customHeight="false" outlineLevel="0" collapsed="false">
      <c r="A129" s="14"/>
      <c r="B129" s="14"/>
      <c r="C129" s="14"/>
      <c r="D129" s="14"/>
      <c r="E129" s="14"/>
      <c r="F129" s="14"/>
      <c r="G129" s="14"/>
      <c r="H129" s="14"/>
      <c r="I129" s="15"/>
      <c r="J129" s="14"/>
      <c r="K129" s="15"/>
      <c r="L129" s="15"/>
      <c r="M129" s="15"/>
      <c r="N129" s="16" t="str">
        <f aca="true">IF(OR(L129="",M129=""),"",MAX(0,MIN(TODAY(),M129)-L129+1))</f>
        <v/>
      </c>
      <c r="O129" s="16" t="str">
        <f aca="true">IF(M129="","",M129-TODAY())</f>
        <v/>
      </c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customFormat="false" ht="15" hidden="false" customHeight="false" outlineLevel="0" collapsed="false">
      <c r="A130" s="14"/>
      <c r="B130" s="14"/>
      <c r="C130" s="14"/>
      <c r="D130" s="14"/>
      <c r="E130" s="14"/>
      <c r="F130" s="14"/>
      <c r="G130" s="14"/>
      <c r="H130" s="14"/>
      <c r="I130" s="15"/>
      <c r="J130" s="14"/>
      <c r="K130" s="15"/>
      <c r="L130" s="15"/>
      <c r="M130" s="15"/>
      <c r="N130" s="16" t="str">
        <f aca="true">IF(OR(L130="",M130=""),"",MAX(0,MIN(TODAY(),M130)-L130+1))</f>
        <v/>
      </c>
      <c r="O130" s="16" t="str">
        <f aca="true">IF(M130="","",M130-TODAY())</f>
        <v/>
      </c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customFormat="false" ht="15" hidden="false" customHeight="false" outlineLevel="0" collapsed="false">
      <c r="A131" s="14"/>
      <c r="B131" s="14"/>
      <c r="C131" s="14"/>
      <c r="D131" s="14"/>
      <c r="E131" s="14"/>
      <c r="F131" s="14"/>
      <c r="G131" s="14"/>
      <c r="H131" s="14"/>
      <c r="I131" s="15"/>
      <c r="J131" s="14"/>
      <c r="K131" s="15"/>
      <c r="L131" s="15"/>
      <c r="M131" s="15"/>
      <c r="N131" s="16" t="str">
        <f aca="true">IF(OR(L131="",M131=""),"",MAX(0,MIN(TODAY(),M131)-L131+1))</f>
        <v/>
      </c>
      <c r="O131" s="16" t="str">
        <f aca="true">IF(M131="","",M131-TODAY())</f>
        <v/>
      </c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customFormat="false" ht="15" hidden="false" customHeight="false" outlineLevel="0" collapsed="false">
      <c r="A132" s="14"/>
      <c r="B132" s="14"/>
      <c r="C132" s="14"/>
      <c r="D132" s="14"/>
      <c r="E132" s="14"/>
      <c r="F132" s="14"/>
      <c r="G132" s="14"/>
      <c r="H132" s="14"/>
      <c r="I132" s="15"/>
      <c r="J132" s="14"/>
      <c r="K132" s="15"/>
      <c r="L132" s="15"/>
      <c r="M132" s="15"/>
      <c r="N132" s="16" t="str">
        <f aca="true">IF(OR(L132="",M132=""),"",MAX(0,MIN(TODAY(),M132)-L132+1))</f>
        <v/>
      </c>
      <c r="O132" s="16" t="str">
        <f aca="true">IF(M132="","",M132-TODAY())</f>
        <v/>
      </c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customFormat="false" ht="15" hidden="false" customHeight="false" outlineLevel="0" collapsed="false">
      <c r="A133" s="14"/>
      <c r="B133" s="14"/>
      <c r="C133" s="14"/>
      <c r="D133" s="14"/>
      <c r="E133" s="14"/>
      <c r="F133" s="14"/>
      <c r="G133" s="14"/>
      <c r="H133" s="14"/>
      <c r="I133" s="15"/>
      <c r="J133" s="14"/>
      <c r="K133" s="15"/>
      <c r="L133" s="15"/>
      <c r="M133" s="15"/>
      <c r="N133" s="16" t="str">
        <f aca="true">IF(OR(L133="",M133=""),"",MAX(0,MIN(TODAY(),M133)-L133+1))</f>
        <v/>
      </c>
      <c r="O133" s="16" t="str">
        <f aca="true">IF(M133="","",M133-TODAY())</f>
        <v/>
      </c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customFormat="false" ht="15" hidden="false" customHeight="false" outlineLevel="0" collapsed="false">
      <c r="A134" s="14"/>
      <c r="B134" s="14"/>
      <c r="C134" s="14"/>
      <c r="D134" s="14"/>
      <c r="E134" s="14"/>
      <c r="F134" s="14"/>
      <c r="G134" s="14"/>
      <c r="H134" s="14"/>
      <c r="I134" s="15"/>
      <c r="J134" s="14"/>
      <c r="K134" s="15"/>
      <c r="L134" s="15"/>
      <c r="M134" s="15"/>
      <c r="N134" s="16" t="str">
        <f aca="true">IF(OR(L134="",M134=""),"",MAX(0,MIN(TODAY(),M134)-L134+1))</f>
        <v/>
      </c>
      <c r="O134" s="16" t="str">
        <f aca="true">IF(M134="","",M134-TODAY())</f>
        <v/>
      </c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customFormat="false" ht="15" hidden="false" customHeight="false" outlineLevel="0" collapsed="false">
      <c r="A135" s="14"/>
      <c r="B135" s="14"/>
      <c r="C135" s="14"/>
      <c r="D135" s="14"/>
      <c r="E135" s="14"/>
      <c r="F135" s="14"/>
      <c r="G135" s="14"/>
      <c r="H135" s="14"/>
      <c r="I135" s="15"/>
      <c r="J135" s="14"/>
      <c r="K135" s="15"/>
      <c r="L135" s="15"/>
      <c r="M135" s="15"/>
      <c r="N135" s="16" t="str">
        <f aca="true">IF(OR(L135="",M135=""),"",MAX(0,MIN(TODAY(),M135)-L135+1))</f>
        <v/>
      </c>
      <c r="O135" s="16" t="str">
        <f aca="true">IF(M135="","",M135-TODAY())</f>
        <v/>
      </c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customFormat="false" ht="15" hidden="false" customHeight="false" outlineLevel="0" collapsed="false">
      <c r="A136" s="14"/>
      <c r="B136" s="14"/>
      <c r="C136" s="14"/>
      <c r="D136" s="14"/>
      <c r="E136" s="14"/>
      <c r="F136" s="14"/>
      <c r="G136" s="14"/>
      <c r="H136" s="14"/>
      <c r="I136" s="15"/>
      <c r="J136" s="14"/>
      <c r="K136" s="15"/>
      <c r="L136" s="15"/>
      <c r="M136" s="15"/>
      <c r="N136" s="16" t="str">
        <f aca="true">IF(OR(L136="",M136=""),"",MAX(0,MIN(TODAY(),M136)-L136+1))</f>
        <v/>
      </c>
      <c r="O136" s="16" t="str">
        <f aca="true">IF(M136="","",M136-TODAY())</f>
        <v/>
      </c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customFormat="false" ht="15" hidden="false" customHeight="false" outlineLevel="0" collapsed="false">
      <c r="A137" s="14"/>
      <c r="B137" s="14"/>
      <c r="C137" s="14"/>
      <c r="D137" s="14"/>
      <c r="E137" s="14"/>
      <c r="F137" s="14"/>
      <c r="G137" s="14"/>
      <c r="H137" s="14"/>
      <c r="I137" s="15"/>
      <c r="J137" s="14"/>
      <c r="K137" s="15"/>
      <c r="L137" s="15"/>
      <c r="M137" s="15"/>
      <c r="N137" s="16" t="str">
        <f aca="true">IF(OR(L137="",M137=""),"",MAX(0,MIN(TODAY(),M137)-L137+1))</f>
        <v/>
      </c>
      <c r="O137" s="16" t="str">
        <f aca="true">IF(M137="","",M137-TODAY())</f>
        <v/>
      </c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customFormat="false" ht="15" hidden="false" customHeight="false" outlineLevel="0" collapsed="false">
      <c r="A138" s="14"/>
      <c r="B138" s="14"/>
      <c r="C138" s="14"/>
      <c r="D138" s="14"/>
      <c r="E138" s="14"/>
      <c r="F138" s="14"/>
      <c r="G138" s="14"/>
      <c r="H138" s="14"/>
      <c r="I138" s="15"/>
      <c r="J138" s="14"/>
      <c r="K138" s="15"/>
      <c r="L138" s="15"/>
      <c r="M138" s="15"/>
      <c r="N138" s="16" t="str">
        <f aca="true">IF(OR(L138="",M138=""),"",MAX(0,MIN(TODAY(),M138)-L138+1))</f>
        <v/>
      </c>
      <c r="O138" s="16" t="str">
        <f aca="true">IF(M138="","",M138-TODAY())</f>
        <v/>
      </c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customFormat="false" ht="15" hidden="false" customHeight="false" outlineLevel="0" collapsed="false">
      <c r="A139" s="14"/>
      <c r="B139" s="14"/>
      <c r="C139" s="14"/>
      <c r="D139" s="14"/>
      <c r="E139" s="14"/>
      <c r="F139" s="14"/>
      <c r="G139" s="14"/>
      <c r="H139" s="14"/>
      <c r="I139" s="15"/>
      <c r="J139" s="14"/>
      <c r="K139" s="15"/>
      <c r="L139" s="15"/>
      <c r="M139" s="15"/>
      <c r="N139" s="16" t="str">
        <f aca="true">IF(OR(L139="",M139=""),"",MAX(0,MIN(TODAY(),M139)-L139+1))</f>
        <v/>
      </c>
      <c r="O139" s="16" t="str">
        <f aca="true">IF(M139="","",M139-TODAY())</f>
        <v/>
      </c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customFormat="false" ht="15" hidden="false" customHeight="false" outlineLevel="0" collapsed="false">
      <c r="A140" s="14"/>
      <c r="B140" s="14"/>
      <c r="C140" s="14"/>
      <c r="D140" s="14"/>
      <c r="E140" s="14"/>
      <c r="F140" s="14"/>
      <c r="G140" s="14"/>
      <c r="H140" s="14"/>
      <c r="I140" s="15"/>
      <c r="J140" s="14"/>
      <c r="K140" s="15"/>
      <c r="L140" s="15"/>
      <c r="M140" s="15"/>
      <c r="N140" s="16" t="str">
        <f aca="true">IF(OR(L140="",M140=""),"",MAX(0,MIN(TODAY(),M140)-L140+1))</f>
        <v/>
      </c>
      <c r="O140" s="16" t="str">
        <f aca="true">IF(M140="","",M140-TODAY())</f>
        <v/>
      </c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customFormat="false" ht="15" hidden="false" customHeight="false" outlineLevel="0" collapsed="false">
      <c r="A141" s="14"/>
      <c r="B141" s="14"/>
      <c r="C141" s="14"/>
      <c r="D141" s="14"/>
      <c r="E141" s="14"/>
      <c r="F141" s="14"/>
      <c r="G141" s="14"/>
      <c r="H141" s="14"/>
      <c r="I141" s="15"/>
      <c r="J141" s="14"/>
      <c r="K141" s="15"/>
      <c r="L141" s="15"/>
      <c r="M141" s="15"/>
      <c r="N141" s="16" t="str">
        <f aca="true">IF(OR(L141="",M141=""),"",MAX(0,MIN(TODAY(),M141)-L141+1))</f>
        <v/>
      </c>
      <c r="O141" s="16" t="str">
        <f aca="true">IF(M141="","",M141-TODAY())</f>
        <v/>
      </c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customFormat="false" ht="15" hidden="false" customHeight="false" outlineLevel="0" collapsed="false">
      <c r="A142" s="14"/>
      <c r="B142" s="14"/>
      <c r="C142" s="14"/>
      <c r="D142" s="14"/>
      <c r="E142" s="14"/>
      <c r="F142" s="14"/>
      <c r="G142" s="14"/>
      <c r="H142" s="14"/>
      <c r="I142" s="15"/>
      <c r="J142" s="14"/>
      <c r="K142" s="15"/>
      <c r="L142" s="15"/>
      <c r="M142" s="15"/>
      <c r="N142" s="16" t="str">
        <f aca="true">IF(OR(L142="",M142=""),"",MAX(0,MIN(TODAY(),M142)-L142+1))</f>
        <v/>
      </c>
      <c r="O142" s="16" t="str">
        <f aca="true">IF(M142="","",M142-TODAY())</f>
        <v/>
      </c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customFormat="false" ht="15" hidden="false" customHeight="false" outlineLevel="0" collapsed="false">
      <c r="A143" s="14"/>
      <c r="B143" s="14"/>
      <c r="C143" s="14"/>
      <c r="D143" s="14"/>
      <c r="E143" s="14"/>
      <c r="F143" s="14"/>
      <c r="G143" s="14"/>
      <c r="H143" s="14"/>
      <c r="I143" s="15"/>
      <c r="J143" s="14"/>
      <c r="K143" s="15"/>
      <c r="L143" s="15"/>
      <c r="M143" s="15"/>
      <c r="N143" s="16" t="str">
        <f aca="true">IF(OR(L143="",M143=""),"",MAX(0,MIN(TODAY(),M143)-L143+1))</f>
        <v/>
      </c>
      <c r="O143" s="16" t="str">
        <f aca="true">IF(M143="","",M143-TODAY())</f>
        <v/>
      </c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customFormat="false" ht="15" hidden="false" customHeight="false" outlineLevel="0" collapsed="false">
      <c r="A144" s="14"/>
      <c r="B144" s="14"/>
      <c r="C144" s="14"/>
      <c r="D144" s="14"/>
      <c r="E144" s="14"/>
      <c r="F144" s="14"/>
      <c r="G144" s="14"/>
      <c r="H144" s="14"/>
      <c r="I144" s="15"/>
      <c r="J144" s="14"/>
      <c r="K144" s="15"/>
      <c r="L144" s="15"/>
      <c r="M144" s="15"/>
      <c r="N144" s="16" t="str">
        <f aca="true">IF(OR(L144="",M144=""),"",MAX(0,MIN(TODAY(),M144)-L144+1))</f>
        <v/>
      </c>
      <c r="O144" s="16" t="str">
        <f aca="true">IF(M144="","",M144-TODAY())</f>
        <v/>
      </c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customFormat="false" ht="15" hidden="false" customHeight="false" outlineLevel="0" collapsed="false">
      <c r="A145" s="14"/>
      <c r="B145" s="14"/>
      <c r="C145" s="14"/>
      <c r="D145" s="14"/>
      <c r="E145" s="14"/>
      <c r="F145" s="14"/>
      <c r="G145" s="14"/>
      <c r="H145" s="14"/>
      <c r="I145" s="15"/>
      <c r="J145" s="14"/>
      <c r="K145" s="15"/>
      <c r="L145" s="15"/>
      <c r="M145" s="15"/>
      <c r="N145" s="16" t="str">
        <f aca="true">IF(OR(L145="",M145=""),"",MAX(0,MIN(TODAY(),M145)-L145+1))</f>
        <v/>
      </c>
      <c r="O145" s="16" t="str">
        <f aca="true">IF(M145="","",M145-TODAY())</f>
        <v/>
      </c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customFormat="false" ht="15" hidden="false" customHeight="false" outlineLevel="0" collapsed="false">
      <c r="A146" s="14"/>
      <c r="B146" s="14"/>
      <c r="C146" s="14"/>
      <c r="D146" s="14"/>
      <c r="E146" s="14"/>
      <c r="F146" s="14"/>
      <c r="G146" s="14"/>
      <c r="H146" s="14"/>
      <c r="I146" s="15"/>
      <c r="J146" s="14"/>
      <c r="K146" s="15"/>
      <c r="L146" s="15"/>
      <c r="M146" s="15"/>
      <c r="N146" s="16" t="str">
        <f aca="true">IF(OR(L146="",M146=""),"",MAX(0,MIN(TODAY(),M146)-L146+1))</f>
        <v/>
      </c>
      <c r="O146" s="16" t="str">
        <f aca="true">IF(M146="","",M146-TODAY())</f>
        <v/>
      </c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customFormat="false" ht="15" hidden="false" customHeight="false" outlineLevel="0" collapsed="false">
      <c r="A147" s="14"/>
      <c r="B147" s="14"/>
      <c r="C147" s="14"/>
      <c r="D147" s="14"/>
      <c r="E147" s="14"/>
      <c r="F147" s="14"/>
      <c r="G147" s="14"/>
      <c r="H147" s="14"/>
      <c r="I147" s="15"/>
      <c r="J147" s="14"/>
      <c r="K147" s="15"/>
      <c r="L147" s="15"/>
      <c r="M147" s="15"/>
      <c r="N147" s="16" t="str">
        <f aca="true">IF(OR(L147="",M147=""),"",MAX(0,MIN(TODAY(),M147)-L147+1))</f>
        <v/>
      </c>
      <c r="O147" s="16" t="str">
        <f aca="true">IF(M147="","",M147-TODAY())</f>
        <v/>
      </c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customFormat="false" ht="15" hidden="false" customHeight="false" outlineLevel="0" collapsed="false">
      <c r="A148" s="14"/>
      <c r="B148" s="14"/>
      <c r="C148" s="14"/>
      <c r="D148" s="14"/>
      <c r="E148" s="14"/>
      <c r="F148" s="14"/>
      <c r="G148" s="14"/>
      <c r="H148" s="14"/>
      <c r="I148" s="15"/>
      <c r="J148" s="14"/>
      <c r="K148" s="15"/>
      <c r="L148" s="15"/>
      <c r="M148" s="15"/>
      <c r="N148" s="16" t="str">
        <f aca="true">IF(OR(L148="",M148=""),"",MAX(0,MIN(TODAY(),M148)-L148+1))</f>
        <v/>
      </c>
      <c r="O148" s="16" t="str">
        <f aca="true">IF(M148="","",M148-TODAY())</f>
        <v/>
      </c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customFormat="false" ht="15" hidden="false" customHeight="false" outlineLevel="0" collapsed="false">
      <c r="A149" s="14"/>
      <c r="B149" s="14"/>
      <c r="C149" s="14"/>
      <c r="D149" s="14"/>
      <c r="E149" s="14"/>
      <c r="F149" s="14"/>
      <c r="G149" s="14"/>
      <c r="H149" s="14"/>
      <c r="I149" s="15"/>
      <c r="J149" s="14"/>
      <c r="K149" s="15"/>
      <c r="L149" s="15"/>
      <c r="M149" s="15"/>
      <c r="N149" s="16" t="str">
        <f aca="true">IF(OR(L149="",M149=""),"",MAX(0,MIN(TODAY(),M149)-L149+1))</f>
        <v/>
      </c>
      <c r="O149" s="16" t="str">
        <f aca="true">IF(M149="","",M149-TODAY())</f>
        <v/>
      </c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customFormat="false" ht="15" hidden="false" customHeight="false" outlineLevel="0" collapsed="false">
      <c r="A150" s="14"/>
      <c r="B150" s="14"/>
      <c r="C150" s="14"/>
      <c r="D150" s="14"/>
      <c r="E150" s="14"/>
      <c r="F150" s="14"/>
      <c r="G150" s="14"/>
      <c r="H150" s="14"/>
      <c r="I150" s="15"/>
      <c r="J150" s="14"/>
      <c r="K150" s="15"/>
      <c r="L150" s="15"/>
      <c r="M150" s="15"/>
      <c r="N150" s="16" t="str">
        <f aca="true">IF(OR(L150="",M150=""),"",MAX(0,MIN(TODAY(),M150)-L150+1))</f>
        <v/>
      </c>
      <c r="O150" s="16" t="str">
        <f aca="true">IF(M150="","",M150-TODAY())</f>
        <v/>
      </c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customFormat="false" ht="15" hidden="false" customHeight="false" outlineLevel="0" collapsed="false">
      <c r="A151" s="14"/>
      <c r="B151" s="14"/>
      <c r="C151" s="14"/>
      <c r="D151" s="14"/>
      <c r="E151" s="14"/>
      <c r="F151" s="14"/>
      <c r="G151" s="14"/>
      <c r="H151" s="14"/>
      <c r="I151" s="15"/>
      <c r="J151" s="14"/>
      <c r="K151" s="15"/>
      <c r="L151" s="15"/>
      <c r="M151" s="15"/>
      <c r="N151" s="16" t="str">
        <f aca="true">IF(OR(L151="",M151=""),"",MAX(0,MIN(TODAY(),M151)-L151+1))</f>
        <v/>
      </c>
      <c r="O151" s="16" t="str">
        <f aca="true">IF(M151="","",M151-TODAY())</f>
        <v/>
      </c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customFormat="false" ht="15" hidden="false" customHeight="false" outlineLevel="0" collapsed="false">
      <c r="A152" s="14"/>
      <c r="B152" s="14"/>
      <c r="C152" s="14"/>
      <c r="D152" s="14"/>
      <c r="E152" s="14"/>
      <c r="F152" s="14"/>
      <c r="G152" s="14"/>
      <c r="H152" s="14"/>
      <c r="I152" s="15"/>
      <c r="J152" s="14"/>
      <c r="K152" s="15"/>
      <c r="L152" s="15"/>
      <c r="M152" s="15"/>
      <c r="N152" s="16" t="str">
        <f aca="true">IF(OR(L152="",M152=""),"",MAX(0,MIN(TODAY(),M152)-L152+1))</f>
        <v/>
      </c>
      <c r="O152" s="16" t="str">
        <f aca="true">IF(M152="","",M152-TODAY())</f>
        <v/>
      </c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customFormat="false" ht="15" hidden="false" customHeight="false" outlineLevel="0" collapsed="false">
      <c r="A153" s="14"/>
      <c r="B153" s="14"/>
      <c r="C153" s="14"/>
      <c r="D153" s="14"/>
      <c r="E153" s="14"/>
      <c r="F153" s="14"/>
      <c r="G153" s="14"/>
      <c r="H153" s="14"/>
      <c r="I153" s="15"/>
      <c r="J153" s="14"/>
      <c r="K153" s="15"/>
      <c r="L153" s="15"/>
      <c r="M153" s="15"/>
      <c r="N153" s="16" t="str">
        <f aca="true">IF(OR(L153="",M153=""),"",MAX(0,MIN(TODAY(),M153)-L153+1))</f>
        <v/>
      </c>
      <c r="O153" s="16" t="str">
        <f aca="true">IF(M153="","",M153-TODAY())</f>
        <v/>
      </c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customFormat="false" ht="15" hidden="false" customHeight="false" outlineLevel="0" collapsed="false">
      <c r="A154" s="14"/>
      <c r="B154" s="14"/>
      <c r="C154" s="14"/>
      <c r="D154" s="14"/>
      <c r="E154" s="14"/>
      <c r="F154" s="14"/>
      <c r="G154" s="14"/>
      <c r="H154" s="14"/>
      <c r="I154" s="15"/>
      <c r="J154" s="14"/>
      <c r="K154" s="15"/>
      <c r="L154" s="15"/>
      <c r="M154" s="15"/>
      <c r="N154" s="16" t="str">
        <f aca="true">IF(OR(L154="",M154=""),"",MAX(0,MIN(TODAY(),M154)-L154+1))</f>
        <v/>
      </c>
      <c r="O154" s="16" t="str">
        <f aca="true">IF(M154="","",M154-TODAY())</f>
        <v/>
      </c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customFormat="false" ht="15" hidden="false" customHeight="false" outlineLevel="0" collapsed="false">
      <c r="A155" s="14"/>
      <c r="B155" s="14"/>
      <c r="C155" s="14"/>
      <c r="D155" s="14"/>
      <c r="E155" s="14"/>
      <c r="F155" s="14"/>
      <c r="G155" s="14"/>
      <c r="H155" s="14"/>
      <c r="I155" s="15"/>
      <c r="J155" s="14"/>
      <c r="K155" s="15"/>
      <c r="L155" s="15"/>
      <c r="M155" s="15"/>
      <c r="N155" s="16" t="str">
        <f aca="true">IF(OR(L155="",M155=""),"",MAX(0,MIN(TODAY(),M155)-L155+1))</f>
        <v/>
      </c>
      <c r="O155" s="16" t="str">
        <f aca="true">IF(M155="","",M155-TODAY())</f>
        <v/>
      </c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customFormat="false" ht="15" hidden="false" customHeight="false" outlineLevel="0" collapsed="false">
      <c r="A156" s="14"/>
      <c r="B156" s="14"/>
      <c r="C156" s="14"/>
      <c r="D156" s="14"/>
      <c r="E156" s="14"/>
      <c r="F156" s="14"/>
      <c r="G156" s="14"/>
      <c r="H156" s="14"/>
      <c r="I156" s="15"/>
      <c r="J156" s="14"/>
      <c r="K156" s="15"/>
      <c r="L156" s="15"/>
      <c r="M156" s="15"/>
      <c r="N156" s="16" t="str">
        <f aca="true">IF(OR(L156="",M156=""),"",MAX(0,MIN(TODAY(),M156)-L156+1))</f>
        <v/>
      </c>
      <c r="O156" s="16" t="str">
        <f aca="true">IF(M156="","",M156-TODAY())</f>
        <v/>
      </c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customFormat="false" ht="15" hidden="false" customHeight="false" outlineLevel="0" collapsed="false">
      <c r="A157" s="14"/>
      <c r="B157" s="14"/>
      <c r="C157" s="14"/>
      <c r="D157" s="14"/>
      <c r="E157" s="14"/>
      <c r="F157" s="14"/>
      <c r="G157" s="14"/>
      <c r="H157" s="14"/>
      <c r="I157" s="15"/>
      <c r="J157" s="14"/>
      <c r="K157" s="15"/>
      <c r="L157" s="15"/>
      <c r="M157" s="15"/>
      <c r="N157" s="16" t="str">
        <f aca="true">IF(OR(L157="",M157=""),"",MAX(0,MIN(TODAY(),M157)-L157+1))</f>
        <v/>
      </c>
      <c r="O157" s="16" t="str">
        <f aca="true">IF(M157="","",M157-TODAY())</f>
        <v/>
      </c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customFormat="false" ht="15" hidden="false" customHeight="false" outlineLevel="0" collapsed="false">
      <c r="A158" s="14"/>
      <c r="B158" s="14"/>
      <c r="C158" s="14"/>
      <c r="D158" s="14"/>
      <c r="E158" s="14"/>
      <c r="F158" s="14"/>
      <c r="G158" s="14"/>
      <c r="H158" s="14"/>
      <c r="I158" s="15"/>
      <c r="J158" s="14"/>
      <c r="K158" s="15"/>
      <c r="L158" s="15"/>
      <c r="M158" s="15"/>
      <c r="N158" s="16" t="str">
        <f aca="true">IF(OR(L158="",M158=""),"",MAX(0,MIN(TODAY(),M158)-L158+1))</f>
        <v/>
      </c>
      <c r="O158" s="16" t="str">
        <f aca="true">IF(M158="","",M158-TODAY())</f>
        <v/>
      </c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customFormat="false" ht="15" hidden="false" customHeight="false" outlineLevel="0" collapsed="false">
      <c r="A159" s="14"/>
      <c r="B159" s="14"/>
      <c r="C159" s="14"/>
      <c r="D159" s="14"/>
      <c r="E159" s="14"/>
      <c r="F159" s="14"/>
      <c r="G159" s="14"/>
      <c r="H159" s="14"/>
      <c r="I159" s="15"/>
      <c r="J159" s="14"/>
      <c r="K159" s="15"/>
      <c r="L159" s="15"/>
      <c r="M159" s="15"/>
      <c r="N159" s="16" t="str">
        <f aca="true">IF(OR(L159="",M159=""),"",MAX(0,MIN(TODAY(),M159)-L159+1))</f>
        <v/>
      </c>
      <c r="O159" s="16" t="str">
        <f aca="true">IF(M159="","",M159-TODAY())</f>
        <v/>
      </c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customFormat="false" ht="15" hidden="false" customHeight="false" outlineLevel="0" collapsed="false">
      <c r="A160" s="14"/>
      <c r="B160" s="14"/>
      <c r="C160" s="14"/>
      <c r="D160" s="14"/>
      <c r="E160" s="14"/>
      <c r="F160" s="14"/>
      <c r="G160" s="14"/>
      <c r="H160" s="14"/>
      <c r="I160" s="15"/>
      <c r="J160" s="14"/>
      <c r="K160" s="15"/>
      <c r="L160" s="15"/>
      <c r="M160" s="15"/>
      <c r="N160" s="16" t="str">
        <f aca="true">IF(OR(L160="",M160=""),"",MAX(0,MIN(TODAY(),M160)-L160+1))</f>
        <v/>
      </c>
      <c r="O160" s="16" t="str">
        <f aca="true">IF(M160="","",M160-TODAY())</f>
        <v/>
      </c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customFormat="false" ht="15" hidden="false" customHeight="false" outlineLevel="0" collapsed="false">
      <c r="A161" s="14"/>
      <c r="B161" s="14"/>
      <c r="C161" s="14"/>
      <c r="D161" s="14"/>
      <c r="E161" s="14"/>
      <c r="F161" s="14"/>
      <c r="G161" s="14"/>
      <c r="H161" s="14"/>
      <c r="I161" s="15"/>
      <c r="J161" s="14"/>
      <c r="K161" s="15"/>
      <c r="L161" s="15"/>
      <c r="M161" s="15"/>
      <c r="N161" s="16" t="str">
        <f aca="true">IF(OR(L161="",M161=""),"",MAX(0,MIN(TODAY(),M161)-L161+1))</f>
        <v/>
      </c>
      <c r="O161" s="16" t="str">
        <f aca="true">IF(M161="","",M161-TODAY())</f>
        <v/>
      </c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customFormat="false" ht="15" hidden="false" customHeight="false" outlineLevel="0" collapsed="false">
      <c r="A162" s="14"/>
      <c r="B162" s="14"/>
      <c r="C162" s="14"/>
      <c r="D162" s="14"/>
      <c r="E162" s="14"/>
      <c r="F162" s="14"/>
      <c r="G162" s="14"/>
      <c r="H162" s="14"/>
      <c r="I162" s="15"/>
      <c r="J162" s="14"/>
      <c r="K162" s="15"/>
      <c r="L162" s="15"/>
      <c r="M162" s="15"/>
      <c r="N162" s="16" t="str">
        <f aca="true">IF(OR(L162="",M162=""),"",MAX(0,MIN(TODAY(),M162)-L162+1))</f>
        <v/>
      </c>
      <c r="O162" s="16" t="str">
        <f aca="true">IF(M162="","",M162-TODAY())</f>
        <v/>
      </c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customFormat="false" ht="15" hidden="false" customHeight="false" outlineLevel="0" collapsed="false">
      <c r="A163" s="14"/>
      <c r="B163" s="14"/>
      <c r="C163" s="14"/>
      <c r="D163" s="14"/>
      <c r="E163" s="14"/>
      <c r="F163" s="14"/>
      <c r="G163" s="14"/>
      <c r="H163" s="14"/>
      <c r="I163" s="15"/>
      <c r="J163" s="14"/>
      <c r="K163" s="15"/>
      <c r="L163" s="15"/>
      <c r="M163" s="15"/>
      <c r="N163" s="16" t="str">
        <f aca="true">IF(OR(L163="",M163=""),"",MAX(0,MIN(TODAY(),M163)-L163+1))</f>
        <v/>
      </c>
      <c r="O163" s="16" t="str">
        <f aca="true">IF(M163="","",M163-TODAY())</f>
        <v/>
      </c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customFormat="false" ht="15" hidden="false" customHeight="false" outlineLevel="0" collapsed="false">
      <c r="A164" s="14"/>
      <c r="B164" s="14"/>
      <c r="C164" s="14"/>
      <c r="D164" s="14"/>
      <c r="E164" s="14"/>
      <c r="F164" s="14"/>
      <c r="G164" s="14"/>
      <c r="H164" s="14"/>
      <c r="I164" s="15"/>
      <c r="J164" s="14"/>
      <c r="K164" s="15"/>
      <c r="L164" s="15"/>
      <c r="M164" s="15"/>
      <c r="N164" s="16" t="str">
        <f aca="true">IF(OR(L164="",M164=""),"",MAX(0,MIN(TODAY(),M164)-L164+1))</f>
        <v/>
      </c>
      <c r="O164" s="16" t="str">
        <f aca="true">IF(M164="","",M164-TODAY())</f>
        <v/>
      </c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customFormat="false" ht="15" hidden="false" customHeight="false" outlineLevel="0" collapsed="false">
      <c r="A165" s="14"/>
      <c r="B165" s="14"/>
      <c r="C165" s="14"/>
      <c r="D165" s="14"/>
      <c r="E165" s="14"/>
      <c r="F165" s="14"/>
      <c r="G165" s="14"/>
      <c r="H165" s="14"/>
      <c r="I165" s="15"/>
      <c r="J165" s="14"/>
      <c r="K165" s="15"/>
      <c r="L165" s="15"/>
      <c r="M165" s="15"/>
      <c r="N165" s="16" t="str">
        <f aca="true">IF(OR(L165="",M165=""),"",MAX(0,MIN(TODAY(),M165)-L165+1))</f>
        <v/>
      </c>
      <c r="O165" s="16" t="str">
        <f aca="true">IF(M165="","",M165-TODAY())</f>
        <v/>
      </c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customFormat="false" ht="15" hidden="false" customHeight="false" outlineLevel="0" collapsed="false">
      <c r="A166" s="14"/>
      <c r="B166" s="14"/>
      <c r="C166" s="14"/>
      <c r="D166" s="14"/>
      <c r="E166" s="14"/>
      <c r="F166" s="14"/>
      <c r="G166" s="14"/>
      <c r="H166" s="14"/>
      <c r="I166" s="15"/>
      <c r="J166" s="14"/>
      <c r="K166" s="15"/>
      <c r="L166" s="15"/>
      <c r="M166" s="15"/>
      <c r="N166" s="16" t="str">
        <f aca="true">IF(OR(L166="",M166=""),"",MAX(0,MIN(TODAY(),M166)-L166+1))</f>
        <v/>
      </c>
      <c r="O166" s="16" t="str">
        <f aca="true">IF(M166="","",M166-TODAY())</f>
        <v/>
      </c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customFormat="false" ht="15" hidden="false" customHeight="false" outlineLevel="0" collapsed="false">
      <c r="A167" s="14"/>
      <c r="B167" s="14"/>
      <c r="C167" s="14"/>
      <c r="D167" s="14"/>
      <c r="E167" s="14"/>
      <c r="F167" s="14"/>
      <c r="G167" s="14"/>
      <c r="H167" s="14"/>
      <c r="I167" s="15"/>
      <c r="J167" s="14"/>
      <c r="K167" s="15"/>
      <c r="L167" s="15"/>
      <c r="M167" s="15"/>
      <c r="N167" s="16" t="str">
        <f aca="true">IF(OR(L167="",M167=""),"",MAX(0,MIN(TODAY(),M167)-L167+1))</f>
        <v/>
      </c>
      <c r="O167" s="16" t="str">
        <f aca="true">IF(M167="","",M167-TODAY())</f>
        <v/>
      </c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customFormat="false" ht="15" hidden="false" customHeight="false" outlineLevel="0" collapsed="false">
      <c r="A168" s="14"/>
      <c r="B168" s="14"/>
      <c r="C168" s="14"/>
      <c r="D168" s="14"/>
      <c r="E168" s="14"/>
      <c r="F168" s="14"/>
      <c r="G168" s="14"/>
      <c r="H168" s="14"/>
      <c r="I168" s="15"/>
      <c r="J168" s="14"/>
      <c r="K168" s="15"/>
      <c r="L168" s="15"/>
      <c r="M168" s="15"/>
      <c r="N168" s="16" t="str">
        <f aca="true">IF(OR(L168="",M168=""),"",MAX(0,MIN(TODAY(),M168)-L168+1))</f>
        <v/>
      </c>
      <c r="O168" s="16" t="str">
        <f aca="true">IF(M168="","",M168-TODAY())</f>
        <v/>
      </c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customFormat="false" ht="15" hidden="false" customHeight="false" outlineLevel="0" collapsed="false">
      <c r="A169" s="14"/>
      <c r="B169" s="14"/>
      <c r="C169" s="14"/>
      <c r="D169" s="14"/>
      <c r="E169" s="14"/>
      <c r="F169" s="14"/>
      <c r="G169" s="14"/>
      <c r="H169" s="14"/>
      <c r="I169" s="15"/>
      <c r="J169" s="14"/>
      <c r="K169" s="15"/>
      <c r="L169" s="15"/>
      <c r="M169" s="15"/>
      <c r="N169" s="16" t="str">
        <f aca="true">IF(OR(L169="",M169=""),"",MAX(0,MIN(TODAY(),M169)-L169+1))</f>
        <v/>
      </c>
      <c r="O169" s="16" t="str">
        <f aca="true">IF(M169="","",M169-TODAY())</f>
        <v/>
      </c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customFormat="false" ht="15" hidden="false" customHeight="false" outlineLevel="0" collapsed="false">
      <c r="A170" s="14"/>
      <c r="B170" s="14"/>
      <c r="C170" s="14"/>
      <c r="D170" s="14"/>
      <c r="E170" s="14"/>
      <c r="F170" s="14"/>
      <c r="G170" s="14"/>
      <c r="H170" s="14"/>
      <c r="I170" s="15"/>
      <c r="J170" s="14"/>
      <c r="K170" s="15"/>
      <c r="L170" s="15"/>
      <c r="M170" s="15"/>
      <c r="N170" s="16" t="str">
        <f aca="true">IF(OR(L170="",M170=""),"",MAX(0,MIN(TODAY(),M170)-L170+1))</f>
        <v/>
      </c>
      <c r="O170" s="16" t="str">
        <f aca="true">IF(M170="","",M170-TODAY())</f>
        <v/>
      </c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customFormat="false" ht="15" hidden="false" customHeight="false" outlineLevel="0" collapsed="false">
      <c r="A171" s="14"/>
      <c r="B171" s="14"/>
      <c r="C171" s="14"/>
      <c r="D171" s="14"/>
      <c r="E171" s="14"/>
      <c r="F171" s="14"/>
      <c r="G171" s="14"/>
      <c r="H171" s="14"/>
      <c r="I171" s="15"/>
      <c r="J171" s="14"/>
      <c r="K171" s="15"/>
      <c r="L171" s="15"/>
      <c r="M171" s="15"/>
      <c r="N171" s="16" t="str">
        <f aca="true">IF(OR(L171="",M171=""),"",MAX(0,MIN(TODAY(),M171)-L171+1))</f>
        <v/>
      </c>
      <c r="O171" s="16" t="str">
        <f aca="true">IF(M171="","",M171-TODAY())</f>
        <v/>
      </c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customFormat="false" ht="15" hidden="false" customHeight="false" outlineLevel="0" collapsed="false">
      <c r="A172" s="14"/>
      <c r="B172" s="14"/>
      <c r="C172" s="14"/>
      <c r="D172" s="14"/>
      <c r="E172" s="14"/>
      <c r="F172" s="14"/>
      <c r="G172" s="14"/>
      <c r="H172" s="14"/>
      <c r="I172" s="15"/>
      <c r="J172" s="14"/>
      <c r="K172" s="15"/>
      <c r="L172" s="15"/>
      <c r="M172" s="15"/>
      <c r="N172" s="16" t="str">
        <f aca="true">IF(OR(L172="",M172=""),"",MAX(0,MIN(TODAY(),M172)-L172+1))</f>
        <v/>
      </c>
      <c r="O172" s="16" t="str">
        <f aca="true">IF(M172="","",M172-TODAY())</f>
        <v/>
      </c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customFormat="false" ht="15" hidden="false" customHeight="false" outlineLevel="0" collapsed="false">
      <c r="A173" s="14"/>
      <c r="B173" s="14"/>
      <c r="C173" s="14"/>
      <c r="D173" s="14"/>
      <c r="E173" s="14"/>
      <c r="F173" s="14"/>
      <c r="G173" s="14"/>
      <c r="H173" s="14"/>
      <c r="I173" s="15"/>
      <c r="J173" s="14"/>
      <c r="K173" s="15"/>
      <c r="L173" s="15"/>
      <c r="M173" s="15"/>
      <c r="N173" s="16" t="str">
        <f aca="true">IF(OR(L173="",M173=""),"",MAX(0,MIN(TODAY(),M173)-L173+1))</f>
        <v/>
      </c>
      <c r="O173" s="16" t="str">
        <f aca="true">IF(M173="","",M173-TODAY())</f>
        <v/>
      </c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customFormat="false" ht="15" hidden="false" customHeight="false" outlineLevel="0" collapsed="false">
      <c r="A174" s="14"/>
      <c r="B174" s="14"/>
      <c r="C174" s="14"/>
      <c r="D174" s="14"/>
      <c r="E174" s="14"/>
      <c r="F174" s="14"/>
      <c r="G174" s="14"/>
      <c r="H174" s="14"/>
      <c r="I174" s="15"/>
      <c r="J174" s="14"/>
      <c r="K174" s="15"/>
      <c r="L174" s="15"/>
      <c r="M174" s="15"/>
      <c r="N174" s="16" t="str">
        <f aca="true">IF(OR(L174="",M174=""),"",MAX(0,MIN(TODAY(),M174)-L174+1))</f>
        <v/>
      </c>
      <c r="O174" s="16" t="str">
        <f aca="true">IF(M174="","",M174-TODAY())</f>
        <v/>
      </c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customFormat="false" ht="15" hidden="false" customHeight="false" outlineLevel="0" collapsed="false">
      <c r="A175" s="14"/>
      <c r="B175" s="14"/>
      <c r="C175" s="14"/>
      <c r="D175" s="14"/>
      <c r="E175" s="14"/>
      <c r="F175" s="14"/>
      <c r="G175" s="14"/>
      <c r="H175" s="14"/>
      <c r="I175" s="15"/>
      <c r="J175" s="14"/>
      <c r="K175" s="15"/>
      <c r="L175" s="15"/>
      <c r="M175" s="15"/>
      <c r="N175" s="16" t="str">
        <f aca="true">IF(OR(L175="",M175=""),"",MAX(0,MIN(TODAY(),M175)-L175+1))</f>
        <v/>
      </c>
      <c r="O175" s="16" t="str">
        <f aca="true">IF(M175="","",M175-TODAY())</f>
        <v/>
      </c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customFormat="false" ht="15" hidden="false" customHeight="false" outlineLevel="0" collapsed="false">
      <c r="A176" s="14"/>
      <c r="B176" s="14"/>
      <c r="C176" s="14"/>
      <c r="D176" s="14"/>
      <c r="E176" s="14"/>
      <c r="F176" s="14"/>
      <c r="G176" s="14"/>
      <c r="H176" s="14"/>
      <c r="I176" s="15"/>
      <c r="J176" s="14"/>
      <c r="K176" s="15"/>
      <c r="L176" s="15"/>
      <c r="M176" s="15"/>
      <c r="N176" s="16" t="str">
        <f aca="true">IF(OR(L176="",M176=""),"",MAX(0,MIN(TODAY(),M176)-L176+1))</f>
        <v/>
      </c>
      <c r="O176" s="16" t="str">
        <f aca="true">IF(M176="","",M176-TODAY())</f>
        <v/>
      </c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customFormat="false" ht="15" hidden="false" customHeight="false" outlineLevel="0" collapsed="false">
      <c r="A177" s="14"/>
      <c r="B177" s="14"/>
      <c r="C177" s="14"/>
      <c r="D177" s="14"/>
      <c r="E177" s="14"/>
      <c r="F177" s="14"/>
      <c r="G177" s="14"/>
      <c r="H177" s="14"/>
      <c r="I177" s="15"/>
      <c r="J177" s="14"/>
      <c r="K177" s="15"/>
      <c r="L177" s="15"/>
      <c r="M177" s="15"/>
      <c r="N177" s="16" t="str">
        <f aca="true">IF(OR(L177="",M177=""),"",MAX(0,MIN(TODAY(),M177)-L177+1))</f>
        <v/>
      </c>
      <c r="O177" s="16" t="str">
        <f aca="true">IF(M177="","",M177-TODAY())</f>
        <v/>
      </c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customFormat="false" ht="15" hidden="false" customHeight="false" outlineLevel="0" collapsed="false">
      <c r="A178" s="14"/>
      <c r="B178" s="14"/>
      <c r="C178" s="14"/>
      <c r="D178" s="14"/>
      <c r="E178" s="14"/>
      <c r="F178" s="14"/>
      <c r="G178" s="14"/>
      <c r="H178" s="14"/>
      <c r="I178" s="15"/>
      <c r="J178" s="14"/>
      <c r="K178" s="15"/>
      <c r="L178" s="15"/>
      <c r="M178" s="15"/>
      <c r="N178" s="16" t="str">
        <f aca="true">IF(OR(L178="",M178=""),"",MAX(0,MIN(TODAY(),M178)-L178+1))</f>
        <v/>
      </c>
      <c r="O178" s="16" t="str">
        <f aca="true">IF(M178="","",M178-TODAY())</f>
        <v/>
      </c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customFormat="false" ht="15" hidden="false" customHeight="false" outlineLevel="0" collapsed="false">
      <c r="A179" s="14"/>
      <c r="B179" s="14"/>
      <c r="C179" s="14"/>
      <c r="D179" s="14"/>
      <c r="E179" s="14"/>
      <c r="F179" s="14"/>
      <c r="G179" s="14"/>
      <c r="H179" s="14"/>
      <c r="I179" s="15"/>
      <c r="J179" s="14"/>
      <c r="K179" s="15"/>
      <c r="L179" s="15"/>
      <c r="M179" s="15"/>
      <c r="N179" s="16" t="str">
        <f aca="true">IF(OR(L179="",M179=""),"",MAX(0,MIN(TODAY(),M179)-L179+1))</f>
        <v/>
      </c>
      <c r="O179" s="16" t="str">
        <f aca="true">IF(M179="","",M179-TODAY())</f>
        <v/>
      </c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customFormat="false" ht="15" hidden="false" customHeight="false" outlineLevel="0" collapsed="false">
      <c r="A180" s="14"/>
      <c r="B180" s="14"/>
      <c r="C180" s="14"/>
      <c r="D180" s="14"/>
      <c r="E180" s="14"/>
      <c r="F180" s="14"/>
      <c r="G180" s="14"/>
      <c r="H180" s="14"/>
      <c r="I180" s="15"/>
      <c r="J180" s="14"/>
      <c r="K180" s="15"/>
      <c r="L180" s="15"/>
      <c r="M180" s="15"/>
      <c r="N180" s="16" t="str">
        <f aca="true">IF(OR(L180="",M180=""),"",MAX(0,MIN(TODAY(),M180)-L180+1))</f>
        <v/>
      </c>
      <c r="O180" s="16" t="str">
        <f aca="true">IF(M180="","",M180-TODAY())</f>
        <v/>
      </c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customFormat="false" ht="15" hidden="false" customHeight="false" outlineLevel="0" collapsed="false">
      <c r="A181" s="14"/>
      <c r="B181" s="14"/>
      <c r="C181" s="14"/>
      <c r="D181" s="14"/>
      <c r="E181" s="14"/>
      <c r="F181" s="14"/>
      <c r="G181" s="14"/>
      <c r="H181" s="14"/>
      <c r="I181" s="15"/>
      <c r="J181" s="14"/>
      <c r="K181" s="15"/>
      <c r="L181" s="15"/>
      <c r="M181" s="15"/>
      <c r="N181" s="16" t="str">
        <f aca="true">IF(OR(L181="",M181=""),"",MAX(0,MIN(TODAY(),M181)-L181+1))</f>
        <v/>
      </c>
      <c r="O181" s="16" t="str">
        <f aca="true">IF(M181="","",M181-TODAY())</f>
        <v/>
      </c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customFormat="false" ht="15" hidden="false" customHeight="false" outlineLevel="0" collapsed="false">
      <c r="A182" s="14"/>
      <c r="B182" s="14"/>
      <c r="C182" s="14"/>
      <c r="D182" s="14"/>
      <c r="E182" s="14"/>
      <c r="F182" s="14"/>
      <c r="G182" s="14"/>
      <c r="H182" s="14"/>
      <c r="I182" s="15"/>
      <c r="J182" s="14"/>
      <c r="K182" s="15"/>
      <c r="L182" s="15"/>
      <c r="M182" s="15"/>
      <c r="N182" s="16" t="str">
        <f aca="true">IF(OR(L182="",M182=""),"",MAX(0,MIN(TODAY(),M182)-L182+1))</f>
        <v/>
      </c>
      <c r="O182" s="16" t="str">
        <f aca="true">IF(M182="","",M182-TODAY())</f>
        <v/>
      </c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customFormat="false" ht="15" hidden="false" customHeight="false" outlineLevel="0" collapsed="false">
      <c r="A183" s="14"/>
      <c r="B183" s="14"/>
      <c r="C183" s="14"/>
      <c r="D183" s="14"/>
      <c r="E183" s="14"/>
      <c r="F183" s="14"/>
      <c r="G183" s="14"/>
      <c r="H183" s="14"/>
      <c r="I183" s="15"/>
      <c r="J183" s="14"/>
      <c r="K183" s="15"/>
      <c r="L183" s="15"/>
      <c r="M183" s="15"/>
      <c r="N183" s="16" t="str">
        <f aca="true">IF(OR(L183="",M183=""),"",MAX(0,MIN(TODAY(),M183)-L183+1))</f>
        <v/>
      </c>
      <c r="O183" s="16" t="str">
        <f aca="true">IF(M183="","",M183-TODAY())</f>
        <v/>
      </c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customFormat="false" ht="15" hidden="false" customHeight="false" outlineLevel="0" collapsed="false">
      <c r="A184" s="14"/>
      <c r="B184" s="14"/>
      <c r="C184" s="14"/>
      <c r="D184" s="14"/>
      <c r="E184" s="14"/>
      <c r="F184" s="14"/>
      <c r="G184" s="14"/>
      <c r="H184" s="14"/>
      <c r="I184" s="15"/>
      <c r="J184" s="14"/>
      <c r="K184" s="15"/>
      <c r="L184" s="15"/>
      <c r="M184" s="15"/>
      <c r="N184" s="16" t="str">
        <f aca="true">IF(OR(L184="",M184=""),"",MAX(0,MIN(TODAY(),M184)-L184+1))</f>
        <v/>
      </c>
      <c r="O184" s="16" t="str">
        <f aca="true">IF(M184="","",M184-TODAY())</f>
        <v/>
      </c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customFormat="false" ht="15" hidden="false" customHeight="false" outlineLevel="0" collapsed="false">
      <c r="A185" s="14"/>
      <c r="B185" s="14"/>
      <c r="C185" s="14"/>
      <c r="D185" s="14"/>
      <c r="E185" s="14"/>
      <c r="F185" s="14"/>
      <c r="G185" s="14"/>
      <c r="H185" s="14"/>
      <c r="I185" s="15"/>
      <c r="J185" s="14"/>
      <c r="K185" s="15"/>
      <c r="L185" s="15"/>
      <c r="M185" s="15"/>
      <c r="N185" s="16" t="str">
        <f aca="true">IF(OR(L185="",M185=""),"",MAX(0,MIN(TODAY(),M185)-L185+1))</f>
        <v/>
      </c>
      <c r="O185" s="16" t="str">
        <f aca="true">IF(M185="","",M185-TODAY())</f>
        <v/>
      </c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customFormat="false" ht="15" hidden="false" customHeight="false" outlineLevel="0" collapsed="false">
      <c r="A186" s="14"/>
      <c r="B186" s="14"/>
      <c r="C186" s="14"/>
      <c r="D186" s="14"/>
      <c r="E186" s="14"/>
      <c r="F186" s="14"/>
      <c r="G186" s="14"/>
      <c r="H186" s="14"/>
      <c r="I186" s="15"/>
      <c r="J186" s="14"/>
      <c r="K186" s="15"/>
      <c r="L186" s="15"/>
      <c r="M186" s="15"/>
      <c r="N186" s="16" t="str">
        <f aca="true">IF(OR(L186="",M186=""),"",MAX(0,MIN(TODAY(),M186)-L186+1))</f>
        <v/>
      </c>
      <c r="O186" s="16" t="str">
        <f aca="true">IF(M186="","",M186-TODAY())</f>
        <v/>
      </c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customFormat="false" ht="15" hidden="false" customHeight="false" outlineLevel="0" collapsed="false">
      <c r="A187" s="14"/>
      <c r="B187" s="14"/>
      <c r="C187" s="14"/>
      <c r="D187" s="14"/>
      <c r="E187" s="14"/>
      <c r="F187" s="14"/>
      <c r="G187" s="14"/>
      <c r="H187" s="14"/>
      <c r="I187" s="15"/>
      <c r="J187" s="14"/>
      <c r="K187" s="15"/>
      <c r="L187" s="15"/>
      <c r="M187" s="15"/>
      <c r="N187" s="16" t="str">
        <f aca="true">IF(OR(L187="",M187=""),"",MAX(0,MIN(TODAY(),M187)-L187+1))</f>
        <v/>
      </c>
      <c r="O187" s="16" t="str">
        <f aca="true">IF(M187="","",M187-TODAY())</f>
        <v/>
      </c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customFormat="false" ht="15" hidden="false" customHeight="false" outlineLevel="0" collapsed="false">
      <c r="A188" s="14"/>
      <c r="B188" s="14"/>
      <c r="C188" s="14"/>
      <c r="D188" s="14"/>
      <c r="E188" s="14"/>
      <c r="F188" s="14"/>
      <c r="G188" s="14"/>
      <c r="H188" s="14"/>
      <c r="I188" s="15"/>
      <c r="J188" s="14"/>
      <c r="K188" s="15"/>
      <c r="L188" s="15"/>
      <c r="M188" s="15"/>
      <c r="N188" s="16" t="str">
        <f aca="true">IF(OR(L188="",M188=""),"",MAX(0,MIN(TODAY(),M188)-L188+1))</f>
        <v/>
      </c>
      <c r="O188" s="16" t="str">
        <f aca="true">IF(M188="","",M188-TODAY())</f>
        <v/>
      </c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customFormat="false" ht="15" hidden="false" customHeight="false" outlineLevel="0" collapsed="false">
      <c r="A189" s="14"/>
      <c r="B189" s="14"/>
      <c r="C189" s="14"/>
      <c r="D189" s="14"/>
      <c r="E189" s="14"/>
      <c r="F189" s="14"/>
      <c r="G189" s="14"/>
      <c r="H189" s="14"/>
      <c r="I189" s="15"/>
      <c r="J189" s="14"/>
      <c r="K189" s="15"/>
      <c r="L189" s="15"/>
      <c r="M189" s="15"/>
      <c r="N189" s="16" t="str">
        <f aca="true">IF(OR(L189="",M189=""),"",MAX(0,MIN(TODAY(),M189)-L189+1))</f>
        <v/>
      </c>
      <c r="O189" s="16" t="str">
        <f aca="true">IF(M189="","",M189-TODAY())</f>
        <v/>
      </c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customFormat="false" ht="15" hidden="false" customHeight="false" outlineLevel="0" collapsed="false">
      <c r="A190" s="14"/>
      <c r="B190" s="14"/>
      <c r="C190" s="14"/>
      <c r="D190" s="14"/>
      <c r="E190" s="14"/>
      <c r="F190" s="14"/>
      <c r="G190" s="14"/>
      <c r="H190" s="14"/>
      <c r="I190" s="15"/>
      <c r="J190" s="14"/>
      <c r="K190" s="15"/>
      <c r="L190" s="15"/>
      <c r="M190" s="15"/>
      <c r="N190" s="16" t="str">
        <f aca="true">IF(OR(L190="",M190=""),"",MAX(0,MIN(TODAY(),M190)-L190+1))</f>
        <v/>
      </c>
      <c r="O190" s="16" t="str">
        <f aca="true">IF(M190="","",M190-TODAY())</f>
        <v/>
      </c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customFormat="false" ht="15" hidden="false" customHeight="false" outlineLevel="0" collapsed="false">
      <c r="A191" s="14"/>
      <c r="B191" s="14"/>
      <c r="C191" s="14"/>
      <c r="D191" s="14"/>
      <c r="E191" s="14"/>
      <c r="F191" s="14"/>
      <c r="G191" s="14"/>
      <c r="H191" s="14"/>
      <c r="I191" s="15"/>
      <c r="J191" s="14"/>
      <c r="K191" s="15"/>
      <c r="L191" s="15"/>
      <c r="M191" s="15"/>
      <c r="N191" s="16" t="str">
        <f aca="true">IF(OR(L191="",M191=""),"",MAX(0,MIN(TODAY(),M191)-L191+1))</f>
        <v/>
      </c>
      <c r="O191" s="16" t="str">
        <f aca="true">IF(M191="","",M191-TODAY())</f>
        <v/>
      </c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customFormat="false" ht="15" hidden="false" customHeight="false" outlineLevel="0" collapsed="false">
      <c r="A192" s="14"/>
      <c r="B192" s="14"/>
      <c r="C192" s="14"/>
      <c r="D192" s="14"/>
      <c r="E192" s="14"/>
      <c r="F192" s="14"/>
      <c r="G192" s="14"/>
      <c r="H192" s="14"/>
      <c r="I192" s="15"/>
      <c r="J192" s="14"/>
      <c r="K192" s="15"/>
      <c r="L192" s="15"/>
      <c r="M192" s="15"/>
      <c r="N192" s="16" t="str">
        <f aca="true">IF(OR(L192="",M192=""),"",MAX(0,MIN(TODAY(),M192)-L192+1))</f>
        <v/>
      </c>
      <c r="O192" s="16" t="str">
        <f aca="true">IF(M192="","",M192-TODAY())</f>
        <v/>
      </c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customFormat="false" ht="15" hidden="false" customHeight="false" outlineLevel="0" collapsed="false">
      <c r="A193" s="14"/>
      <c r="B193" s="14"/>
      <c r="C193" s="14"/>
      <c r="D193" s="14"/>
      <c r="E193" s="14"/>
      <c r="F193" s="14"/>
      <c r="G193" s="14"/>
      <c r="H193" s="14"/>
      <c r="I193" s="15"/>
      <c r="J193" s="14"/>
      <c r="K193" s="15"/>
      <c r="L193" s="15"/>
      <c r="M193" s="15"/>
      <c r="N193" s="16" t="str">
        <f aca="true">IF(OR(L193="",M193=""),"",MAX(0,MIN(TODAY(),M193)-L193+1))</f>
        <v/>
      </c>
      <c r="O193" s="16" t="str">
        <f aca="true">IF(M193="","",M193-TODAY())</f>
        <v/>
      </c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customFormat="false" ht="15" hidden="false" customHeight="false" outlineLevel="0" collapsed="false">
      <c r="A194" s="14"/>
      <c r="B194" s="14"/>
      <c r="C194" s="14"/>
      <c r="D194" s="14"/>
      <c r="E194" s="14"/>
      <c r="F194" s="14"/>
      <c r="G194" s="14"/>
      <c r="H194" s="14"/>
      <c r="I194" s="15"/>
      <c r="J194" s="14"/>
      <c r="K194" s="15"/>
      <c r="L194" s="15"/>
      <c r="M194" s="15"/>
      <c r="N194" s="16" t="str">
        <f aca="true">IF(OR(L194="",M194=""),"",MAX(0,MIN(TODAY(),M194)-L194+1))</f>
        <v/>
      </c>
      <c r="O194" s="16" t="str">
        <f aca="true">IF(M194="","",M194-TODAY())</f>
        <v/>
      </c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customFormat="false" ht="15" hidden="false" customHeight="false" outlineLevel="0" collapsed="false">
      <c r="A195" s="14"/>
      <c r="B195" s="14"/>
      <c r="C195" s="14"/>
      <c r="D195" s="14"/>
      <c r="E195" s="14"/>
      <c r="F195" s="14"/>
      <c r="G195" s="14"/>
      <c r="H195" s="14"/>
      <c r="I195" s="15"/>
      <c r="J195" s="14"/>
      <c r="K195" s="15"/>
      <c r="L195" s="15"/>
      <c r="M195" s="15"/>
      <c r="N195" s="16" t="str">
        <f aca="true">IF(OR(L195="",M195=""),"",MAX(0,MIN(TODAY(),M195)-L195+1))</f>
        <v/>
      </c>
      <c r="O195" s="16" t="str">
        <f aca="true">IF(M195="","",M195-TODAY())</f>
        <v/>
      </c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customFormat="false" ht="15" hidden="false" customHeight="false" outlineLevel="0" collapsed="false">
      <c r="A196" s="14"/>
      <c r="B196" s="14"/>
      <c r="C196" s="14"/>
      <c r="D196" s="14"/>
      <c r="E196" s="14"/>
      <c r="F196" s="14"/>
      <c r="G196" s="14"/>
      <c r="H196" s="14"/>
      <c r="I196" s="15"/>
      <c r="J196" s="14"/>
      <c r="K196" s="15"/>
      <c r="L196" s="15"/>
      <c r="M196" s="15"/>
      <c r="N196" s="16" t="str">
        <f aca="true">IF(OR(L196="",M196=""),"",MAX(0,MIN(TODAY(),M196)-L196+1))</f>
        <v/>
      </c>
      <c r="O196" s="16" t="str">
        <f aca="true">IF(M196="","",M196-TODAY())</f>
        <v/>
      </c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customFormat="false" ht="15" hidden="false" customHeight="false" outlineLevel="0" collapsed="false">
      <c r="A197" s="14"/>
      <c r="B197" s="14"/>
      <c r="C197" s="14"/>
      <c r="D197" s="14"/>
      <c r="E197" s="14"/>
      <c r="F197" s="14"/>
      <c r="G197" s="14"/>
      <c r="H197" s="14"/>
      <c r="I197" s="15"/>
      <c r="J197" s="14"/>
      <c r="K197" s="15"/>
      <c r="L197" s="15"/>
      <c r="M197" s="15"/>
      <c r="N197" s="16" t="str">
        <f aca="true">IF(OR(L197="",M197=""),"",MAX(0,MIN(TODAY(),M197)-L197+1))</f>
        <v/>
      </c>
      <c r="O197" s="16" t="str">
        <f aca="true">IF(M197="","",M197-TODAY())</f>
        <v/>
      </c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customFormat="false" ht="15" hidden="false" customHeight="false" outlineLevel="0" collapsed="false">
      <c r="A198" s="14"/>
      <c r="B198" s="14"/>
      <c r="C198" s="14"/>
      <c r="D198" s="14"/>
      <c r="E198" s="14"/>
      <c r="F198" s="14"/>
      <c r="G198" s="14"/>
      <c r="H198" s="14"/>
      <c r="I198" s="15"/>
      <c r="J198" s="14"/>
      <c r="K198" s="15"/>
      <c r="L198" s="15"/>
      <c r="M198" s="15"/>
      <c r="N198" s="16" t="str">
        <f aca="true">IF(OR(L198="",M198=""),"",MAX(0,MIN(TODAY(),M198)-L198+1))</f>
        <v/>
      </c>
      <c r="O198" s="16" t="str">
        <f aca="true">IF(M198="","",M198-TODAY())</f>
        <v/>
      </c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customFormat="false" ht="15" hidden="false" customHeight="false" outlineLevel="0" collapsed="false">
      <c r="A199" s="14"/>
      <c r="B199" s="14"/>
      <c r="C199" s="14"/>
      <c r="D199" s="14"/>
      <c r="E199" s="14"/>
      <c r="F199" s="14"/>
      <c r="G199" s="14"/>
      <c r="H199" s="14"/>
      <c r="I199" s="15"/>
      <c r="J199" s="14"/>
      <c r="K199" s="15"/>
      <c r="L199" s="15"/>
      <c r="M199" s="15"/>
      <c r="N199" s="16" t="str">
        <f aca="true">IF(OR(L199="",M199=""),"",MAX(0,MIN(TODAY(),M199)-L199+1))</f>
        <v/>
      </c>
      <c r="O199" s="16" t="str">
        <f aca="true">IF(M199="","",M199-TODAY())</f>
        <v/>
      </c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customFormat="false" ht="15" hidden="false" customHeight="false" outlineLevel="0" collapsed="false">
      <c r="A200" s="14"/>
      <c r="B200" s="14"/>
      <c r="C200" s="14"/>
      <c r="D200" s="14"/>
      <c r="E200" s="14"/>
      <c r="F200" s="14"/>
      <c r="G200" s="14"/>
      <c r="H200" s="14"/>
      <c r="I200" s="15"/>
      <c r="J200" s="14"/>
      <c r="K200" s="15"/>
      <c r="L200" s="15"/>
      <c r="M200" s="15"/>
      <c r="N200" s="16" t="str">
        <f aca="true">IF(OR(L200="",M200=""),"",MAX(0,MIN(TODAY(),M200)-L200+1))</f>
        <v/>
      </c>
      <c r="O200" s="16" t="str">
        <f aca="true">IF(M200="","",M200-TODAY())</f>
        <v/>
      </c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customFormat="false" ht="15" hidden="false" customHeight="false" outlineLevel="0" collapsed="false">
      <c r="A201" s="14"/>
      <c r="B201" s="14"/>
      <c r="C201" s="14"/>
      <c r="D201" s="14"/>
      <c r="E201" s="14"/>
      <c r="F201" s="14"/>
      <c r="G201" s="14"/>
      <c r="H201" s="14"/>
      <c r="I201" s="15"/>
      <c r="J201" s="14"/>
      <c r="K201" s="15"/>
      <c r="L201" s="15"/>
      <c r="M201" s="15"/>
      <c r="N201" s="16" t="str">
        <f aca="true">IF(OR(L201="",M201=""),"",MAX(0,MIN(TODAY(),M201)-L201+1))</f>
        <v/>
      </c>
      <c r="O201" s="16" t="str">
        <f aca="true">IF(M201="","",M201-TODAY())</f>
        <v/>
      </c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customFormat="false" ht="15" hidden="false" customHeight="false" outlineLevel="0" collapsed="false">
      <c r="A202" s="14"/>
      <c r="B202" s="14"/>
      <c r="C202" s="14"/>
      <c r="D202" s="14"/>
      <c r="E202" s="14"/>
      <c r="F202" s="14"/>
      <c r="G202" s="14"/>
      <c r="H202" s="14"/>
      <c r="I202" s="15"/>
      <c r="J202" s="14"/>
      <c r="K202" s="15"/>
      <c r="L202" s="15"/>
      <c r="M202" s="15"/>
      <c r="N202" s="16" t="str">
        <f aca="true">IF(OR(L202="",M202=""),"",MAX(0,MIN(TODAY(),M202)-L202+1))</f>
        <v/>
      </c>
      <c r="O202" s="16" t="str">
        <f aca="true">IF(M202="","",M202-TODAY())</f>
        <v/>
      </c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customFormat="false" ht="15" hidden="false" customHeight="false" outlineLevel="0" collapsed="false">
      <c r="A203" s="14"/>
      <c r="B203" s="14"/>
      <c r="C203" s="14"/>
      <c r="D203" s="14"/>
      <c r="E203" s="14"/>
      <c r="F203" s="14"/>
      <c r="G203" s="14"/>
      <c r="H203" s="14"/>
      <c r="I203" s="15"/>
      <c r="J203" s="14"/>
      <c r="K203" s="15"/>
      <c r="L203" s="15"/>
      <c r="M203" s="15"/>
      <c r="N203" s="16" t="str">
        <f aca="true">IF(OR(L203="",M203=""),"",MAX(0,MIN(TODAY(),M203)-L203+1))</f>
        <v/>
      </c>
      <c r="O203" s="16" t="str">
        <f aca="true">IF(M203="","",M203-TODAY())</f>
        <v/>
      </c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customFormat="false" ht="15" hidden="false" customHeight="false" outlineLevel="0" collapsed="false">
      <c r="A204" s="14"/>
      <c r="B204" s="14"/>
      <c r="C204" s="14"/>
      <c r="D204" s="14"/>
      <c r="E204" s="14"/>
      <c r="F204" s="14"/>
      <c r="G204" s="14"/>
      <c r="H204" s="14"/>
      <c r="I204" s="15"/>
      <c r="J204" s="14"/>
      <c r="K204" s="15"/>
      <c r="L204" s="15"/>
      <c r="M204" s="15"/>
      <c r="N204" s="16" t="str">
        <f aca="true">IF(OR(L204="",M204=""),"",MAX(0,MIN(TODAY(),M204)-L204+1))</f>
        <v/>
      </c>
      <c r="O204" s="16" t="str">
        <f aca="true">IF(M204="","",M204-TODAY())</f>
        <v/>
      </c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customFormat="false" ht="15" hidden="false" customHeight="false" outlineLevel="0" collapsed="false">
      <c r="A205" s="14"/>
      <c r="B205" s="14"/>
      <c r="C205" s="14"/>
      <c r="D205" s="14"/>
      <c r="E205" s="14"/>
      <c r="F205" s="14"/>
      <c r="G205" s="14"/>
      <c r="H205" s="14"/>
      <c r="I205" s="15"/>
      <c r="J205" s="14"/>
      <c r="K205" s="15"/>
      <c r="L205" s="15"/>
      <c r="M205" s="15"/>
      <c r="N205" s="16" t="str">
        <f aca="true">IF(OR(L205="",M205=""),"",MAX(0,MIN(TODAY(),M205)-L205+1))</f>
        <v/>
      </c>
      <c r="O205" s="16" t="str">
        <f aca="true">IF(M205="","",M205-TODAY())</f>
        <v/>
      </c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customFormat="false" ht="15" hidden="false" customHeight="false" outlineLevel="0" collapsed="false">
      <c r="A206" s="14"/>
      <c r="B206" s="14"/>
      <c r="C206" s="14"/>
      <c r="D206" s="14"/>
      <c r="E206" s="14"/>
      <c r="F206" s="14"/>
      <c r="G206" s="14"/>
      <c r="H206" s="14"/>
      <c r="I206" s="15"/>
      <c r="J206" s="14"/>
      <c r="K206" s="15"/>
      <c r="L206" s="15"/>
      <c r="M206" s="15"/>
      <c r="N206" s="16" t="str">
        <f aca="true">IF(OR(L206="",M206=""),"",MAX(0,MIN(TODAY(),M206)-L206+1))</f>
        <v/>
      </c>
      <c r="O206" s="16" t="str">
        <f aca="true">IF(M206="","",M206-TODAY())</f>
        <v/>
      </c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customFormat="false" ht="15" hidden="false" customHeight="false" outlineLevel="0" collapsed="false">
      <c r="A207" s="14"/>
      <c r="B207" s="14"/>
      <c r="C207" s="14"/>
      <c r="D207" s="14"/>
      <c r="E207" s="14"/>
      <c r="F207" s="14"/>
      <c r="G207" s="14"/>
      <c r="H207" s="14"/>
      <c r="I207" s="15"/>
      <c r="J207" s="14"/>
      <c r="K207" s="15"/>
      <c r="L207" s="15"/>
      <c r="M207" s="15"/>
      <c r="N207" s="16" t="str">
        <f aca="true">IF(OR(L207="",M207=""),"",MAX(0,MIN(TODAY(),M207)-L207+1))</f>
        <v/>
      </c>
      <c r="O207" s="16" t="str">
        <f aca="true">IF(M207="","",M207-TODAY())</f>
        <v/>
      </c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customFormat="false" ht="15" hidden="false" customHeight="false" outlineLevel="0" collapsed="false">
      <c r="A208" s="14"/>
      <c r="B208" s="14"/>
      <c r="C208" s="14"/>
      <c r="D208" s="14"/>
      <c r="E208" s="14"/>
      <c r="F208" s="14"/>
      <c r="G208" s="14"/>
      <c r="H208" s="14"/>
      <c r="I208" s="15"/>
      <c r="J208" s="14"/>
      <c r="K208" s="15"/>
      <c r="L208" s="15"/>
      <c r="M208" s="15"/>
      <c r="N208" s="16" t="str">
        <f aca="true">IF(OR(L208="",M208=""),"",MAX(0,MIN(TODAY(),M208)-L208+1))</f>
        <v/>
      </c>
      <c r="O208" s="16" t="str">
        <f aca="true">IF(M208="","",M208-TODAY())</f>
        <v/>
      </c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customFormat="false" ht="15" hidden="false" customHeight="false" outlineLevel="0" collapsed="false">
      <c r="A209" s="14"/>
      <c r="B209" s="14"/>
      <c r="C209" s="14"/>
      <c r="D209" s="14"/>
      <c r="E209" s="14"/>
      <c r="F209" s="14"/>
      <c r="G209" s="14"/>
      <c r="H209" s="14"/>
      <c r="I209" s="15"/>
      <c r="J209" s="14"/>
      <c r="K209" s="15"/>
      <c r="L209" s="15"/>
      <c r="M209" s="15"/>
      <c r="N209" s="16" t="str">
        <f aca="true">IF(OR(L209="",M209=""),"",MAX(0,MIN(TODAY(),M209)-L209+1))</f>
        <v/>
      </c>
      <c r="O209" s="16" t="str">
        <f aca="true">IF(M209="","",M209-TODAY())</f>
        <v/>
      </c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customFormat="false" ht="15" hidden="false" customHeight="false" outlineLevel="0" collapsed="false">
      <c r="A210" s="14"/>
      <c r="B210" s="14"/>
      <c r="C210" s="14"/>
      <c r="D210" s="14"/>
      <c r="E210" s="14"/>
      <c r="F210" s="14"/>
      <c r="G210" s="14"/>
      <c r="H210" s="14"/>
      <c r="I210" s="15"/>
      <c r="J210" s="14"/>
      <c r="K210" s="15"/>
      <c r="L210" s="15"/>
      <c r="M210" s="15"/>
      <c r="N210" s="16" t="str">
        <f aca="true">IF(OR(L210="",M210=""),"",MAX(0,MIN(TODAY(),M210)-L210+1))</f>
        <v/>
      </c>
      <c r="O210" s="16" t="str">
        <f aca="true">IF(M210="","",M210-TODAY())</f>
        <v/>
      </c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customFormat="false" ht="15" hidden="false" customHeight="false" outlineLevel="0" collapsed="false">
      <c r="A211" s="14"/>
      <c r="B211" s="14"/>
      <c r="C211" s="14"/>
      <c r="D211" s="14"/>
      <c r="E211" s="14"/>
      <c r="F211" s="14"/>
      <c r="G211" s="14"/>
      <c r="H211" s="14"/>
      <c r="I211" s="15"/>
      <c r="J211" s="14"/>
      <c r="K211" s="15"/>
      <c r="L211" s="15"/>
      <c r="M211" s="15"/>
      <c r="N211" s="16" t="str">
        <f aca="true">IF(OR(L211="",M211=""),"",MAX(0,MIN(TODAY(),M211)-L211+1))</f>
        <v/>
      </c>
      <c r="O211" s="16" t="str">
        <f aca="true">IF(M211="","",M211-TODAY())</f>
        <v/>
      </c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customFormat="false" ht="15" hidden="false" customHeight="false" outlineLevel="0" collapsed="false">
      <c r="A212" s="14"/>
      <c r="B212" s="14"/>
      <c r="C212" s="14"/>
      <c r="D212" s="14"/>
      <c r="E212" s="14"/>
      <c r="F212" s="14"/>
      <c r="G212" s="14"/>
      <c r="H212" s="14"/>
      <c r="I212" s="15"/>
      <c r="J212" s="14"/>
      <c r="K212" s="15"/>
      <c r="L212" s="15"/>
      <c r="M212" s="15"/>
      <c r="N212" s="16" t="str">
        <f aca="true">IF(OR(L212="",M212=""),"",MAX(0,MIN(TODAY(),M212)-L212+1))</f>
        <v/>
      </c>
      <c r="O212" s="16" t="str">
        <f aca="true">IF(M212="","",M212-TODAY())</f>
        <v/>
      </c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customFormat="false" ht="15" hidden="false" customHeight="false" outlineLevel="0" collapsed="false">
      <c r="A213" s="14"/>
      <c r="B213" s="14"/>
      <c r="C213" s="14"/>
      <c r="D213" s="14"/>
      <c r="E213" s="14"/>
      <c r="F213" s="14"/>
      <c r="G213" s="14"/>
      <c r="H213" s="14"/>
      <c r="I213" s="15"/>
      <c r="J213" s="14"/>
      <c r="K213" s="15"/>
      <c r="L213" s="15"/>
      <c r="M213" s="15"/>
      <c r="N213" s="16" t="str">
        <f aca="true">IF(OR(L213="",M213=""),"",MAX(0,MIN(TODAY(),M213)-L213+1))</f>
        <v/>
      </c>
      <c r="O213" s="16" t="str">
        <f aca="true">IF(M213="","",M213-TODAY())</f>
        <v/>
      </c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customFormat="false" ht="15" hidden="false" customHeight="false" outlineLevel="0" collapsed="false">
      <c r="A214" s="14"/>
      <c r="B214" s="14"/>
      <c r="C214" s="14"/>
      <c r="D214" s="14"/>
      <c r="E214" s="14"/>
      <c r="F214" s="14"/>
      <c r="G214" s="14"/>
      <c r="H214" s="14"/>
      <c r="I214" s="15"/>
      <c r="J214" s="14"/>
      <c r="K214" s="15"/>
      <c r="L214" s="15"/>
      <c r="M214" s="15"/>
      <c r="N214" s="16" t="str">
        <f aca="true">IF(OR(L214="",M214=""),"",MAX(0,MIN(TODAY(),M214)-L214+1))</f>
        <v/>
      </c>
      <c r="O214" s="16" t="str">
        <f aca="true">IF(M214="","",M214-TODAY())</f>
        <v/>
      </c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customFormat="false" ht="15" hidden="false" customHeight="false" outlineLevel="0" collapsed="false">
      <c r="A215" s="14"/>
      <c r="B215" s="14"/>
      <c r="C215" s="14"/>
      <c r="D215" s="14"/>
      <c r="E215" s="14"/>
      <c r="F215" s="14"/>
      <c r="G215" s="14"/>
      <c r="H215" s="14"/>
      <c r="I215" s="15"/>
      <c r="J215" s="14"/>
      <c r="K215" s="15"/>
      <c r="L215" s="15"/>
      <c r="M215" s="15"/>
      <c r="N215" s="16" t="str">
        <f aca="true">IF(OR(L215="",M215=""),"",MAX(0,MIN(TODAY(),M215)-L215+1))</f>
        <v/>
      </c>
      <c r="O215" s="16" t="str">
        <f aca="true">IF(M215="","",M215-TODAY())</f>
        <v/>
      </c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customFormat="false" ht="15" hidden="false" customHeight="false" outlineLevel="0" collapsed="false">
      <c r="A216" s="14"/>
      <c r="B216" s="14"/>
      <c r="C216" s="14"/>
      <c r="D216" s="14"/>
      <c r="E216" s="14"/>
      <c r="F216" s="14"/>
      <c r="G216" s="14"/>
      <c r="H216" s="14"/>
      <c r="I216" s="15"/>
      <c r="J216" s="14"/>
      <c r="K216" s="15"/>
      <c r="L216" s="15"/>
      <c r="M216" s="15"/>
      <c r="N216" s="16" t="str">
        <f aca="true">IF(OR(L216="",M216=""),"",MAX(0,MIN(TODAY(),M216)-L216+1))</f>
        <v/>
      </c>
      <c r="O216" s="16" t="str">
        <f aca="true">IF(M216="","",M216-TODAY())</f>
        <v/>
      </c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customFormat="false" ht="15" hidden="false" customHeight="false" outlineLevel="0" collapsed="false">
      <c r="A217" s="14"/>
      <c r="B217" s="14"/>
      <c r="C217" s="14"/>
      <c r="D217" s="14"/>
      <c r="E217" s="14"/>
      <c r="F217" s="14"/>
      <c r="G217" s="14"/>
      <c r="H217" s="14"/>
      <c r="I217" s="15"/>
      <c r="J217" s="14"/>
      <c r="K217" s="15"/>
      <c r="L217" s="15"/>
      <c r="M217" s="15"/>
      <c r="N217" s="16" t="str">
        <f aca="true">IF(OR(L217="",M217=""),"",MAX(0,MIN(TODAY(),M217)-L217+1))</f>
        <v/>
      </c>
      <c r="O217" s="16" t="str">
        <f aca="true">IF(M217="","",M217-TODAY())</f>
        <v/>
      </c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customFormat="false" ht="15" hidden="false" customHeight="false" outlineLevel="0" collapsed="false">
      <c r="A218" s="14"/>
      <c r="B218" s="14"/>
      <c r="C218" s="14"/>
      <c r="D218" s="14"/>
      <c r="E218" s="14"/>
      <c r="F218" s="14"/>
      <c r="G218" s="14"/>
      <c r="H218" s="14"/>
      <c r="I218" s="15"/>
      <c r="J218" s="14"/>
      <c r="K218" s="15"/>
      <c r="L218" s="15"/>
      <c r="M218" s="15"/>
      <c r="N218" s="16" t="str">
        <f aca="true">IF(OR(L218="",M218=""),"",MAX(0,MIN(TODAY(),M218)-L218+1))</f>
        <v/>
      </c>
      <c r="O218" s="16" t="str">
        <f aca="true">IF(M218="","",M218-TODAY())</f>
        <v/>
      </c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customFormat="false" ht="15" hidden="false" customHeight="false" outlineLevel="0" collapsed="false">
      <c r="A219" s="14"/>
      <c r="B219" s="14"/>
      <c r="C219" s="14"/>
      <c r="D219" s="14"/>
      <c r="E219" s="14"/>
      <c r="F219" s="14"/>
      <c r="G219" s="14"/>
      <c r="H219" s="14"/>
      <c r="I219" s="15"/>
      <c r="J219" s="14"/>
      <c r="K219" s="15"/>
      <c r="L219" s="15"/>
      <c r="M219" s="15"/>
      <c r="N219" s="16" t="str">
        <f aca="true">IF(OR(L219="",M219=""),"",MAX(0,MIN(TODAY(),M219)-L219+1))</f>
        <v/>
      </c>
      <c r="O219" s="16" t="str">
        <f aca="true">IF(M219="","",M219-TODAY())</f>
        <v/>
      </c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customFormat="false" ht="15" hidden="false" customHeight="false" outlineLevel="0" collapsed="false">
      <c r="A220" s="14"/>
      <c r="B220" s="14"/>
      <c r="C220" s="14"/>
      <c r="D220" s="14"/>
      <c r="E220" s="14"/>
      <c r="F220" s="14"/>
      <c r="G220" s="14"/>
      <c r="H220" s="14"/>
      <c r="I220" s="15"/>
      <c r="J220" s="14"/>
      <c r="K220" s="15"/>
      <c r="L220" s="15"/>
      <c r="M220" s="15"/>
      <c r="N220" s="16" t="str">
        <f aca="true">IF(OR(L220="",M220=""),"",MAX(0,MIN(TODAY(),M220)-L220+1))</f>
        <v/>
      </c>
      <c r="O220" s="16" t="str">
        <f aca="true">IF(M220="","",M220-TODAY())</f>
        <v/>
      </c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customFormat="false" ht="15" hidden="false" customHeight="false" outlineLevel="0" collapsed="false">
      <c r="A221" s="14"/>
      <c r="B221" s="14"/>
      <c r="C221" s="14"/>
      <c r="D221" s="14"/>
      <c r="E221" s="14"/>
      <c r="F221" s="14"/>
      <c r="G221" s="14"/>
      <c r="H221" s="14"/>
      <c r="I221" s="15"/>
      <c r="J221" s="14"/>
      <c r="K221" s="15"/>
      <c r="L221" s="15"/>
      <c r="M221" s="15"/>
      <c r="N221" s="16" t="str">
        <f aca="true">IF(OR(L221="",M221=""),"",MAX(0,MIN(TODAY(),M221)-L221+1))</f>
        <v/>
      </c>
      <c r="O221" s="16" t="str">
        <f aca="true">IF(M221="","",M221-TODAY())</f>
        <v/>
      </c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customFormat="false" ht="15" hidden="false" customHeight="false" outlineLevel="0" collapsed="false">
      <c r="A222" s="14"/>
      <c r="B222" s="14"/>
      <c r="C222" s="14"/>
      <c r="D222" s="14"/>
      <c r="E222" s="14"/>
      <c r="F222" s="14"/>
      <c r="G222" s="14"/>
      <c r="H222" s="14"/>
      <c r="I222" s="15"/>
      <c r="J222" s="14"/>
      <c r="K222" s="15"/>
      <c r="L222" s="15"/>
      <c r="M222" s="15"/>
      <c r="N222" s="16" t="str">
        <f aca="true">IF(OR(L222="",M222=""),"",MAX(0,MIN(TODAY(),M222)-L222+1))</f>
        <v/>
      </c>
      <c r="O222" s="16" t="str">
        <f aca="true">IF(M222="","",M222-TODAY())</f>
        <v/>
      </c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customFormat="false" ht="15" hidden="false" customHeight="false" outlineLevel="0" collapsed="false">
      <c r="A223" s="14"/>
      <c r="B223" s="14"/>
      <c r="C223" s="14"/>
      <c r="D223" s="14"/>
      <c r="E223" s="14"/>
      <c r="F223" s="14"/>
      <c r="G223" s="14"/>
      <c r="H223" s="14"/>
      <c r="I223" s="15"/>
      <c r="J223" s="14"/>
      <c r="K223" s="15"/>
      <c r="L223" s="15"/>
      <c r="M223" s="15"/>
      <c r="N223" s="16" t="str">
        <f aca="true">IF(OR(L223="",M223=""),"",MAX(0,MIN(TODAY(),M223)-L223+1))</f>
        <v/>
      </c>
      <c r="O223" s="16" t="str">
        <f aca="true">IF(M223="","",M223-TODAY())</f>
        <v/>
      </c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customFormat="false" ht="15" hidden="false" customHeight="false" outlineLevel="0" collapsed="false">
      <c r="A224" s="14"/>
      <c r="B224" s="14"/>
      <c r="C224" s="14"/>
      <c r="D224" s="14"/>
      <c r="E224" s="14"/>
      <c r="F224" s="14"/>
      <c r="G224" s="14"/>
      <c r="H224" s="14"/>
      <c r="I224" s="15"/>
      <c r="J224" s="14"/>
      <c r="K224" s="15"/>
      <c r="L224" s="15"/>
      <c r="M224" s="15"/>
      <c r="N224" s="16" t="str">
        <f aca="true">IF(OR(L224="",M224=""),"",MAX(0,MIN(TODAY(),M224)-L224+1))</f>
        <v/>
      </c>
      <c r="O224" s="16" t="str">
        <f aca="true">IF(M224="","",M224-TODAY())</f>
        <v/>
      </c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customFormat="false" ht="15" hidden="false" customHeight="false" outlineLevel="0" collapsed="false">
      <c r="A225" s="14"/>
      <c r="B225" s="14"/>
      <c r="C225" s="14"/>
      <c r="D225" s="14"/>
      <c r="E225" s="14"/>
      <c r="F225" s="14"/>
      <c r="G225" s="14"/>
      <c r="H225" s="14"/>
      <c r="I225" s="15"/>
      <c r="J225" s="14"/>
      <c r="K225" s="15"/>
      <c r="L225" s="15"/>
      <c r="M225" s="15"/>
      <c r="N225" s="16" t="str">
        <f aca="true">IF(OR(L225="",M225=""),"",MAX(0,MIN(TODAY(),M225)-L225+1))</f>
        <v/>
      </c>
      <c r="O225" s="16" t="str">
        <f aca="true">IF(M225="","",M225-TODAY())</f>
        <v/>
      </c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customFormat="false" ht="15" hidden="false" customHeight="false" outlineLevel="0" collapsed="false">
      <c r="A226" s="14"/>
      <c r="B226" s="14"/>
      <c r="C226" s="14"/>
      <c r="D226" s="14"/>
      <c r="E226" s="14"/>
      <c r="F226" s="14"/>
      <c r="G226" s="14"/>
      <c r="H226" s="14"/>
      <c r="I226" s="15"/>
      <c r="J226" s="14"/>
      <c r="K226" s="15"/>
      <c r="L226" s="15"/>
      <c r="M226" s="15"/>
      <c r="N226" s="16" t="str">
        <f aca="true">IF(OR(L226="",M226=""),"",MAX(0,MIN(TODAY(),M226)-L226+1))</f>
        <v/>
      </c>
      <c r="O226" s="16" t="str">
        <f aca="true">IF(M226="","",M226-TODAY())</f>
        <v/>
      </c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customFormat="false" ht="15" hidden="false" customHeight="false" outlineLevel="0" collapsed="false">
      <c r="A227" s="14"/>
      <c r="B227" s="14"/>
      <c r="C227" s="14"/>
      <c r="D227" s="14"/>
      <c r="E227" s="14"/>
      <c r="F227" s="14"/>
      <c r="G227" s="14"/>
      <c r="H227" s="14"/>
      <c r="I227" s="15"/>
      <c r="J227" s="14"/>
      <c r="K227" s="15"/>
      <c r="L227" s="15"/>
      <c r="M227" s="15"/>
      <c r="N227" s="16" t="str">
        <f aca="true">IF(OR(L227="",M227=""),"",MAX(0,MIN(TODAY(),M227)-L227+1))</f>
        <v/>
      </c>
      <c r="O227" s="16" t="str">
        <f aca="true">IF(M227="","",M227-TODAY())</f>
        <v/>
      </c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customFormat="false" ht="15" hidden="false" customHeight="false" outlineLevel="0" collapsed="false">
      <c r="A228" s="14"/>
      <c r="B228" s="14"/>
      <c r="C228" s="14"/>
      <c r="D228" s="14"/>
      <c r="E228" s="14"/>
      <c r="F228" s="14"/>
      <c r="G228" s="14"/>
      <c r="H228" s="14"/>
      <c r="I228" s="15"/>
      <c r="J228" s="14"/>
      <c r="K228" s="15"/>
      <c r="L228" s="15"/>
      <c r="M228" s="15"/>
      <c r="N228" s="16" t="str">
        <f aca="true">IF(OR(L228="",M228=""),"",MAX(0,MIN(TODAY(),M228)-L228+1))</f>
        <v/>
      </c>
      <c r="O228" s="16" t="str">
        <f aca="true">IF(M228="","",M228-TODAY())</f>
        <v/>
      </c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customFormat="false" ht="15" hidden="false" customHeight="false" outlineLevel="0" collapsed="false">
      <c r="A229" s="14"/>
      <c r="B229" s="14"/>
      <c r="C229" s="14"/>
      <c r="D229" s="14"/>
      <c r="E229" s="14"/>
      <c r="F229" s="14"/>
      <c r="G229" s="14"/>
      <c r="H229" s="14"/>
      <c r="I229" s="15"/>
      <c r="J229" s="14"/>
      <c r="K229" s="15"/>
      <c r="L229" s="15"/>
      <c r="M229" s="15"/>
      <c r="N229" s="16" t="str">
        <f aca="true">IF(OR(L229="",M229=""),"",MAX(0,MIN(TODAY(),M229)-L229+1))</f>
        <v/>
      </c>
      <c r="O229" s="16" t="str">
        <f aca="true">IF(M229="","",M229-TODAY())</f>
        <v/>
      </c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customFormat="false" ht="15" hidden="false" customHeight="false" outlineLevel="0" collapsed="false">
      <c r="A230" s="14"/>
      <c r="B230" s="14"/>
      <c r="C230" s="14"/>
      <c r="D230" s="14"/>
      <c r="E230" s="14"/>
      <c r="F230" s="14"/>
      <c r="G230" s="14"/>
      <c r="H230" s="14"/>
      <c r="I230" s="15"/>
      <c r="J230" s="14"/>
      <c r="K230" s="15"/>
      <c r="L230" s="15"/>
      <c r="M230" s="15"/>
      <c r="N230" s="16" t="str">
        <f aca="true">IF(OR(L230="",M230=""),"",MAX(0,MIN(TODAY(),M230)-L230+1))</f>
        <v/>
      </c>
      <c r="O230" s="16" t="str">
        <f aca="true">IF(M230="","",M230-TODAY())</f>
        <v/>
      </c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customFormat="false" ht="15" hidden="false" customHeight="false" outlineLevel="0" collapsed="false">
      <c r="A231" s="14"/>
      <c r="B231" s="14"/>
      <c r="C231" s="14"/>
      <c r="D231" s="14"/>
      <c r="E231" s="14"/>
      <c r="F231" s="14"/>
      <c r="G231" s="14"/>
      <c r="H231" s="14"/>
      <c r="I231" s="15"/>
      <c r="J231" s="14"/>
      <c r="K231" s="15"/>
      <c r="L231" s="15"/>
      <c r="M231" s="15"/>
      <c r="N231" s="16" t="str">
        <f aca="true">IF(OR(L231="",M231=""),"",MAX(0,MIN(TODAY(),M231)-L231+1))</f>
        <v/>
      </c>
      <c r="O231" s="16" t="str">
        <f aca="true">IF(M231="","",M231-TODAY())</f>
        <v/>
      </c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customFormat="false" ht="15" hidden="false" customHeight="false" outlineLevel="0" collapsed="false">
      <c r="A232" s="14"/>
      <c r="B232" s="14"/>
      <c r="C232" s="14"/>
      <c r="D232" s="14"/>
      <c r="E232" s="14"/>
      <c r="F232" s="14"/>
      <c r="G232" s="14"/>
      <c r="H232" s="14"/>
      <c r="I232" s="15"/>
      <c r="J232" s="14"/>
      <c r="K232" s="15"/>
      <c r="L232" s="15"/>
      <c r="M232" s="15"/>
      <c r="N232" s="16" t="str">
        <f aca="true">IF(OR(L232="",M232=""),"",MAX(0,MIN(TODAY(),M232)-L232+1))</f>
        <v/>
      </c>
      <c r="O232" s="16" t="str">
        <f aca="true">IF(M232="","",M232-TODAY())</f>
        <v/>
      </c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customFormat="false" ht="15" hidden="false" customHeight="false" outlineLevel="0" collapsed="false">
      <c r="A233" s="14"/>
      <c r="B233" s="14"/>
      <c r="C233" s="14"/>
      <c r="D233" s="14"/>
      <c r="E233" s="14"/>
      <c r="F233" s="14"/>
      <c r="G233" s="14"/>
      <c r="H233" s="14"/>
      <c r="I233" s="15"/>
      <c r="J233" s="14"/>
      <c r="K233" s="15"/>
      <c r="L233" s="15"/>
      <c r="M233" s="15"/>
      <c r="N233" s="16" t="str">
        <f aca="true">IF(OR(L233="",M233=""),"",MAX(0,MIN(TODAY(),M233)-L233+1))</f>
        <v/>
      </c>
      <c r="O233" s="16" t="str">
        <f aca="true">IF(M233="","",M233-TODAY())</f>
        <v/>
      </c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customFormat="false" ht="15" hidden="false" customHeight="false" outlineLevel="0" collapsed="false">
      <c r="A234" s="14"/>
      <c r="B234" s="14"/>
      <c r="C234" s="14"/>
      <c r="D234" s="14"/>
      <c r="E234" s="14"/>
      <c r="F234" s="14"/>
      <c r="G234" s="14"/>
      <c r="H234" s="14"/>
      <c r="I234" s="15"/>
      <c r="J234" s="14"/>
      <c r="K234" s="15"/>
      <c r="L234" s="15"/>
      <c r="M234" s="15"/>
      <c r="N234" s="16" t="str">
        <f aca="true">IF(OR(L234="",M234=""),"",MAX(0,MIN(TODAY(),M234)-L234+1))</f>
        <v/>
      </c>
      <c r="O234" s="16" t="str">
        <f aca="true">IF(M234="","",M234-TODAY())</f>
        <v/>
      </c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customFormat="false" ht="15" hidden="false" customHeight="false" outlineLevel="0" collapsed="false">
      <c r="A235" s="14"/>
      <c r="B235" s="14"/>
      <c r="C235" s="14"/>
      <c r="D235" s="14"/>
      <c r="E235" s="14"/>
      <c r="F235" s="14"/>
      <c r="G235" s="14"/>
      <c r="H235" s="14"/>
      <c r="I235" s="15"/>
      <c r="J235" s="14"/>
      <c r="K235" s="15"/>
      <c r="L235" s="15"/>
      <c r="M235" s="15"/>
      <c r="N235" s="16" t="str">
        <f aca="true">IF(OR(L235="",M235=""),"",MAX(0,MIN(TODAY(),M235)-L235+1))</f>
        <v/>
      </c>
      <c r="O235" s="16" t="str">
        <f aca="true">IF(M235="","",M235-TODAY())</f>
        <v/>
      </c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customFormat="false" ht="15" hidden="false" customHeight="false" outlineLevel="0" collapsed="false">
      <c r="A236" s="14"/>
      <c r="B236" s="14"/>
      <c r="C236" s="14"/>
      <c r="D236" s="14"/>
      <c r="E236" s="14"/>
      <c r="F236" s="14"/>
      <c r="G236" s="14"/>
      <c r="H236" s="14"/>
      <c r="I236" s="15"/>
      <c r="J236" s="14"/>
      <c r="K236" s="15"/>
      <c r="L236" s="15"/>
      <c r="M236" s="15"/>
      <c r="N236" s="16" t="str">
        <f aca="true">IF(OR(L236="",M236=""),"",MAX(0,MIN(TODAY(),M236)-L236+1))</f>
        <v/>
      </c>
      <c r="O236" s="16" t="str">
        <f aca="true">IF(M236="","",M236-TODAY())</f>
        <v/>
      </c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customFormat="false" ht="15" hidden="false" customHeight="false" outlineLevel="0" collapsed="false">
      <c r="A237" s="14"/>
      <c r="B237" s="14"/>
      <c r="C237" s="14"/>
      <c r="D237" s="14"/>
      <c r="E237" s="14"/>
      <c r="F237" s="14"/>
      <c r="G237" s="14"/>
      <c r="H237" s="14"/>
      <c r="I237" s="15"/>
      <c r="J237" s="14"/>
      <c r="K237" s="15"/>
      <c r="L237" s="15"/>
      <c r="M237" s="15"/>
      <c r="N237" s="16" t="str">
        <f aca="true">IF(OR(L237="",M237=""),"",MAX(0,MIN(TODAY(),M237)-L237+1))</f>
        <v/>
      </c>
      <c r="O237" s="16" t="str">
        <f aca="true">IF(M237="","",M237-TODAY())</f>
        <v/>
      </c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customFormat="false" ht="15" hidden="false" customHeight="false" outlineLevel="0" collapsed="false">
      <c r="A238" s="14"/>
      <c r="B238" s="14"/>
      <c r="C238" s="14"/>
      <c r="D238" s="14"/>
      <c r="E238" s="14"/>
      <c r="F238" s="14"/>
      <c r="G238" s="14"/>
      <c r="H238" s="14"/>
      <c r="I238" s="15"/>
      <c r="J238" s="14"/>
      <c r="K238" s="15"/>
      <c r="L238" s="15"/>
      <c r="M238" s="15"/>
      <c r="N238" s="16" t="str">
        <f aca="true">IF(OR(L238="",M238=""),"",MAX(0,MIN(TODAY(),M238)-L238+1))</f>
        <v/>
      </c>
      <c r="O238" s="16" t="str">
        <f aca="true">IF(M238="","",M238-TODAY())</f>
        <v/>
      </c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customFormat="false" ht="15" hidden="false" customHeight="false" outlineLevel="0" collapsed="false">
      <c r="A239" s="14"/>
      <c r="B239" s="14"/>
      <c r="C239" s="14"/>
      <c r="D239" s="14"/>
      <c r="E239" s="14"/>
      <c r="F239" s="14"/>
      <c r="G239" s="14"/>
      <c r="H239" s="14"/>
      <c r="I239" s="15"/>
      <c r="J239" s="14"/>
      <c r="K239" s="15"/>
      <c r="L239" s="15"/>
      <c r="M239" s="15"/>
      <c r="N239" s="16" t="str">
        <f aca="true">IF(OR(L239="",M239=""),"",MAX(0,MIN(TODAY(),M239)-L239+1))</f>
        <v/>
      </c>
      <c r="O239" s="16" t="str">
        <f aca="true">IF(M239="","",M239-TODAY())</f>
        <v/>
      </c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customFormat="false" ht="15" hidden="false" customHeight="false" outlineLevel="0" collapsed="false">
      <c r="A240" s="14"/>
      <c r="B240" s="14"/>
      <c r="C240" s="14"/>
      <c r="D240" s="14"/>
      <c r="E240" s="14"/>
      <c r="F240" s="14"/>
      <c r="G240" s="14"/>
      <c r="H240" s="14"/>
      <c r="I240" s="15"/>
      <c r="J240" s="14"/>
      <c r="K240" s="15"/>
      <c r="L240" s="15"/>
      <c r="M240" s="15"/>
      <c r="N240" s="16" t="str">
        <f aca="true">IF(OR(L240="",M240=""),"",MAX(0,MIN(TODAY(),M240)-L240+1))</f>
        <v/>
      </c>
      <c r="O240" s="16" t="str">
        <f aca="true">IF(M240="","",M240-TODAY())</f>
        <v/>
      </c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customFormat="false" ht="15" hidden="false" customHeight="false" outlineLevel="0" collapsed="false">
      <c r="A241" s="14"/>
      <c r="B241" s="14"/>
      <c r="C241" s="14"/>
      <c r="D241" s="14"/>
      <c r="E241" s="14"/>
      <c r="F241" s="14"/>
      <c r="G241" s="14"/>
      <c r="H241" s="14"/>
      <c r="I241" s="15"/>
      <c r="J241" s="14"/>
      <c r="K241" s="15"/>
      <c r="L241" s="15"/>
      <c r="M241" s="15"/>
      <c r="N241" s="16" t="str">
        <f aca="true">IF(OR(L241="",M241=""),"",MAX(0,MIN(TODAY(),M241)-L241+1))</f>
        <v/>
      </c>
      <c r="O241" s="16" t="str">
        <f aca="true">IF(M241="","",M241-TODAY())</f>
        <v/>
      </c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customFormat="false" ht="15" hidden="false" customHeight="false" outlineLevel="0" collapsed="false">
      <c r="A242" s="14"/>
      <c r="B242" s="14"/>
      <c r="C242" s="14"/>
      <c r="D242" s="14"/>
      <c r="E242" s="14"/>
      <c r="F242" s="14"/>
      <c r="G242" s="14"/>
      <c r="H242" s="14"/>
      <c r="I242" s="15"/>
      <c r="J242" s="14"/>
      <c r="K242" s="15"/>
      <c r="L242" s="15"/>
      <c r="M242" s="15"/>
      <c r="N242" s="16" t="str">
        <f aca="true">IF(OR(L242="",M242=""),"",MAX(0,MIN(TODAY(),M242)-L242+1))</f>
        <v/>
      </c>
      <c r="O242" s="16" t="str">
        <f aca="true">IF(M242="","",M242-TODAY())</f>
        <v/>
      </c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customFormat="false" ht="15" hidden="false" customHeight="false" outlineLevel="0" collapsed="false">
      <c r="A243" s="14"/>
      <c r="B243" s="14"/>
      <c r="C243" s="14"/>
      <c r="D243" s="14"/>
      <c r="E243" s="14"/>
      <c r="F243" s="14"/>
      <c r="G243" s="14"/>
      <c r="H243" s="14"/>
      <c r="I243" s="15"/>
      <c r="J243" s="14"/>
      <c r="K243" s="15"/>
      <c r="L243" s="15"/>
      <c r="M243" s="15"/>
      <c r="N243" s="16" t="str">
        <f aca="true">IF(OR(L243="",M243=""),"",MAX(0,MIN(TODAY(),M243)-L243+1))</f>
        <v/>
      </c>
      <c r="O243" s="16" t="str">
        <f aca="true">IF(M243="","",M243-TODAY())</f>
        <v/>
      </c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customFormat="false" ht="15" hidden="false" customHeight="false" outlineLevel="0" collapsed="false">
      <c r="A244" s="14"/>
      <c r="B244" s="14"/>
      <c r="C244" s="14"/>
      <c r="D244" s="14"/>
      <c r="E244" s="14"/>
      <c r="F244" s="14"/>
      <c r="G244" s="14"/>
      <c r="H244" s="14"/>
      <c r="I244" s="15"/>
      <c r="J244" s="14"/>
      <c r="K244" s="15"/>
      <c r="L244" s="15"/>
      <c r="M244" s="15"/>
      <c r="N244" s="16" t="str">
        <f aca="true">IF(OR(L244="",M244=""),"",MAX(0,MIN(TODAY(),M244)-L244+1))</f>
        <v/>
      </c>
      <c r="O244" s="16" t="str">
        <f aca="true">IF(M244="","",M244-TODAY())</f>
        <v/>
      </c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customFormat="false" ht="15" hidden="false" customHeight="false" outlineLevel="0" collapsed="false">
      <c r="A245" s="14"/>
      <c r="B245" s="14"/>
      <c r="C245" s="14"/>
      <c r="D245" s="14"/>
      <c r="E245" s="14"/>
      <c r="F245" s="14"/>
      <c r="G245" s="14"/>
      <c r="H245" s="14"/>
      <c r="I245" s="15"/>
      <c r="J245" s="14"/>
      <c r="K245" s="15"/>
      <c r="L245" s="15"/>
      <c r="M245" s="15"/>
      <c r="N245" s="16" t="str">
        <f aca="true">IF(OR(L245="",M245=""),"",MAX(0,MIN(TODAY(),M245)-L245+1))</f>
        <v/>
      </c>
      <c r="O245" s="16" t="str">
        <f aca="true">IF(M245="","",M245-TODAY())</f>
        <v/>
      </c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customFormat="false" ht="15" hidden="false" customHeight="false" outlineLevel="0" collapsed="false">
      <c r="A246" s="14"/>
      <c r="B246" s="14"/>
      <c r="C246" s="14"/>
      <c r="D246" s="14"/>
      <c r="E246" s="14"/>
      <c r="F246" s="14"/>
      <c r="G246" s="14"/>
      <c r="H246" s="14"/>
      <c r="I246" s="15"/>
      <c r="J246" s="14"/>
      <c r="K246" s="15"/>
      <c r="L246" s="15"/>
      <c r="M246" s="15"/>
      <c r="N246" s="16" t="str">
        <f aca="true">IF(OR(L246="",M246=""),"",MAX(0,MIN(TODAY(),M246)-L246+1))</f>
        <v/>
      </c>
      <c r="O246" s="16" t="str">
        <f aca="true">IF(M246="","",M246-TODAY())</f>
        <v/>
      </c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customFormat="false" ht="15" hidden="false" customHeight="false" outlineLevel="0" collapsed="false">
      <c r="A247" s="14"/>
      <c r="B247" s="14"/>
      <c r="C247" s="14"/>
      <c r="D247" s="14"/>
      <c r="E247" s="14"/>
      <c r="F247" s="14"/>
      <c r="G247" s="14"/>
      <c r="H247" s="14"/>
      <c r="I247" s="15"/>
      <c r="J247" s="14"/>
      <c r="K247" s="15"/>
      <c r="L247" s="15"/>
      <c r="M247" s="15"/>
      <c r="N247" s="16" t="str">
        <f aca="true">IF(OR(L247="",M247=""),"",MAX(0,MIN(TODAY(),M247)-L247+1))</f>
        <v/>
      </c>
      <c r="O247" s="16" t="str">
        <f aca="true">IF(M247="","",M247-TODAY())</f>
        <v/>
      </c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customFormat="false" ht="15" hidden="false" customHeight="false" outlineLevel="0" collapsed="false">
      <c r="A248" s="14"/>
      <c r="B248" s="14"/>
      <c r="C248" s="14"/>
      <c r="D248" s="14"/>
      <c r="E248" s="14"/>
      <c r="F248" s="14"/>
      <c r="G248" s="14"/>
      <c r="H248" s="14"/>
      <c r="I248" s="15"/>
      <c r="J248" s="14"/>
      <c r="K248" s="15"/>
      <c r="L248" s="15"/>
      <c r="M248" s="15"/>
      <c r="N248" s="16" t="str">
        <f aca="true">IF(OR(L248="",M248=""),"",MAX(0,MIN(TODAY(),M248)-L248+1))</f>
        <v/>
      </c>
      <c r="O248" s="16" t="str">
        <f aca="true">IF(M248="","",M248-TODAY())</f>
        <v/>
      </c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customFormat="false" ht="15" hidden="false" customHeight="false" outlineLevel="0" collapsed="false">
      <c r="A249" s="14"/>
      <c r="B249" s="14"/>
      <c r="C249" s="14"/>
      <c r="D249" s="14"/>
      <c r="E249" s="14"/>
      <c r="F249" s="14"/>
      <c r="G249" s="14"/>
      <c r="H249" s="14"/>
      <c r="I249" s="15"/>
      <c r="J249" s="14"/>
      <c r="K249" s="15"/>
      <c r="L249" s="15"/>
      <c r="M249" s="15"/>
      <c r="N249" s="16" t="str">
        <f aca="true">IF(OR(L249="",M249=""),"",MAX(0,MIN(TODAY(),M249)-L249+1))</f>
        <v/>
      </c>
      <c r="O249" s="16" t="str">
        <f aca="true">IF(M249="","",M249-TODAY())</f>
        <v/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customFormat="false" ht="15" hidden="false" customHeight="false" outlineLevel="0" collapsed="false">
      <c r="A250" s="14"/>
      <c r="B250" s="14"/>
      <c r="C250" s="14"/>
      <c r="D250" s="14"/>
      <c r="E250" s="14"/>
      <c r="F250" s="14"/>
      <c r="G250" s="14"/>
      <c r="H250" s="14"/>
      <c r="I250" s="15"/>
      <c r="J250" s="14"/>
      <c r="K250" s="15"/>
      <c r="L250" s="15"/>
      <c r="M250" s="15"/>
      <c r="N250" s="16" t="str">
        <f aca="true">IF(OR(L250="",M250=""),"",MAX(0,MIN(TODAY(),M250)-L250+1))</f>
        <v/>
      </c>
      <c r="O250" s="16" t="str">
        <f aca="true">IF(M250="","",M250-TODAY())</f>
        <v/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customFormat="false" ht="15" hidden="false" customHeight="false" outlineLevel="0" collapsed="false">
      <c r="A251" s="14"/>
      <c r="B251" s="14"/>
      <c r="C251" s="14"/>
      <c r="D251" s="14"/>
      <c r="E251" s="14"/>
      <c r="F251" s="14"/>
      <c r="G251" s="14"/>
      <c r="H251" s="14"/>
      <c r="I251" s="15"/>
      <c r="J251" s="14"/>
      <c r="K251" s="15"/>
      <c r="L251" s="15"/>
      <c r="M251" s="15"/>
      <c r="N251" s="16" t="str">
        <f aca="true">IF(OR(L251="",M251=""),"",MAX(0,MIN(TODAY(),M251)-L251+1))</f>
        <v/>
      </c>
      <c r="O251" s="16" t="str">
        <f aca="true">IF(M251="","",M251-TODAY())</f>
        <v/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customFormat="false" ht="15" hidden="false" customHeight="false" outlineLevel="0" collapsed="false">
      <c r="A252" s="14"/>
      <c r="B252" s="14"/>
      <c r="C252" s="14"/>
      <c r="D252" s="14"/>
      <c r="E252" s="14"/>
      <c r="F252" s="14"/>
      <c r="G252" s="14"/>
      <c r="H252" s="14"/>
      <c r="I252" s="15"/>
      <c r="J252" s="14"/>
      <c r="K252" s="15"/>
      <c r="L252" s="15"/>
      <c r="M252" s="15"/>
      <c r="N252" s="16" t="str">
        <f aca="true">IF(OR(L252="",M252=""),"",MAX(0,MIN(TODAY(),M252)-L252+1))</f>
        <v/>
      </c>
      <c r="O252" s="16" t="str">
        <f aca="true">IF(M252="","",M252-TODAY())</f>
        <v/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customFormat="false" ht="15" hidden="false" customHeight="false" outlineLevel="0" collapsed="false">
      <c r="A253" s="14"/>
      <c r="B253" s="14"/>
      <c r="C253" s="14"/>
      <c r="D253" s="14"/>
      <c r="E253" s="14"/>
      <c r="F253" s="14"/>
      <c r="G253" s="14"/>
      <c r="H253" s="14"/>
      <c r="I253" s="15"/>
      <c r="J253" s="14"/>
      <c r="K253" s="15"/>
      <c r="L253" s="15"/>
      <c r="M253" s="15"/>
      <c r="N253" s="16" t="str">
        <f aca="true">IF(OR(L253="",M253=""),"",MAX(0,MIN(TODAY(),M253)-L253+1))</f>
        <v/>
      </c>
      <c r="O253" s="16" t="str">
        <f aca="true">IF(M253="","",M253-TODAY())</f>
        <v/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customFormat="false" ht="15" hidden="false" customHeight="false" outlineLevel="0" collapsed="false">
      <c r="A254" s="14"/>
      <c r="B254" s="14"/>
      <c r="C254" s="14"/>
      <c r="D254" s="14"/>
      <c r="E254" s="14"/>
      <c r="F254" s="14"/>
      <c r="G254" s="14"/>
      <c r="H254" s="14"/>
      <c r="I254" s="15"/>
      <c r="J254" s="14"/>
      <c r="K254" s="15"/>
      <c r="L254" s="15"/>
      <c r="M254" s="15"/>
      <c r="N254" s="16" t="str">
        <f aca="true">IF(OR(L254="",M254=""),"",MAX(0,MIN(TODAY(),M254)-L254+1))</f>
        <v/>
      </c>
      <c r="O254" s="16" t="str">
        <f aca="true">IF(M254="","",M254-TODAY())</f>
        <v/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customFormat="false" ht="15" hidden="false" customHeight="false" outlineLevel="0" collapsed="false">
      <c r="A255" s="14"/>
      <c r="B255" s="14"/>
      <c r="C255" s="14"/>
      <c r="D255" s="14"/>
      <c r="E255" s="14"/>
      <c r="F255" s="14"/>
      <c r="G255" s="14"/>
      <c r="H255" s="14"/>
      <c r="I255" s="15"/>
      <c r="J255" s="14"/>
      <c r="K255" s="15"/>
      <c r="L255" s="15"/>
      <c r="M255" s="15"/>
      <c r="N255" s="16" t="str">
        <f aca="true">IF(OR(L255="",M255=""),"",MAX(0,MIN(TODAY(),M255)-L255+1))</f>
        <v/>
      </c>
      <c r="O255" s="16" t="str">
        <f aca="true">IF(M255="","",M255-TODAY())</f>
        <v/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customFormat="false" ht="15" hidden="false" customHeight="false" outlineLevel="0" collapsed="false">
      <c r="A256" s="14"/>
      <c r="B256" s="14"/>
      <c r="C256" s="14"/>
      <c r="D256" s="14"/>
      <c r="E256" s="14"/>
      <c r="F256" s="14"/>
      <c r="G256" s="14"/>
      <c r="H256" s="14"/>
      <c r="I256" s="15"/>
      <c r="J256" s="14"/>
      <c r="K256" s="15"/>
      <c r="L256" s="15"/>
      <c r="M256" s="15"/>
      <c r="N256" s="16" t="str">
        <f aca="true">IF(OR(L256="",M256=""),"",MAX(0,MIN(TODAY(),M256)-L256+1))</f>
        <v/>
      </c>
      <c r="O256" s="16" t="str">
        <f aca="true">IF(M256="","",M256-TODAY())</f>
        <v/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customFormat="false" ht="15" hidden="false" customHeight="false" outlineLevel="0" collapsed="false">
      <c r="A257" s="14"/>
      <c r="B257" s="14"/>
      <c r="C257" s="14"/>
      <c r="D257" s="14"/>
      <c r="E257" s="14"/>
      <c r="F257" s="14"/>
      <c r="G257" s="14"/>
      <c r="H257" s="14"/>
      <c r="I257" s="15"/>
      <c r="J257" s="14"/>
      <c r="K257" s="15"/>
      <c r="L257" s="15"/>
      <c r="M257" s="15"/>
      <c r="N257" s="16" t="str">
        <f aca="true">IF(OR(L257="",M257=""),"",MAX(0,MIN(TODAY(),M257)-L257+1))</f>
        <v/>
      </c>
      <c r="O257" s="16" t="str">
        <f aca="true">IF(M257="","",M257-TODAY())</f>
        <v/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customFormat="false" ht="15" hidden="false" customHeight="false" outlineLevel="0" collapsed="false">
      <c r="A258" s="14"/>
      <c r="B258" s="14"/>
      <c r="C258" s="14"/>
      <c r="D258" s="14"/>
      <c r="E258" s="14"/>
      <c r="F258" s="14"/>
      <c r="G258" s="14"/>
      <c r="H258" s="14"/>
      <c r="I258" s="15"/>
      <c r="J258" s="14"/>
      <c r="K258" s="15"/>
      <c r="L258" s="15"/>
      <c r="M258" s="15"/>
      <c r="N258" s="16" t="str">
        <f aca="true">IF(OR(L258="",M258=""),"",MAX(0,MIN(TODAY(),M258)-L258+1))</f>
        <v/>
      </c>
      <c r="O258" s="16" t="str">
        <f aca="true">IF(M258="","",M258-TODAY())</f>
        <v/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customFormat="false" ht="15" hidden="false" customHeight="false" outlineLevel="0" collapsed="false">
      <c r="A259" s="14"/>
      <c r="B259" s="14"/>
      <c r="C259" s="14"/>
      <c r="D259" s="14"/>
      <c r="E259" s="14"/>
      <c r="F259" s="14"/>
      <c r="G259" s="14"/>
      <c r="H259" s="14"/>
      <c r="I259" s="15"/>
      <c r="J259" s="14"/>
      <c r="K259" s="15"/>
      <c r="L259" s="15"/>
      <c r="M259" s="15"/>
      <c r="N259" s="16" t="str">
        <f aca="true">IF(OR(L259="",M259=""),"",MAX(0,MIN(TODAY(),M259)-L259+1))</f>
        <v/>
      </c>
      <c r="O259" s="16" t="str">
        <f aca="true">IF(M259="","",M259-TODAY())</f>
        <v/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customFormat="false" ht="15" hidden="false" customHeight="false" outlineLevel="0" collapsed="false">
      <c r="A260" s="14"/>
      <c r="B260" s="14"/>
      <c r="C260" s="14"/>
      <c r="D260" s="14"/>
      <c r="E260" s="14"/>
      <c r="F260" s="14"/>
      <c r="G260" s="14"/>
      <c r="H260" s="14"/>
      <c r="I260" s="15"/>
      <c r="J260" s="14"/>
      <c r="K260" s="15"/>
      <c r="L260" s="15"/>
      <c r="M260" s="15"/>
      <c r="N260" s="16" t="str">
        <f aca="true">IF(OR(L260="",M260=""),"",MAX(0,MIN(TODAY(),M260)-L260+1))</f>
        <v/>
      </c>
      <c r="O260" s="16" t="str">
        <f aca="true">IF(M260="","",M260-TODAY())</f>
        <v/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customFormat="false" ht="15" hidden="false" customHeight="false" outlineLevel="0" collapsed="false">
      <c r="A261" s="14"/>
      <c r="B261" s="14"/>
      <c r="C261" s="14"/>
      <c r="D261" s="14"/>
      <c r="E261" s="14"/>
      <c r="F261" s="14"/>
      <c r="G261" s="14"/>
      <c r="H261" s="14"/>
      <c r="I261" s="15"/>
      <c r="J261" s="14"/>
      <c r="K261" s="15"/>
      <c r="L261" s="15"/>
      <c r="M261" s="15"/>
      <c r="N261" s="16" t="str">
        <f aca="true">IF(OR(L261="",M261=""),"",MAX(0,MIN(TODAY(),M261)-L261+1))</f>
        <v/>
      </c>
      <c r="O261" s="16" t="str">
        <f aca="true">IF(M261="","",M261-TODAY())</f>
        <v/>
      </c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customFormat="false" ht="15" hidden="false" customHeight="false" outlineLevel="0" collapsed="false">
      <c r="A262" s="14"/>
      <c r="B262" s="14"/>
      <c r="C262" s="14"/>
      <c r="D262" s="14"/>
      <c r="E262" s="14"/>
      <c r="F262" s="14"/>
      <c r="G262" s="14"/>
      <c r="H262" s="14"/>
      <c r="I262" s="15"/>
      <c r="J262" s="14"/>
      <c r="K262" s="15"/>
      <c r="L262" s="15"/>
      <c r="M262" s="15"/>
      <c r="N262" s="16" t="str">
        <f aca="true">IF(OR(L262="",M262=""),"",MAX(0,MIN(TODAY(),M262)-L262+1))</f>
        <v/>
      </c>
      <c r="O262" s="16" t="str">
        <f aca="true">IF(M262="","",M262-TODAY())</f>
        <v/>
      </c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customFormat="false" ht="15" hidden="false" customHeight="false" outlineLevel="0" collapsed="false">
      <c r="A263" s="14"/>
      <c r="B263" s="14"/>
      <c r="C263" s="14"/>
      <c r="D263" s="14"/>
      <c r="E263" s="14"/>
      <c r="F263" s="14"/>
      <c r="G263" s="14"/>
      <c r="H263" s="14"/>
      <c r="I263" s="15"/>
      <c r="J263" s="14"/>
      <c r="K263" s="15"/>
      <c r="L263" s="15"/>
      <c r="M263" s="15"/>
      <c r="N263" s="16" t="str">
        <f aca="true">IF(OR(L263="",M263=""),"",MAX(0,MIN(TODAY(),M263)-L263+1))</f>
        <v/>
      </c>
      <c r="O263" s="16" t="str">
        <f aca="true">IF(M263="","",M263-TODAY())</f>
        <v/>
      </c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customFormat="false" ht="15" hidden="false" customHeight="false" outlineLevel="0" collapsed="false">
      <c r="A264" s="14"/>
      <c r="B264" s="14"/>
      <c r="C264" s="14"/>
      <c r="D264" s="14"/>
      <c r="E264" s="14"/>
      <c r="F264" s="14"/>
      <c r="G264" s="14"/>
      <c r="H264" s="14"/>
      <c r="I264" s="15"/>
      <c r="J264" s="14"/>
      <c r="K264" s="15"/>
      <c r="L264" s="15"/>
      <c r="M264" s="15"/>
      <c r="N264" s="16" t="str">
        <f aca="true">IF(OR(L264="",M264=""),"",MAX(0,MIN(TODAY(),M264)-L264+1))</f>
        <v/>
      </c>
      <c r="O264" s="16" t="str">
        <f aca="true">IF(M264="","",M264-TODAY())</f>
        <v/>
      </c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customFormat="false" ht="15" hidden="false" customHeight="false" outlineLevel="0" collapsed="false">
      <c r="A265" s="14"/>
      <c r="B265" s="14"/>
      <c r="C265" s="14"/>
      <c r="D265" s="14"/>
      <c r="E265" s="14"/>
      <c r="F265" s="14"/>
      <c r="G265" s="14"/>
      <c r="H265" s="14"/>
      <c r="I265" s="15"/>
      <c r="J265" s="14"/>
      <c r="K265" s="15"/>
      <c r="L265" s="15"/>
      <c r="M265" s="15"/>
      <c r="N265" s="16" t="str">
        <f aca="true">IF(OR(L265="",M265=""),"",MAX(0,MIN(TODAY(),M265)-L265+1))</f>
        <v/>
      </c>
      <c r="O265" s="16" t="str">
        <f aca="true">IF(M265="","",M265-TODAY())</f>
        <v/>
      </c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customFormat="false" ht="15" hidden="false" customHeight="false" outlineLevel="0" collapsed="false">
      <c r="A266" s="14"/>
      <c r="B266" s="14"/>
      <c r="C266" s="14"/>
      <c r="D266" s="14"/>
      <c r="E266" s="14"/>
      <c r="F266" s="14"/>
      <c r="G266" s="14"/>
      <c r="H266" s="14"/>
      <c r="I266" s="15"/>
      <c r="J266" s="14"/>
      <c r="K266" s="15"/>
      <c r="L266" s="15"/>
      <c r="M266" s="15"/>
      <c r="N266" s="16" t="str">
        <f aca="true">IF(OR(L266="",M266=""),"",MAX(0,MIN(TODAY(),M266)-L266+1))</f>
        <v/>
      </c>
      <c r="O266" s="16" t="str">
        <f aca="true">IF(M266="","",M266-TODAY())</f>
        <v/>
      </c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customFormat="false" ht="15" hidden="false" customHeight="false" outlineLevel="0" collapsed="false">
      <c r="A267" s="14"/>
      <c r="B267" s="14"/>
      <c r="C267" s="14"/>
      <c r="D267" s="14"/>
      <c r="E267" s="14"/>
      <c r="F267" s="14"/>
      <c r="G267" s="14"/>
      <c r="H267" s="14"/>
      <c r="I267" s="15"/>
      <c r="J267" s="14"/>
      <c r="K267" s="15"/>
      <c r="L267" s="15"/>
      <c r="M267" s="15"/>
      <c r="N267" s="16" t="str">
        <f aca="true">IF(OR(L267="",M267=""),"",MAX(0,MIN(TODAY(),M267)-L267+1))</f>
        <v/>
      </c>
      <c r="O267" s="16" t="str">
        <f aca="true">IF(M267="","",M267-TODAY())</f>
        <v/>
      </c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customFormat="false" ht="15" hidden="false" customHeight="false" outlineLevel="0" collapsed="false">
      <c r="A268" s="14"/>
      <c r="B268" s="14"/>
      <c r="C268" s="14"/>
      <c r="D268" s="14"/>
      <c r="E268" s="14"/>
      <c r="F268" s="14"/>
      <c r="G268" s="14"/>
      <c r="H268" s="14"/>
      <c r="I268" s="15"/>
      <c r="J268" s="14"/>
      <c r="K268" s="15"/>
      <c r="L268" s="15"/>
      <c r="M268" s="15"/>
      <c r="N268" s="16" t="str">
        <f aca="true">IF(OR(L268="",M268=""),"",MAX(0,MIN(TODAY(),M268)-L268+1))</f>
        <v/>
      </c>
      <c r="O268" s="16" t="str">
        <f aca="true">IF(M268="","",M268-TODAY())</f>
        <v/>
      </c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customFormat="false" ht="15" hidden="false" customHeight="false" outlineLevel="0" collapsed="false">
      <c r="A269" s="14"/>
      <c r="B269" s="14"/>
      <c r="C269" s="14"/>
      <c r="D269" s="14"/>
      <c r="E269" s="14"/>
      <c r="F269" s="14"/>
      <c r="G269" s="14"/>
      <c r="H269" s="14"/>
      <c r="I269" s="15"/>
      <c r="J269" s="14"/>
      <c r="K269" s="15"/>
      <c r="L269" s="15"/>
      <c r="M269" s="15"/>
      <c r="N269" s="16" t="str">
        <f aca="true">IF(OR(L269="",M269=""),"",MAX(0,MIN(TODAY(),M269)-L269+1))</f>
        <v/>
      </c>
      <c r="O269" s="16" t="str">
        <f aca="true">IF(M269="","",M269-TODAY())</f>
        <v/>
      </c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customFormat="false" ht="15" hidden="false" customHeight="false" outlineLevel="0" collapsed="false">
      <c r="A270" s="14"/>
      <c r="B270" s="14"/>
      <c r="C270" s="14"/>
      <c r="D270" s="14"/>
      <c r="E270" s="14"/>
      <c r="F270" s="14"/>
      <c r="G270" s="14"/>
      <c r="H270" s="14"/>
      <c r="I270" s="15"/>
      <c r="J270" s="14"/>
      <c r="K270" s="15"/>
      <c r="L270" s="15"/>
      <c r="M270" s="15"/>
      <c r="N270" s="16" t="str">
        <f aca="true">IF(OR(L270="",M270=""),"",MAX(0,MIN(TODAY(),M270)-L270+1))</f>
        <v/>
      </c>
      <c r="O270" s="16" t="str">
        <f aca="true">IF(M270="","",M270-TODAY())</f>
        <v/>
      </c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customFormat="false" ht="15" hidden="false" customHeight="false" outlineLevel="0" collapsed="false">
      <c r="A271" s="14"/>
      <c r="B271" s="14"/>
      <c r="C271" s="14"/>
      <c r="D271" s="14"/>
      <c r="E271" s="14"/>
      <c r="F271" s="14"/>
      <c r="G271" s="14"/>
      <c r="H271" s="14"/>
      <c r="I271" s="15"/>
      <c r="J271" s="14"/>
      <c r="K271" s="15"/>
      <c r="L271" s="15"/>
      <c r="M271" s="15"/>
      <c r="N271" s="16" t="str">
        <f aca="true">IF(OR(L271="",M271=""),"",MAX(0,MIN(TODAY(),M271)-L271+1))</f>
        <v/>
      </c>
      <c r="O271" s="16" t="str">
        <f aca="true">IF(M271="","",M271-TODAY())</f>
        <v/>
      </c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customFormat="false" ht="15" hidden="false" customHeight="false" outlineLevel="0" collapsed="false">
      <c r="A272" s="14"/>
      <c r="B272" s="14"/>
      <c r="C272" s="14"/>
      <c r="D272" s="14"/>
      <c r="E272" s="14"/>
      <c r="F272" s="14"/>
      <c r="G272" s="14"/>
      <c r="H272" s="14"/>
      <c r="I272" s="15"/>
      <c r="J272" s="14"/>
      <c r="K272" s="15"/>
      <c r="L272" s="15"/>
      <c r="M272" s="15"/>
      <c r="N272" s="16" t="str">
        <f aca="true">IF(OR(L272="",M272=""),"",MAX(0,MIN(TODAY(),M272)-L272+1))</f>
        <v/>
      </c>
      <c r="O272" s="16" t="str">
        <f aca="true">IF(M272="","",M272-TODAY())</f>
        <v/>
      </c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customFormat="false" ht="15" hidden="false" customHeight="false" outlineLevel="0" collapsed="false">
      <c r="A273" s="14"/>
      <c r="B273" s="14"/>
      <c r="C273" s="14"/>
      <c r="D273" s="14"/>
      <c r="E273" s="14"/>
      <c r="F273" s="14"/>
      <c r="G273" s="14"/>
      <c r="H273" s="14"/>
      <c r="I273" s="15"/>
      <c r="J273" s="14"/>
      <c r="K273" s="15"/>
      <c r="L273" s="15"/>
      <c r="M273" s="15"/>
      <c r="N273" s="16" t="str">
        <f aca="true">IF(OR(L273="",M273=""),"",MAX(0,MIN(TODAY(),M273)-L273+1))</f>
        <v/>
      </c>
      <c r="O273" s="16" t="str">
        <f aca="true">IF(M273="","",M273-TODAY())</f>
        <v/>
      </c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customFormat="false" ht="15" hidden="false" customHeight="false" outlineLevel="0" collapsed="false">
      <c r="A274" s="14"/>
      <c r="B274" s="14"/>
      <c r="C274" s="14"/>
      <c r="D274" s="14"/>
      <c r="E274" s="14"/>
      <c r="F274" s="14"/>
      <c r="G274" s="14"/>
      <c r="H274" s="14"/>
      <c r="I274" s="15"/>
      <c r="J274" s="14"/>
      <c r="K274" s="15"/>
      <c r="L274" s="15"/>
      <c r="M274" s="15"/>
      <c r="N274" s="16" t="str">
        <f aca="true">IF(OR(L274="",M274=""),"",MAX(0,MIN(TODAY(),M274)-L274+1))</f>
        <v/>
      </c>
      <c r="O274" s="16" t="str">
        <f aca="true">IF(M274="","",M274-TODAY())</f>
        <v/>
      </c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customFormat="false" ht="15" hidden="false" customHeight="false" outlineLevel="0" collapsed="false">
      <c r="A275" s="14"/>
      <c r="B275" s="14"/>
      <c r="C275" s="14"/>
      <c r="D275" s="14"/>
      <c r="E275" s="14"/>
      <c r="F275" s="14"/>
      <c r="G275" s="14"/>
      <c r="H275" s="14"/>
      <c r="I275" s="15"/>
      <c r="J275" s="14"/>
      <c r="K275" s="15"/>
      <c r="L275" s="15"/>
      <c r="M275" s="15"/>
      <c r="N275" s="16" t="str">
        <f aca="true">IF(OR(L275="",M275=""),"",MAX(0,MIN(TODAY(),M275)-L275+1))</f>
        <v/>
      </c>
      <c r="O275" s="16" t="str">
        <f aca="true">IF(M275="","",M275-TODAY())</f>
        <v/>
      </c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customFormat="false" ht="15" hidden="false" customHeight="false" outlineLevel="0" collapsed="false">
      <c r="A276" s="14"/>
      <c r="B276" s="14"/>
      <c r="C276" s="14"/>
      <c r="D276" s="14"/>
      <c r="E276" s="14"/>
      <c r="F276" s="14"/>
      <c r="G276" s="14"/>
      <c r="H276" s="14"/>
      <c r="I276" s="15"/>
      <c r="J276" s="14"/>
      <c r="K276" s="15"/>
      <c r="L276" s="15"/>
      <c r="M276" s="15"/>
      <c r="N276" s="16" t="str">
        <f aca="true">IF(OR(L276="",M276=""),"",MAX(0,MIN(TODAY(),M276)-L276+1))</f>
        <v/>
      </c>
      <c r="O276" s="16" t="str">
        <f aca="true">IF(M276="","",M276-TODAY())</f>
        <v/>
      </c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customFormat="false" ht="15" hidden="false" customHeight="false" outlineLevel="0" collapsed="false">
      <c r="A277" s="14"/>
      <c r="B277" s="14"/>
      <c r="C277" s="14"/>
      <c r="D277" s="14"/>
      <c r="E277" s="14"/>
      <c r="F277" s="14"/>
      <c r="G277" s="14"/>
      <c r="H277" s="14"/>
      <c r="I277" s="15"/>
      <c r="J277" s="14"/>
      <c r="K277" s="15"/>
      <c r="L277" s="15"/>
      <c r="M277" s="15"/>
      <c r="N277" s="16" t="str">
        <f aca="true">IF(OR(L277="",M277=""),"",MAX(0,MIN(TODAY(),M277)-L277+1))</f>
        <v/>
      </c>
      <c r="O277" s="16" t="str">
        <f aca="true">IF(M277="","",M277-TODAY())</f>
        <v/>
      </c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customFormat="false" ht="15" hidden="false" customHeight="false" outlineLevel="0" collapsed="false">
      <c r="A278" s="14"/>
      <c r="B278" s="14"/>
      <c r="C278" s="14"/>
      <c r="D278" s="14"/>
      <c r="E278" s="14"/>
      <c r="F278" s="14"/>
      <c r="G278" s="14"/>
      <c r="H278" s="14"/>
      <c r="I278" s="15"/>
      <c r="J278" s="14"/>
      <c r="K278" s="15"/>
      <c r="L278" s="15"/>
      <c r="M278" s="15"/>
      <c r="N278" s="16" t="str">
        <f aca="true">IF(OR(L278="",M278=""),"",MAX(0,MIN(TODAY(),M278)-L278+1))</f>
        <v/>
      </c>
      <c r="O278" s="16" t="str">
        <f aca="true">IF(M278="","",M278-TODAY())</f>
        <v/>
      </c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customFormat="false" ht="15" hidden="false" customHeight="false" outlineLevel="0" collapsed="false">
      <c r="A279" s="14"/>
      <c r="B279" s="14"/>
      <c r="C279" s="14"/>
      <c r="D279" s="14"/>
      <c r="E279" s="14"/>
      <c r="F279" s="14"/>
      <c r="G279" s="14"/>
      <c r="H279" s="14"/>
      <c r="I279" s="15"/>
      <c r="J279" s="14"/>
      <c r="K279" s="15"/>
      <c r="L279" s="15"/>
      <c r="M279" s="15"/>
      <c r="N279" s="16" t="str">
        <f aca="true">IF(OR(L279="",M279=""),"",MAX(0,MIN(TODAY(),M279)-L279+1))</f>
        <v/>
      </c>
      <c r="O279" s="16" t="str">
        <f aca="true">IF(M279="","",M279-TODAY())</f>
        <v/>
      </c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customFormat="false" ht="15" hidden="false" customHeight="false" outlineLevel="0" collapsed="false">
      <c r="A280" s="14"/>
      <c r="B280" s="14"/>
      <c r="C280" s="14"/>
      <c r="D280" s="14"/>
      <c r="E280" s="14"/>
      <c r="F280" s="14"/>
      <c r="G280" s="14"/>
      <c r="H280" s="14"/>
      <c r="I280" s="15"/>
      <c r="J280" s="14"/>
      <c r="K280" s="15"/>
      <c r="L280" s="15"/>
      <c r="M280" s="15"/>
      <c r="N280" s="16" t="str">
        <f aca="true">IF(OR(L280="",M280=""),"",MAX(0,MIN(TODAY(),M280)-L280+1))</f>
        <v/>
      </c>
      <c r="O280" s="16" t="str">
        <f aca="true">IF(M280="","",M280-TODAY())</f>
        <v/>
      </c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customFormat="false" ht="15" hidden="false" customHeight="false" outlineLevel="0" collapsed="false">
      <c r="A281" s="14"/>
      <c r="B281" s="14"/>
      <c r="C281" s="14"/>
      <c r="D281" s="14"/>
      <c r="E281" s="14"/>
      <c r="F281" s="14"/>
      <c r="G281" s="14"/>
      <c r="H281" s="14"/>
      <c r="I281" s="15"/>
      <c r="J281" s="14"/>
      <c r="K281" s="15"/>
      <c r="L281" s="15"/>
      <c r="M281" s="15"/>
      <c r="N281" s="16" t="str">
        <f aca="true">IF(OR(L281="",M281=""),"",MAX(0,MIN(TODAY(),M281)-L281+1))</f>
        <v/>
      </c>
      <c r="O281" s="16" t="str">
        <f aca="true">IF(M281="","",M281-TODAY())</f>
        <v/>
      </c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customFormat="false" ht="15" hidden="false" customHeight="false" outlineLevel="0" collapsed="false">
      <c r="A282" s="14"/>
      <c r="B282" s="14"/>
      <c r="C282" s="14"/>
      <c r="D282" s="14"/>
      <c r="E282" s="14"/>
      <c r="F282" s="14"/>
      <c r="G282" s="14"/>
      <c r="H282" s="14"/>
      <c r="I282" s="15"/>
      <c r="J282" s="14"/>
      <c r="K282" s="15"/>
      <c r="L282" s="15"/>
      <c r="M282" s="15"/>
      <c r="N282" s="16" t="str">
        <f aca="true">IF(OR(L282="",M282=""),"",MAX(0,MIN(TODAY(),M282)-L282+1))</f>
        <v/>
      </c>
      <c r="O282" s="16" t="str">
        <f aca="true">IF(M282="","",M282-TODAY())</f>
        <v/>
      </c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customFormat="false" ht="15" hidden="false" customHeight="false" outlineLevel="0" collapsed="false">
      <c r="A283" s="14"/>
      <c r="B283" s="14"/>
      <c r="C283" s="14"/>
      <c r="D283" s="14"/>
      <c r="E283" s="14"/>
      <c r="F283" s="14"/>
      <c r="G283" s="14"/>
      <c r="H283" s="14"/>
      <c r="I283" s="15"/>
      <c r="J283" s="14"/>
      <c r="K283" s="15"/>
      <c r="L283" s="15"/>
      <c r="M283" s="15"/>
      <c r="N283" s="16" t="str">
        <f aca="true">IF(OR(L283="",M283=""),"",MAX(0,MIN(TODAY(),M283)-L283+1))</f>
        <v/>
      </c>
      <c r="O283" s="16" t="str">
        <f aca="true">IF(M283="","",M283-TODAY())</f>
        <v/>
      </c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customFormat="false" ht="15" hidden="false" customHeight="false" outlineLevel="0" collapsed="false">
      <c r="A284" s="14"/>
      <c r="B284" s="14"/>
      <c r="C284" s="14"/>
      <c r="D284" s="14"/>
      <c r="E284" s="14"/>
      <c r="F284" s="14"/>
      <c r="G284" s="14"/>
      <c r="H284" s="14"/>
      <c r="I284" s="15"/>
      <c r="J284" s="14"/>
      <c r="K284" s="15"/>
      <c r="L284" s="15"/>
      <c r="M284" s="15"/>
      <c r="N284" s="16" t="str">
        <f aca="true">IF(OR(L284="",M284=""),"",MAX(0,MIN(TODAY(),M284)-L284+1))</f>
        <v/>
      </c>
      <c r="O284" s="16" t="str">
        <f aca="true">IF(M284="","",M284-TODAY())</f>
        <v/>
      </c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customFormat="false" ht="15" hidden="false" customHeight="false" outlineLevel="0" collapsed="false">
      <c r="A285" s="14"/>
      <c r="B285" s="14"/>
      <c r="C285" s="14"/>
      <c r="D285" s="14"/>
      <c r="E285" s="14"/>
      <c r="F285" s="14"/>
      <c r="G285" s="14"/>
      <c r="H285" s="14"/>
      <c r="I285" s="15"/>
      <c r="J285" s="14"/>
      <c r="K285" s="15"/>
      <c r="L285" s="15"/>
      <c r="M285" s="15"/>
      <c r="N285" s="16" t="str">
        <f aca="true">IF(OR(L285="",M285=""),"",MAX(0,MIN(TODAY(),M285)-L285+1))</f>
        <v/>
      </c>
      <c r="O285" s="16" t="str">
        <f aca="true">IF(M285="","",M285-TODAY())</f>
        <v/>
      </c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customFormat="false" ht="15" hidden="false" customHeight="false" outlineLevel="0" collapsed="false">
      <c r="A286" s="14"/>
      <c r="B286" s="14"/>
      <c r="C286" s="14"/>
      <c r="D286" s="14"/>
      <c r="E286" s="14"/>
      <c r="F286" s="14"/>
      <c r="G286" s="14"/>
      <c r="H286" s="14"/>
      <c r="I286" s="15"/>
      <c r="J286" s="14"/>
      <c r="K286" s="15"/>
      <c r="L286" s="15"/>
      <c r="M286" s="15"/>
      <c r="N286" s="16" t="str">
        <f aca="true">IF(OR(L286="",M286=""),"",MAX(0,MIN(TODAY(),M286)-L286+1))</f>
        <v/>
      </c>
      <c r="O286" s="16" t="str">
        <f aca="true">IF(M286="","",M286-TODAY())</f>
        <v/>
      </c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customFormat="false" ht="15" hidden="false" customHeight="false" outlineLevel="0" collapsed="false">
      <c r="A287" s="14"/>
      <c r="B287" s="14"/>
      <c r="C287" s="14"/>
      <c r="D287" s="14"/>
      <c r="E287" s="14"/>
      <c r="F287" s="14"/>
      <c r="G287" s="14"/>
      <c r="H287" s="14"/>
      <c r="I287" s="15"/>
      <c r="J287" s="14"/>
      <c r="K287" s="15"/>
      <c r="L287" s="15"/>
      <c r="M287" s="15"/>
      <c r="N287" s="16" t="str">
        <f aca="true">IF(OR(L287="",M287=""),"",MAX(0,MIN(TODAY(),M287)-L287+1))</f>
        <v/>
      </c>
      <c r="O287" s="16" t="str">
        <f aca="true">IF(M287="","",M287-TODAY())</f>
        <v/>
      </c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customFormat="false" ht="15" hidden="false" customHeight="false" outlineLevel="0" collapsed="false">
      <c r="A288" s="14"/>
      <c r="B288" s="14"/>
      <c r="C288" s="14"/>
      <c r="D288" s="14"/>
      <c r="E288" s="14"/>
      <c r="F288" s="14"/>
      <c r="G288" s="14"/>
      <c r="H288" s="14"/>
      <c r="I288" s="15"/>
      <c r="J288" s="14"/>
      <c r="K288" s="15"/>
      <c r="L288" s="15"/>
      <c r="M288" s="15"/>
      <c r="N288" s="16" t="str">
        <f aca="true">IF(OR(L288="",M288=""),"",MAX(0,MIN(TODAY(),M288)-L288+1))</f>
        <v/>
      </c>
      <c r="O288" s="16" t="str">
        <f aca="true">IF(M288="","",M288-TODAY())</f>
        <v/>
      </c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customFormat="false" ht="15" hidden="false" customHeight="false" outlineLevel="0" collapsed="false">
      <c r="A289" s="14"/>
      <c r="B289" s="14"/>
      <c r="C289" s="14"/>
      <c r="D289" s="14"/>
      <c r="E289" s="14"/>
      <c r="F289" s="14"/>
      <c r="G289" s="14"/>
      <c r="H289" s="14"/>
      <c r="I289" s="15"/>
      <c r="J289" s="14"/>
      <c r="K289" s="15"/>
      <c r="L289" s="15"/>
      <c r="M289" s="15"/>
      <c r="N289" s="16" t="str">
        <f aca="true">IF(OR(L289="",M289=""),"",MAX(0,MIN(TODAY(),M289)-L289+1))</f>
        <v/>
      </c>
      <c r="O289" s="16" t="str">
        <f aca="true">IF(M289="","",M289-TODAY())</f>
        <v/>
      </c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customFormat="false" ht="15" hidden="false" customHeight="false" outlineLevel="0" collapsed="false">
      <c r="A290" s="14"/>
      <c r="B290" s="14"/>
      <c r="C290" s="14"/>
      <c r="D290" s="14"/>
      <c r="E290" s="14"/>
      <c r="F290" s="14"/>
      <c r="G290" s="14"/>
      <c r="H290" s="14"/>
      <c r="I290" s="15"/>
      <c r="J290" s="14"/>
      <c r="K290" s="15"/>
      <c r="L290" s="15"/>
      <c r="M290" s="15"/>
      <c r="N290" s="16" t="str">
        <f aca="true">IF(OR(L290="",M290=""),"",MAX(0,MIN(TODAY(),M290)-L290+1))</f>
        <v/>
      </c>
      <c r="O290" s="16" t="str">
        <f aca="true">IF(M290="","",M290-TODAY())</f>
        <v/>
      </c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customFormat="false" ht="15" hidden="false" customHeight="false" outlineLevel="0" collapsed="false">
      <c r="A291" s="14"/>
      <c r="B291" s="14"/>
      <c r="C291" s="14"/>
      <c r="D291" s="14"/>
      <c r="E291" s="14"/>
      <c r="F291" s="14"/>
      <c r="G291" s="14"/>
      <c r="H291" s="14"/>
      <c r="I291" s="15"/>
      <c r="J291" s="14"/>
      <c r="K291" s="15"/>
      <c r="L291" s="15"/>
      <c r="M291" s="15"/>
      <c r="N291" s="16" t="str">
        <f aca="true">IF(OR(L291="",M291=""),"",MAX(0,MIN(TODAY(),M291)-L291+1))</f>
        <v/>
      </c>
      <c r="O291" s="16" t="str">
        <f aca="true">IF(M291="","",M291-TODAY())</f>
        <v/>
      </c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customFormat="false" ht="15" hidden="false" customHeight="false" outlineLevel="0" collapsed="false">
      <c r="A292" s="14"/>
      <c r="B292" s="14"/>
      <c r="C292" s="14"/>
      <c r="D292" s="14"/>
      <c r="E292" s="14"/>
      <c r="F292" s="14"/>
      <c r="G292" s="14"/>
      <c r="H292" s="14"/>
      <c r="I292" s="15"/>
      <c r="J292" s="14"/>
      <c r="K292" s="15"/>
      <c r="L292" s="15"/>
      <c r="M292" s="15"/>
      <c r="N292" s="16" t="str">
        <f aca="true">IF(OR(L292="",M292=""),"",MAX(0,MIN(TODAY(),M292)-L292+1))</f>
        <v/>
      </c>
      <c r="O292" s="16" t="str">
        <f aca="true">IF(M292="","",M292-TODAY())</f>
        <v/>
      </c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customFormat="false" ht="15" hidden="false" customHeight="false" outlineLevel="0" collapsed="false">
      <c r="A293" s="14"/>
      <c r="B293" s="14"/>
      <c r="C293" s="14"/>
      <c r="D293" s="14"/>
      <c r="E293" s="14"/>
      <c r="F293" s="14"/>
      <c r="G293" s="14"/>
      <c r="H293" s="14"/>
      <c r="I293" s="15"/>
      <c r="J293" s="14"/>
      <c r="K293" s="15"/>
      <c r="L293" s="15"/>
      <c r="M293" s="15"/>
      <c r="N293" s="16" t="str">
        <f aca="true">IF(OR(L293="",M293=""),"",MAX(0,MIN(TODAY(),M293)-L293+1))</f>
        <v/>
      </c>
      <c r="O293" s="16" t="str">
        <f aca="true">IF(M293="","",M293-TODAY())</f>
        <v/>
      </c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customFormat="false" ht="15" hidden="false" customHeight="false" outlineLevel="0" collapsed="false">
      <c r="A294" s="14"/>
      <c r="B294" s="14"/>
      <c r="C294" s="14"/>
      <c r="D294" s="14"/>
      <c r="E294" s="14"/>
      <c r="F294" s="14"/>
      <c r="G294" s="14"/>
      <c r="H294" s="14"/>
      <c r="I294" s="15"/>
      <c r="J294" s="14"/>
      <c r="K294" s="15"/>
      <c r="L294" s="15"/>
      <c r="M294" s="15"/>
      <c r="N294" s="16" t="str">
        <f aca="true">IF(OR(L294="",M294=""),"",MAX(0,MIN(TODAY(),M294)-L294+1))</f>
        <v/>
      </c>
      <c r="O294" s="16" t="str">
        <f aca="true">IF(M294="","",M294-TODAY())</f>
        <v/>
      </c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customFormat="false" ht="15" hidden="false" customHeight="false" outlineLevel="0" collapsed="false">
      <c r="A295" s="14"/>
      <c r="B295" s="14"/>
      <c r="C295" s="14"/>
      <c r="D295" s="14"/>
      <c r="E295" s="14"/>
      <c r="F295" s="14"/>
      <c r="G295" s="14"/>
      <c r="H295" s="14"/>
      <c r="I295" s="15"/>
      <c r="J295" s="14"/>
      <c r="K295" s="15"/>
      <c r="L295" s="15"/>
      <c r="M295" s="15"/>
      <c r="N295" s="16" t="str">
        <f aca="true">IF(OR(L295="",M295=""),"",MAX(0,MIN(TODAY(),M295)-L295+1))</f>
        <v/>
      </c>
      <c r="O295" s="16" t="str">
        <f aca="true">IF(M295="","",M295-TODAY())</f>
        <v/>
      </c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customFormat="false" ht="15" hidden="false" customHeight="false" outlineLevel="0" collapsed="false">
      <c r="A296" s="14"/>
      <c r="B296" s="14"/>
      <c r="C296" s="14"/>
      <c r="D296" s="14"/>
      <c r="E296" s="14"/>
      <c r="F296" s="14"/>
      <c r="G296" s="14"/>
      <c r="H296" s="14"/>
      <c r="I296" s="15"/>
      <c r="J296" s="14"/>
      <c r="K296" s="15"/>
      <c r="L296" s="15"/>
      <c r="M296" s="15"/>
      <c r="N296" s="16" t="str">
        <f aca="true">IF(OR(L296="",M296=""),"",MAX(0,MIN(TODAY(),M296)-L296+1))</f>
        <v/>
      </c>
      <c r="O296" s="16" t="str">
        <f aca="true">IF(M296="","",M296-TODAY())</f>
        <v/>
      </c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customFormat="false" ht="15" hidden="false" customHeight="false" outlineLevel="0" collapsed="false">
      <c r="A297" s="14"/>
      <c r="B297" s="14"/>
      <c r="C297" s="14"/>
      <c r="D297" s="14"/>
      <c r="E297" s="14"/>
      <c r="F297" s="14"/>
      <c r="G297" s="14"/>
      <c r="H297" s="14"/>
      <c r="I297" s="15"/>
      <c r="J297" s="14"/>
      <c r="K297" s="15"/>
      <c r="L297" s="15"/>
      <c r="M297" s="15"/>
      <c r="N297" s="16" t="str">
        <f aca="true">IF(OR(L297="",M297=""),"",MAX(0,MIN(TODAY(),M297)-L297+1))</f>
        <v/>
      </c>
      <c r="O297" s="16" t="str">
        <f aca="true">IF(M297="","",M297-TODAY())</f>
        <v/>
      </c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customFormat="false" ht="15" hidden="false" customHeight="false" outlineLevel="0" collapsed="false">
      <c r="A298" s="14"/>
      <c r="B298" s="14"/>
      <c r="C298" s="14"/>
      <c r="D298" s="14"/>
      <c r="E298" s="14"/>
      <c r="F298" s="14"/>
      <c r="G298" s="14"/>
      <c r="H298" s="14"/>
      <c r="I298" s="15"/>
      <c r="J298" s="14"/>
      <c r="K298" s="15"/>
      <c r="L298" s="15"/>
      <c r="M298" s="15"/>
      <c r="N298" s="16" t="str">
        <f aca="true">IF(OR(L298="",M298=""),"",MAX(0,MIN(TODAY(),M298)-L298+1))</f>
        <v/>
      </c>
      <c r="O298" s="16" t="str">
        <f aca="true">IF(M298="","",M298-TODAY())</f>
        <v/>
      </c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customFormat="false" ht="15" hidden="false" customHeight="false" outlineLevel="0" collapsed="false">
      <c r="A299" s="14"/>
      <c r="B299" s="14"/>
      <c r="C299" s="14"/>
      <c r="D299" s="14"/>
      <c r="E299" s="14"/>
      <c r="F299" s="14"/>
      <c r="G299" s="14"/>
      <c r="H299" s="14"/>
      <c r="I299" s="15"/>
      <c r="J299" s="14"/>
      <c r="K299" s="15"/>
      <c r="L299" s="15"/>
      <c r="M299" s="15"/>
      <c r="N299" s="16" t="str">
        <f aca="true">IF(OR(L299="",M299=""),"",MAX(0,MIN(TODAY(),M299)-L299+1))</f>
        <v/>
      </c>
      <c r="O299" s="16" t="str">
        <f aca="true">IF(M299="","",M299-TODAY())</f>
        <v/>
      </c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customFormat="false" ht="15" hidden="false" customHeight="false" outlineLevel="0" collapsed="false">
      <c r="A300" s="14"/>
      <c r="B300" s="14"/>
      <c r="C300" s="14"/>
      <c r="D300" s="14"/>
      <c r="E300" s="14"/>
      <c r="F300" s="14"/>
      <c r="G300" s="14"/>
      <c r="H300" s="14"/>
      <c r="I300" s="15"/>
      <c r="J300" s="14"/>
      <c r="K300" s="15"/>
      <c r="L300" s="15"/>
      <c r="M300" s="15"/>
      <c r="N300" s="16" t="str">
        <f aca="true">IF(OR(L300="",M300=""),"",MAX(0,MIN(TODAY(),M300)-L300+1))</f>
        <v/>
      </c>
      <c r="O300" s="16" t="str">
        <f aca="true">IF(M300="","",M300-TODAY())</f>
        <v/>
      </c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customFormat="false" ht="15" hidden="false" customHeight="false" outlineLevel="0" collapsed="false">
      <c r="A301" s="14"/>
      <c r="B301" s="14"/>
      <c r="C301" s="14"/>
      <c r="D301" s="14"/>
      <c r="E301" s="14"/>
      <c r="F301" s="14"/>
      <c r="G301" s="14"/>
      <c r="H301" s="14"/>
      <c r="I301" s="15"/>
      <c r="J301" s="14"/>
      <c r="K301" s="15"/>
      <c r="L301" s="15"/>
      <c r="M301" s="15"/>
      <c r="N301" s="16" t="str">
        <f aca="true">IF(OR(L301="",M301=""),"",MAX(0,MIN(TODAY(),M301)-L301+1))</f>
        <v/>
      </c>
      <c r="O301" s="16" t="str">
        <f aca="true">IF(M301="","",M301-TODAY())</f>
        <v/>
      </c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</sheetData>
  <autoFilter ref="A1:Y301"/>
  <conditionalFormatting sqref="M2:M301">
    <cfRule type="expression" priority="2" aboveAverage="0" equalAverage="0" bottom="0" percent="0" rank="0" text="" dxfId="7">
      <formula>AND(M2&lt;&gt;"",L2&lt;&gt;"",M2&lt;=L2)</formula>
    </cfRule>
    <cfRule type="expression" priority="3" aboveAverage="0" equalAverage="0" bottom="0" percent="0" rank="0" text="" dxfId="8">
      <formula>AND($A2&lt;&gt;"",M2="")</formula>
    </cfRule>
  </conditionalFormatting>
  <conditionalFormatting sqref="K2:K301">
    <cfRule type="expression" priority="4" aboveAverage="0" equalAverage="0" bottom="0" percent="0" rank="0" text="" dxfId="9">
      <formula>AND(K2&lt;&gt;"",L2&lt;&gt;"",K2&gt;L2)</formula>
    </cfRule>
  </conditionalFormatting>
  <conditionalFormatting sqref="D2:D301">
    <cfRule type="expression" priority="5" aboveAverage="0" equalAverage="0" bottom="0" percent="0" rank="0" text="" dxfId="8">
      <formula>AND($A2&lt;&gt;"",D2="")</formula>
    </cfRule>
  </conditionalFormatting>
  <conditionalFormatting sqref="E2:E301">
    <cfRule type="expression" priority="6" aboveAverage="0" equalAverage="0" bottom="0" percent="0" rank="0" text="" dxfId="8">
      <formula>AND($A2&lt;&gt;"",E2="")</formula>
    </cfRule>
  </conditionalFormatting>
  <conditionalFormatting sqref="J2:J301">
    <cfRule type="expression" priority="7" aboveAverage="0" equalAverage="0" bottom="0" percent="0" rank="0" text="" dxfId="8">
      <formula>AND($A2&lt;&gt;"",J2="")</formula>
    </cfRule>
  </conditionalFormatting>
  <conditionalFormatting sqref="L2:L301">
    <cfRule type="expression" priority="8" aboveAverage="0" equalAverage="0" bottom="0" percent="0" rank="0" text="" dxfId="8">
      <formula>AND($A2&lt;&gt;"",L2="")</formula>
    </cfRule>
  </conditionalFormatting>
  <conditionalFormatting sqref="B2:B301">
    <cfRule type="expression" priority="9" aboveAverage="0" equalAverage="0" bottom="0" percent="0" rank="0" text="" dxfId="8">
      <formula>AND($A2&lt;&gt;"",B2="")</formula>
    </cfRule>
  </conditionalFormatting>
  <conditionalFormatting sqref="U2:U301">
    <cfRule type="expression" priority="10" aboveAverage="0" equalAverage="0" bottom="0" percent="0" rank="0" text="" dxfId="8">
      <formula>AND($A2&lt;&gt;"",U2="")</formula>
    </cfRule>
  </conditionalFormatting>
  <dataValidations count="15">
    <dataValidation allowBlank="true" error="Chọn từ danh sách. Muốn thêm giá trị mới, bổ sung vào sheet &quot;Danh mục&quot;." errorStyle="stop" errorTitle="Giá trị không có trong danh mục" operator="between" prompt="Chọn broker" promptTitle="Hướng dẫn" showDropDown="false" showErrorMessage="true" showInputMessage="true" sqref="B2:B301" type="list">
      <formula1>L_Broker</formula1>
      <formula2>0</formula2>
    </dataValidation>
    <dataValidation allowBlank="true" error="PVI ref number phải duy nhất. Sửa đổi bổ sung dùng số riêng và ghi số gốc vào cột &quot;Endorsement of&quot;." errorStyle="stop" errorTitle="Số tham chiếu bị trùng" operator="between" showDropDown="false" showErrorMessage="true" showInputMessage="false" sqref="D2:D301" type="custom">
      <formula1>COUNTIF($D$2:$D$301,D2)=1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prompt="Chọn khu vực" promptTitle="Hướng dẫn" showDropDown="false" showErrorMessage="true" showInputMessage="true" sqref="G2:G301" type="list">
      <formula1>L_Region</formula1>
      <formula2>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I2:I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prompt="Bound / Offered / Cancelled / Declined" promptTitle="Hướng dẫn" showDropDown="false" showErrorMessage="true" showInputMessage="true" sqref="J2:J301" type="list">
      <formula1>L_Status</formula1>
      <formula2>0</formula2>
    </dataValidation>
    <dataValidation allowBlank="true" error="Ngày bind sau ngày hiệu lực: chỉ chấp nhận khi có xác nhận không tổn thất (NKLL). Bấm Yes để giữ, ghi lý do vào cột Notes." errorStyle="warning" errorTitle="Bind sau ngày hiệu lực" operator="between" prompt="Nhập ngày bind dạng dd/mm/yyyy; không được sau ngày hiệu lực." promptTitle="Hướng dẫn" showDropDown="false" showErrorMessage="true" showInputMessage="true" sqref="K2:K301" type="custom">
      <formula1>OR(K2="",L2="",K2&lt;=L2)</formula1>
      <formula2>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L2:L301" type="date">
      <formula1>DATE(2015,1,1)</formula1>
      <formula2>DATE(2040,12,31)</formula2>
    </dataValidation>
    <dataValidation allowBlank="true" error="Ngày hết hạn phải sau ngày hiệu lực và không quá 18 tháng. Kiểm tra lại năm." errorStyle="stop" errorTitle="Ngày hết hạn không hợp lệ" operator="between" prompt="Ngày hết hạn dd/mm/yyyy, sau ngày hiệu lực." promptTitle="Hướng dẫn" showDropDown="false" showErrorMessage="true" showInputMessage="true" sqref="M2:M301" type="custom">
      <formula1>AND(ISNUMBER(M2),M2&gt;L2,M2&lt;=L2+550)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P2:P301" type="list">
      <formula1>L_Flying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prompt="Chọn leader" promptTitle="Hướng dẫn" showDropDown="false" showErrorMessage="true" showInputMessage="true" sqref="Q2:Q301" type="list">
      <formula1>L_Leader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R2:R301" type="list">
      <formula1>L_RiskType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S2:S301" type="list">
      <formula1>L_Type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T2:T301" type="list">
      <formula1>L_Category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prompt="A1 / MAAPS / Open market" promptTitle="Hướng dẫn" showDropDown="false" showErrorMessage="true" showInputMessage="true" sqref="U2:U301" type="list">
      <formula1>L_Channel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X2:X301" type="list">
      <formula1>L_Source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11" min="6" style="0" width="14"/>
    <col collapsed="false" customWidth="true" hidden="false" outlineLevel="0" max="12" min="12" style="0" width="16"/>
    <col collapsed="false" customWidth="true" hidden="false" outlineLevel="0" max="15" min="13" style="0" width="14"/>
  </cols>
  <sheetData>
    <row r="1" customFormat="false" ht="36" hidden="false" customHeight="true" outlineLevel="0" collapsed="false">
      <c r="A1" s="13" t="s">
        <v>40</v>
      </c>
      <c r="B1" s="13" t="s">
        <v>41</v>
      </c>
      <c r="C1" s="13" t="s">
        <v>44</v>
      </c>
      <c r="D1" s="12" t="s">
        <v>82</v>
      </c>
      <c r="E1" s="13" t="s">
        <v>83</v>
      </c>
      <c r="F1" s="12" t="s">
        <v>84</v>
      </c>
      <c r="G1" s="12" t="s">
        <v>85</v>
      </c>
      <c r="H1" s="12" t="s">
        <v>86</v>
      </c>
      <c r="I1" s="12" t="s">
        <v>87</v>
      </c>
      <c r="J1" s="12" t="s">
        <v>88</v>
      </c>
      <c r="K1" s="12" t="s">
        <v>89</v>
      </c>
      <c r="L1" s="12" t="s">
        <v>90</v>
      </c>
      <c r="M1" s="12" t="s">
        <v>91</v>
      </c>
      <c r="N1" s="12" t="s">
        <v>92</v>
      </c>
      <c r="O1" s="12" t="s">
        <v>93</v>
      </c>
    </row>
    <row r="2" customFormat="false" ht="15" hidden="false" customHeight="false" outlineLevel="0" collapsed="false">
      <c r="A2" s="17" t="str">
        <f aca="false">IF(Policy!A2="","",Policy!A2)</f>
        <v>B0000EXAMPLE01</v>
      </c>
      <c r="B2" s="17" t="str">
        <f aca="false">IF(Policy!A2="","",Policy!B2)</f>
        <v>AJG</v>
      </c>
      <c r="C2" s="17" t="str">
        <f aca="false">IF(Policy!A2="","",Policy!E2)</f>
        <v>VÍ DỤ – xoá dòng này</v>
      </c>
      <c r="D2" s="18" t="n">
        <v>0.5</v>
      </c>
      <c r="E2" s="19" t="n">
        <f aca="false">IF(A2="","",D2*(F2+H2)/100)</f>
        <v>5500000</v>
      </c>
      <c r="F2" s="20" t="n">
        <v>100000000</v>
      </c>
      <c r="G2" s="20" t="n">
        <v>0</v>
      </c>
      <c r="H2" s="20" t="n">
        <v>1000000000</v>
      </c>
      <c r="I2" s="20"/>
      <c r="J2" s="20"/>
      <c r="K2" s="21" t="n">
        <v>12</v>
      </c>
      <c r="L2" s="20" t="n">
        <v>400000000</v>
      </c>
      <c r="M2" s="20"/>
      <c r="N2" s="20"/>
      <c r="O2" s="20"/>
    </row>
    <row r="3" customFormat="false" ht="15" hidden="false" customHeight="false" outlineLevel="0" collapsed="false">
      <c r="A3" s="17" t="str">
        <f aca="false">IF(Policy!A3="","",Policy!A3)</f>
        <v/>
      </c>
      <c r="B3" s="17" t="str">
        <f aca="false">IF(Policy!A3="","",Policy!B3)</f>
        <v/>
      </c>
      <c r="C3" s="17" t="str">
        <f aca="false">IF(Policy!A3="","",Policy!E3)</f>
        <v/>
      </c>
      <c r="D3" s="18"/>
      <c r="E3" s="19" t="str">
        <f aca="false">IF(A3="","",D3*(F3+H3)/100)</f>
        <v/>
      </c>
      <c r="F3" s="20"/>
      <c r="G3" s="20"/>
      <c r="H3" s="20"/>
      <c r="I3" s="20"/>
      <c r="J3" s="20"/>
      <c r="K3" s="21"/>
      <c r="L3" s="20"/>
      <c r="M3" s="20"/>
      <c r="N3" s="20"/>
      <c r="O3" s="20"/>
    </row>
    <row r="4" customFormat="false" ht="15" hidden="false" customHeight="false" outlineLevel="0" collapsed="false">
      <c r="A4" s="17" t="str">
        <f aca="false">IF(Policy!A4="","",Policy!A4)</f>
        <v/>
      </c>
      <c r="B4" s="17" t="str">
        <f aca="false">IF(Policy!A4="","",Policy!B4)</f>
        <v/>
      </c>
      <c r="C4" s="17" t="str">
        <f aca="false">IF(Policy!A4="","",Policy!E4)</f>
        <v/>
      </c>
      <c r="D4" s="18"/>
      <c r="E4" s="19" t="str">
        <f aca="false">IF(A4="","",D4*(F4+H4)/100)</f>
        <v/>
      </c>
      <c r="F4" s="20"/>
      <c r="G4" s="20"/>
      <c r="H4" s="20"/>
      <c r="I4" s="20"/>
      <c r="J4" s="20"/>
      <c r="K4" s="21"/>
      <c r="L4" s="20"/>
      <c r="M4" s="20"/>
      <c r="N4" s="20"/>
      <c r="O4" s="20"/>
    </row>
    <row r="5" customFormat="false" ht="15" hidden="false" customHeight="false" outlineLevel="0" collapsed="false">
      <c r="A5" s="17" t="str">
        <f aca="false">IF(Policy!A5="","",Policy!A5)</f>
        <v/>
      </c>
      <c r="B5" s="17" t="str">
        <f aca="false">IF(Policy!A5="","",Policy!B5)</f>
        <v/>
      </c>
      <c r="C5" s="17" t="str">
        <f aca="false">IF(Policy!A5="","",Policy!E5)</f>
        <v/>
      </c>
      <c r="D5" s="18"/>
      <c r="E5" s="19" t="str">
        <f aca="false">IF(A5="","",D5*(F5+H5)/100)</f>
        <v/>
      </c>
      <c r="F5" s="20"/>
      <c r="G5" s="20"/>
      <c r="H5" s="20"/>
      <c r="I5" s="20"/>
      <c r="J5" s="20"/>
      <c r="K5" s="21"/>
      <c r="L5" s="20"/>
      <c r="M5" s="20"/>
      <c r="N5" s="20"/>
      <c r="O5" s="20"/>
    </row>
    <row r="6" customFormat="false" ht="15" hidden="false" customHeight="false" outlineLevel="0" collapsed="false">
      <c r="A6" s="17" t="str">
        <f aca="false">IF(Policy!A6="","",Policy!A6)</f>
        <v/>
      </c>
      <c r="B6" s="17" t="str">
        <f aca="false">IF(Policy!A6="","",Policy!B6)</f>
        <v/>
      </c>
      <c r="C6" s="17" t="str">
        <f aca="false">IF(Policy!A6="","",Policy!E6)</f>
        <v/>
      </c>
      <c r="D6" s="18"/>
      <c r="E6" s="19" t="str">
        <f aca="false">IF(A6="","",D6*(F6+H6)/100)</f>
        <v/>
      </c>
      <c r="F6" s="20"/>
      <c r="G6" s="20"/>
      <c r="H6" s="20"/>
      <c r="I6" s="20"/>
      <c r="J6" s="20"/>
      <c r="K6" s="21"/>
      <c r="L6" s="20"/>
      <c r="M6" s="20"/>
      <c r="N6" s="20"/>
      <c r="O6" s="20"/>
    </row>
    <row r="7" customFormat="false" ht="15" hidden="false" customHeight="false" outlineLevel="0" collapsed="false">
      <c r="A7" s="17" t="str">
        <f aca="false">IF(Policy!A7="","",Policy!A7)</f>
        <v/>
      </c>
      <c r="B7" s="17" t="str">
        <f aca="false">IF(Policy!A7="","",Policy!B7)</f>
        <v/>
      </c>
      <c r="C7" s="17" t="str">
        <f aca="false">IF(Policy!A7="","",Policy!E7)</f>
        <v/>
      </c>
      <c r="D7" s="18"/>
      <c r="E7" s="19" t="str">
        <f aca="false">IF(A7="","",D7*(F7+H7)/100)</f>
        <v/>
      </c>
      <c r="F7" s="20"/>
      <c r="G7" s="20"/>
      <c r="H7" s="20"/>
      <c r="I7" s="20"/>
      <c r="J7" s="20"/>
      <c r="K7" s="21"/>
      <c r="L7" s="20"/>
      <c r="M7" s="20"/>
      <c r="N7" s="20"/>
      <c r="O7" s="20"/>
    </row>
    <row r="8" customFormat="false" ht="15" hidden="false" customHeight="false" outlineLevel="0" collapsed="false">
      <c r="A8" s="17" t="str">
        <f aca="false">IF(Policy!A8="","",Policy!A8)</f>
        <v/>
      </c>
      <c r="B8" s="17" t="str">
        <f aca="false">IF(Policy!A8="","",Policy!B8)</f>
        <v/>
      </c>
      <c r="C8" s="17" t="str">
        <f aca="false">IF(Policy!A8="","",Policy!E8)</f>
        <v/>
      </c>
      <c r="D8" s="18"/>
      <c r="E8" s="19" t="str">
        <f aca="false">IF(A8="","",D8*(F8+H8)/100)</f>
        <v/>
      </c>
      <c r="F8" s="20"/>
      <c r="G8" s="20"/>
      <c r="H8" s="20"/>
      <c r="I8" s="20"/>
      <c r="J8" s="20"/>
      <c r="K8" s="21"/>
      <c r="L8" s="20"/>
      <c r="M8" s="20"/>
      <c r="N8" s="20"/>
      <c r="O8" s="20"/>
    </row>
    <row r="9" customFormat="false" ht="15" hidden="false" customHeight="false" outlineLevel="0" collapsed="false">
      <c r="A9" s="17" t="str">
        <f aca="false">IF(Policy!A9="","",Policy!A9)</f>
        <v/>
      </c>
      <c r="B9" s="17" t="str">
        <f aca="false">IF(Policy!A9="","",Policy!B9)</f>
        <v/>
      </c>
      <c r="C9" s="17" t="str">
        <f aca="false">IF(Policy!A9="","",Policy!E9)</f>
        <v/>
      </c>
      <c r="D9" s="18"/>
      <c r="E9" s="19" t="str">
        <f aca="false">IF(A9="","",D9*(F9+H9)/100)</f>
        <v/>
      </c>
      <c r="F9" s="20"/>
      <c r="G9" s="20"/>
      <c r="H9" s="20"/>
      <c r="I9" s="20"/>
      <c r="J9" s="20"/>
      <c r="K9" s="21"/>
      <c r="L9" s="20"/>
      <c r="M9" s="20"/>
      <c r="N9" s="20"/>
      <c r="O9" s="20"/>
    </row>
    <row r="10" customFormat="false" ht="15" hidden="false" customHeight="false" outlineLevel="0" collapsed="false">
      <c r="A10" s="17" t="str">
        <f aca="false">IF(Policy!A10="","",Policy!A10)</f>
        <v/>
      </c>
      <c r="B10" s="17" t="str">
        <f aca="false">IF(Policy!A10="","",Policy!B10)</f>
        <v/>
      </c>
      <c r="C10" s="17" t="str">
        <f aca="false">IF(Policy!A10="","",Policy!E10)</f>
        <v/>
      </c>
      <c r="D10" s="18"/>
      <c r="E10" s="19" t="str">
        <f aca="false">IF(A10="","",D10*(F10+H10)/100)</f>
        <v/>
      </c>
      <c r="F10" s="20"/>
      <c r="G10" s="20"/>
      <c r="H10" s="20"/>
      <c r="I10" s="20"/>
      <c r="J10" s="20"/>
      <c r="K10" s="21"/>
      <c r="L10" s="20"/>
      <c r="M10" s="20"/>
      <c r="N10" s="20"/>
      <c r="O10" s="20"/>
    </row>
    <row r="11" customFormat="false" ht="15" hidden="false" customHeight="false" outlineLevel="0" collapsed="false">
      <c r="A11" s="17" t="str">
        <f aca="false">IF(Policy!A11="","",Policy!A11)</f>
        <v/>
      </c>
      <c r="B11" s="17" t="str">
        <f aca="false">IF(Policy!A11="","",Policy!B11)</f>
        <v/>
      </c>
      <c r="C11" s="17" t="str">
        <f aca="false">IF(Policy!A11="","",Policy!E11)</f>
        <v/>
      </c>
      <c r="D11" s="18"/>
      <c r="E11" s="19" t="str">
        <f aca="false">IF(A11="","",D11*(F11+H11)/100)</f>
        <v/>
      </c>
      <c r="F11" s="20"/>
      <c r="G11" s="20"/>
      <c r="H11" s="20"/>
      <c r="I11" s="20"/>
      <c r="J11" s="20"/>
      <c r="K11" s="21"/>
      <c r="L11" s="20"/>
      <c r="M11" s="20"/>
      <c r="N11" s="20"/>
      <c r="O11" s="20"/>
    </row>
    <row r="12" customFormat="false" ht="15" hidden="false" customHeight="false" outlineLevel="0" collapsed="false">
      <c r="A12" s="17" t="str">
        <f aca="false">IF(Policy!A12="","",Policy!A12)</f>
        <v/>
      </c>
      <c r="B12" s="17" t="str">
        <f aca="false">IF(Policy!A12="","",Policy!B12)</f>
        <v/>
      </c>
      <c r="C12" s="17" t="str">
        <f aca="false">IF(Policy!A12="","",Policy!E12)</f>
        <v/>
      </c>
      <c r="D12" s="18"/>
      <c r="E12" s="19" t="str">
        <f aca="false">IF(A12="","",D12*(F12+H12)/100)</f>
        <v/>
      </c>
      <c r="F12" s="20"/>
      <c r="G12" s="20"/>
      <c r="H12" s="20"/>
      <c r="I12" s="20"/>
      <c r="J12" s="20"/>
      <c r="K12" s="21"/>
      <c r="L12" s="20"/>
      <c r="M12" s="20"/>
      <c r="N12" s="20"/>
      <c r="O12" s="20"/>
    </row>
    <row r="13" customFormat="false" ht="15" hidden="false" customHeight="false" outlineLevel="0" collapsed="false">
      <c r="A13" s="17" t="str">
        <f aca="false">IF(Policy!A13="","",Policy!A13)</f>
        <v/>
      </c>
      <c r="B13" s="17" t="str">
        <f aca="false">IF(Policy!A13="","",Policy!B13)</f>
        <v/>
      </c>
      <c r="C13" s="17" t="str">
        <f aca="false">IF(Policy!A13="","",Policy!E13)</f>
        <v/>
      </c>
      <c r="D13" s="18"/>
      <c r="E13" s="19" t="str">
        <f aca="false">IF(A13="","",D13*(F13+H13)/100)</f>
        <v/>
      </c>
      <c r="F13" s="20"/>
      <c r="G13" s="20"/>
      <c r="H13" s="20"/>
      <c r="I13" s="20"/>
      <c r="J13" s="20"/>
      <c r="K13" s="21"/>
      <c r="L13" s="20"/>
      <c r="M13" s="20"/>
      <c r="N13" s="20"/>
      <c r="O13" s="20"/>
    </row>
    <row r="14" customFormat="false" ht="15" hidden="false" customHeight="false" outlineLevel="0" collapsed="false">
      <c r="A14" s="17" t="str">
        <f aca="false">IF(Policy!A14="","",Policy!A14)</f>
        <v/>
      </c>
      <c r="B14" s="17" t="str">
        <f aca="false">IF(Policy!A14="","",Policy!B14)</f>
        <v/>
      </c>
      <c r="C14" s="17" t="str">
        <f aca="false">IF(Policy!A14="","",Policy!E14)</f>
        <v/>
      </c>
      <c r="D14" s="18"/>
      <c r="E14" s="19" t="str">
        <f aca="false">IF(A14="","",D14*(F14+H14)/100)</f>
        <v/>
      </c>
      <c r="F14" s="20"/>
      <c r="G14" s="20"/>
      <c r="H14" s="20"/>
      <c r="I14" s="20"/>
      <c r="J14" s="20"/>
      <c r="K14" s="21"/>
      <c r="L14" s="20"/>
      <c r="M14" s="20"/>
      <c r="N14" s="20"/>
      <c r="O14" s="20"/>
    </row>
    <row r="15" customFormat="false" ht="15" hidden="false" customHeight="false" outlineLevel="0" collapsed="false">
      <c r="A15" s="17" t="str">
        <f aca="false">IF(Policy!A15="","",Policy!A15)</f>
        <v/>
      </c>
      <c r="B15" s="17" t="str">
        <f aca="false">IF(Policy!A15="","",Policy!B15)</f>
        <v/>
      </c>
      <c r="C15" s="17" t="str">
        <f aca="false">IF(Policy!A15="","",Policy!E15)</f>
        <v/>
      </c>
      <c r="D15" s="18"/>
      <c r="E15" s="19" t="str">
        <f aca="false">IF(A15="","",D15*(F15+H15)/100)</f>
        <v/>
      </c>
      <c r="F15" s="20"/>
      <c r="G15" s="20"/>
      <c r="H15" s="20"/>
      <c r="I15" s="20"/>
      <c r="J15" s="20"/>
      <c r="K15" s="21"/>
      <c r="L15" s="20"/>
      <c r="M15" s="20"/>
      <c r="N15" s="20"/>
      <c r="O15" s="20"/>
    </row>
    <row r="16" customFormat="false" ht="15" hidden="false" customHeight="false" outlineLevel="0" collapsed="false">
      <c r="A16" s="17" t="str">
        <f aca="false">IF(Policy!A16="","",Policy!A16)</f>
        <v/>
      </c>
      <c r="B16" s="17" t="str">
        <f aca="false">IF(Policy!A16="","",Policy!B16)</f>
        <v/>
      </c>
      <c r="C16" s="17" t="str">
        <f aca="false">IF(Policy!A16="","",Policy!E16)</f>
        <v/>
      </c>
      <c r="D16" s="18"/>
      <c r="E16" s="19" t="str">
        <f aca="false">IF(A16="","",D16*(F16+H16)/100)</f>
        <v/>
      </c>
      <c r="F16" s="20"/>
      <c r="G16" s="20"/>
      <c r="H16" s="20"/>
      <c r="I16" s="20"/>
      <c r="J16" s="20"/>
      <c r="K16" s="21"/>
      <c r="L16" s="20"/>
      <c r="M16" s="20"/>
      <c r="N16" s="20"/>
      <c r="O16" s="20"/>
    </row>
    <row r="17" customFormat="false" ht="15" hidden="false" customHeight="false" outlineLevel="0" collapsed="false">
      <c r="A17" s="17" t="str">
        <f aca="false">IF(Policy!A17="","",Policy!A17)</f>
        <v/>
      </c>
      <c r="B17" s="17" t="str">
        <f aca="false">IF(Policy!A17="","",Policy!B17)</f>
        <v/>
      </c>
      <c r="C17" s="17" t="str">
        <f aca="false">IF(Policy!A17="","",Policy!E17)</f>
        <v/>
      </c>
      <c r="D17" s="18"/>
      <c r="E17" s="19" t="str">
        <f aca="false">IF(A17="","",D17*(F17+H17)/100)</f>
        <v/>
      </c>
      <c r="F17" s="20"/>
      <c r="G17" s="20"/>
      <c r="H17" s="20"/>
      <c r="I17" s="20"/>
      <c r="J17" s="20"/>
      <c r="K17" s="21"/>
      <c r="L17" s="20"/>
      <c r="M17" s="20"/>
      <c r="N17" s="20"/>
      <c r="O17" s="20"/>
    </row>
    <row r="18" customFormat="false" ht="15" hidden="false" customHeight="false" outlineLevel="0" collapsed="false">
      <c r="A18" s="17" t="str">
        <f aca="false">IF(Policy!A18="","",Policy!A18)</f>
        <v/>
      </c>
      <c r="B18" s="17" t="str">
        <f aca="false">IF(Policy!A18="","",Policy!B18)</f>
        <v/>
      </c>
      <c r="C18" s="17" t="str">
        <f aca="false">IF(Policy!A18="","",Policy!E18)</f>
        <v/>
      </c>
      <c r="D18" s="18"/>
      <c r="E18" s="19" t="str">
        <f aca="false">IF(A18="","",D18*(F18+H18)/100)</f>
        <v/>
      </c>
      <c r="F18" s="20"/>
      <c r="G18" s="20"/>
      <c r="H18" s="20"/>
      <c r="I18" s="20"/>
      <c r="J18" s="20"/>
      <c r="K18" s="21"/>
      <c r="L18" s="20"/>
      <c r="M18" s="20"/>
      <c r="N18" s="20"/>
      <c r="O18" s="20"/>
    </row>
    <row r="19" customFormat="false" ht="15" hidden="false" customHeight="false" outlineLevel="0" collapsed="false">
      <c r="A19" s="17" t="str">
        <f aca="false">IF(Policy!A19="","",Policy!A19)</f>
        <v/>
      </c>
      <c r="B19" s="17" t="str">
        <f aca="false">IF(Policy!A19="","",Policy!B19)</f>
        <v/>
      </c>
      <c r="C19" s="17" t="str">
        <f aca="false">IF(Policy!A19="","",Policy!E19)</f>
        <v/>
      </c>
      <c r="D19" s="18"/>
      <c r="E19" s="19" t="str">
        <f aca="false">IF(A19="","",D19*(F19+H19)/100)</f>
        <v/>
      </c>
      <c r="F19" s="20"/>
      <c r="G19" s="20"/>
      <c r="H19" s="20"/>
      <c r="I19" s="20"/>
      <c r="J19" s="20"/>
      <c r="K19" s="21"/>
      <c r="L19" s="20"/>
      <c r="M19" s="20"/>
      <c r="N19" s="20"/>
      <c r="O19" s="20"/>
    </row>
    <row r="20" customFormat="false" ht="15" hidden="false" customHeight="false" outlineLevel="0" collapsed="false">
      <c r="A20" s="17" t="str">
        <f aca="false">IF(Policy!A20="","",Policy!A20)</f>
        <v/>
      </c>
      <c r="B20" s="17" t="str">
        <f aca="false">IF(Policy!A20="","",Policy!B20)</f>
        <v/>
      </c>
      <c r="C20" s="17" t="str">
        <f aca="false">IF(Policy!A20="","",Policy!E20)</f>
        <v/>
      </c>
      <c r="D20" s="18"/>
      <c r="E20" s="19" t="str">
        <f aca="false">IF(A20="","",D20*(F20+H20)/100)</f>
        <v/>
      </c>
      <c r="F20" s="20"/>
      <c r="G20" s="20"/>
      <c r="H20" s="20"/>
      <c r="I20" s="20"/>
      <c r="J20" s="20"/>
      <c r="K20" s="21"/>
      <c r="L20" s="20"/>
      <c r="M20" s="20"/>
      <c r="N20" s="20"/>
      <c r="O20" s="20"/>
    </row>
    <row r="21" customFormat="false" ht="15" hidden="false" customHeight="false" outlineLevel="0" collapsed="false">
      <c r="A21" s="17" t="str">
        <f aca="false">IF(Policy!A21="","",Policy!A21)</f>
        <v/>
      </c>
      <c r="B21" s="17" t="str">
        <f aca="false">IF(Policy!A21="","",Policy!B21)</f>
        <v/>
      </c>
      <c r="C21" s="17" t="str">
        <f aca="false">IF(Policy!A21="","",Policy!E21)</f>
        <v/>
      </c>
      <c r="D21" s="18"/>
      <c r="E21" s="19" t="str">
        <f aca="false">IF(A21="","",D21*(F21+H21)/100)</f>
        <v/>
      </c>
      <c r="F21" s="20"/>
      <c r="G21" s="20"/>
      <c r="H21" s="20"/>
      <c r="I21" s="20"/>
      <c r="J21" s="20"/>
      <c r="K21" s="21"/>
      <c r="L21" s="20"/>
      <c r="M21" s="20"/>
      <c r="N21" s="20"/>
      <c r="O21" s="20"/>
    </row>
    <row r="22" customFormat="false" ht="15" hidden="false" customHeight="false" outlineLevel="0" collapsed="false">
      <c r="A22" s="17" t="str">
        <f aca="false">IF(Policy!A22="","",Policy!A22)</f>
        <v/>
      </c>
      <c r="B22" s="17" t="str">
        <f aca="false">IF(Policy!A22="","",Policy!B22)</f>
        <v/>
      </c>
      <c r="C22" s="17" t="str">
        <f aca="false">IF(Policy!A22="","",Policy!E22)</f>
        <v/>
      </c>
      <c r="D22" s="18"/>
      <c r="E22" s="19" t="str">
        <f aca="false">IF(A22="","",D22*(F22+H22)/100)</f>
        <v/>
      </c>
      <c r="F22" s="20"/>
      <c r="G22" s="20"/>
      <c r="H22" s="20"/>
      <c r="I22" s="20"/>
      <c r="J22" s="20"/>
      <c r="K22" s="21"/>
      <c r="L22" s="20"/>
      <c r="M22" s="20"/>
      <c r="N22" s="20"/>
      <c r="O22" s="20"/>
    </row>
    <row r="23" customFormat="false" ht="15" hidden="false" customHeight="false" outlineLevel="0" collapsed="false">
      <c r="A23" s="17" t="str">
        <f aca="false">IF(Policy!A23="","",Policy!A23)</f>
        <v/>
      </c>
      <c r="B23" s="17" t="str">
        <f aca="false">IF(Policy!A23="","",Policy!B23)</f>
        <v/>
      </c>
      <c r="C23" s="17" t="str">
        <f aca="false">IF(Policy!A23="","",Policy!E23)</f>
        <v/>
      </c>
      <c r="D23" s="18"/>
      <c r="E23" s="19" t="str">
        <f aca="false">IF(A23="","",D23*(F23+H23)/100)</f>
        <v/>
      </c>
      <c r="F23" s="20"/>
      <c r="G23" s="20"/>
      <c r="H23" s="20"/>
      <c r="I23" s="20"/>
      <c r="J23" s="20"/>
      <c r="K23" s="21"/>
      <c r="L23" s="20"/>
      <c r="M23" s="20"/>
      <c r="N23" s="20"/>
      <c r="O23" s="20"/>
    </row>
    <row r="24" customFormat="false" ht="15" hidden="false" customHeight="false" outlineLevel="0" collapsed="false">
      <c r="A24" s="17" t="str">
        <f aca="false">IF(Policy!A24="","",Policy!A24)</f>
        <v/>
      </c>
      <c r="B24" s="17" t="str">
        <f aca="false">IF(Policy!A24="","",Policy!B24)</f>
        <v/>
      </c>
      <c r="C24" s="17" t="str">
        <f aca="false">IF(Policy!A24="","",Policy!E24)</f>
        <v/>
      </c>
      <c r="D24" s="18"/>
      <c r="E24" s="19" t="str">
        <f aca="false">IF(A24="","",D24*(F24+H24)/100)</f>
        <v/>
      </c>
      <c r="F24" s="20"/>
      <c r="G24" s="20"/>
      <c r="H24" s="20"/>
      <c r="I24" s="20"/>
      <c r="J24" s="20"/>
      <c r="K24" s="21"/>
      <c r="L24" s="20"/>
      <c r="M24" s="20"/>
      <c r="N24" s="20"/>
      <c r="O24" s="20"/>
    </row>
    <row r="25" customFormat="false" ht="15" hidden="false" customHeight="false" outlineLevel="0" collapsed="false">
      <c r="A25" s="17" t="str">
        <f aca="false">IF(Policy!A25="","",Policy!A25)</f>
        <v/>
      </c>
      <c r="B25" s="17" t="str">
        <f aca="false">IF(Policy!A25="","",Policy!B25)</f>
        <v/>
      </c>
      <c r="C25" s="17" t="str">
        <f aca="false">IF(Policy!A25="","",Policy!E25)</f>
        <v/>
      </c>
      <c r="D25" s="18"/>
      <c r="E25" s="19" t="str">
        <f aca="false">IF(A25="","",D25*(F25+H25)/100)</f>
        <v/>
      </c>
      <c r="F25" s="20"/>
      <c r="G25" s="20"/>
      <c r="H25" s="20"/>
      <c r="I25" s="20"/>
      <c r="J25" s="20"/>
      <c r="K25" s="21"/>
      <c r="L25" s="20"/>
      <c r="M25" s="20"/>
      <c r="N25" s="20"/>
      <c r="O25" s="20"/>
    </row>
    <row r="26" customFormat="false" ht="15" hidden="false" customHeight="false" outlineLevel="0" collapsed="false">
      <c r="A26" s="17" t="str">
        <f aca="false">IF(Policy!A26="","",Policy!A26)</f>
        <v/>
      </c>
      <c r="B26" s="17" t="str">
        <f aca="false">IF(Policy!A26="","",Policy!B26)</f>
        <v/>
      </c>
      <c r="C26" s="17" t="str">
        <f aca="false">IF(Policy!A26="","",Policy!E26)</f>
        <v/>
      </c>
      <c r="D26" s="18"/>
      <c r="E26" s="19" t="str">
        <f aca="false">IF(A26="","",D26*(F26+H26)/100)</f>
        <v/>
      </c>
      <c r="F26" s="20"/>
      <c r="G26" s="20"/>
      <c r="H26" s="20"/>
      <c r="I26" s="20"/>
      <c r="J26" s="20"/>
      <c r="K26" s="21"/>
      <c r="L26" s="20"/>
      <c r="M26" s="20"/>
      <c r="N26" s="20"/>
      <c r="O26" s="20"/>
    </row>
    <row r="27" customFormat="false" ht="15" hidden="false" customHeight="false" outlineLevel="0" collapsed="false">
      <c r="A27" s="17" t="str">
        <f aca="false">IF(Policy!A27="","",Policy!A27)</f>
        <v/>
      </c>
      <c r="B27" s="17" t="str">
        <f aca="false">IF(Policy!A27="","",Policy!B27)</f>
        <v/>
      </c>
      <c r="C27" s="17" t="str">
        <f aca="false">IF(Policy!A27="","",Policy!E27)</f>
        <v/>
      </c>
      <c r="D27" s="18"/>
      <c r="E27" s="19" t="str">
        <f aca="false">IF(A27="","",D27*(F27+H27)/100)</f>
        <v/>
      </c>
      <c r="F27" s="20"/>
      <c r="G27" s="20"/>
      <c r="H27" s="20"/>
      <c r="I27" s="20"/>
      <c r="J27" s="20"/>
      <c r="K27" s="21"/>
      <c r="L27" s="20"/>
      <c r="M27" s="20"/>
      <c r="N27" s="20"/>
      <c r="O27" s="20"/>
    </row>
    <row r="28" customFormat="false" ht="15" hidden="false" customHeight="false" outlineLevel="0" collapsed="false">
      <c r="A28" s="17" t="str">
        <f aca="false">IF(Policy!A28="","",Policy!A28)</f>
        <v/>
      </c>
      <c r="B28" s="17" t="str">
        <f aca="false">IF(Policy!A28="","",Policy!B28)</f>
        <v/>
      </c>
      <c r="C28" s="17" t="str">
        <f aca="false">IF(Policy!A28="","",Policy!E28)</f>
        <v/>
      </c>
      <c r="D28" s="18"/>
      <c r="E28" s="19" t="str">
        <f aca="false">IF(A28="","",D28*(F28+H28)/100)</f>
        <v/>
      </c>
      <c r="F28" s="20"/>
      <c r="G28" s="20"/>
      <c r="H28" s="20"/>
      <c r="I28" s="20"/>
      <c r="J28" s="20"/>
      <c r="K28" s="21"/>
      <c r="L28" s="20"/>
      <c r="M28" s="20"/>
      <c r="N28" s="20"/>
      <c r="O28" s="20"/>
    </row>
    <row r="29" customFormat="false" ht="15" hidden="false" customHeight="false" outlineLevel="0" collapsed="false">
      <c r="A29" s="17" t="str">
        <f aca="false">IF(Policy!A29="","",Policy!A29)</f>
        <v/>
      </c>
      <c r="B29" s="17" t="str">
        <f aca="false">IF(Policy!A29="","",Policy!B29)</f>
        <v/>
      </c>
      <c r="C29" s="17" t="str">
        <f aca="false">IF(Policy!A29="","",Policy!E29)</f>
        <v/>
      </c>
      <c r="D29" s="18"/>
      <c r="E29" s="19" t="str">
        <f aca="false">IF(A29="","",D29*(F29+H29)/100)</f>
        <v/>
      </c>
      <c r="F29" s="20"/>
      <c r="G29" s="20"/>
      <c r="H29" s="20"/>
      <c r="I29" s="20"/>
      <c r="J29" s="20"/>
      <c r="K29" s="21"/>
      <c r="L29" s="20"/>
      <c r="M29" s="20"/>
      <c r="N29" s="20"/>
      <c r="O29" s="20"/>
    </row>
    <row r="30" customFormat="false" ht="15" hidden="false" customHeight="false" outlineLevel="0" collapsed="false">
      <c r="A30" s="17" t="str">
        <f aca="false">IF(Policy!A30="","",Policy!A30)</f>
        <v/>
      </c>
      <c r="B30" s="17" t="str">
        <f aca="false">IF(Policy!A30="","",Policy!B30)</f>
        <v/>
      </c>
      <c r="C30" s="17" t="str">
        <f aca="false">IF(Policy!A30="","",Policy!E30)</f>
        <v/>
      </c>
      <c r="D30" s="18"/>
      <c r="E30" s="19" t="str">
        <f aca="false">IF(A30="","",D30*(F30+H30)/100)</f>
        <v/>
      </c>
      <c r="F30" s="20"/>
      <c r="G30" s="20"/>
      <c r="H30" s="20"/>
      <c r="I30" s="20"/>
      <c r="J30" s="20"/>
      <c r="K30" s="21"/>
      <c r="L30" s="20"/>
      <c r="M30" s="20"/>
      <c r="N30" s="20"/>
      <c r="O30" s="20"/>
    </row>
    <row r="31" customFormat="false" ht="15" hidden="false" customHeight="false" outlineLevel="0" collapsed="false">
      <c r="A31" s="17" t="str">
        <f aca="false">IF(Policy!A31="","",Policy!A31)</f>
        <v/>
      </c>
      <c r="B31" s="17" t="str">
        <f aca="false">IF(Policy!A31="","",Policy!B31)</f>
        <v/>
      </c>
      <c r="C31" s="17" t="str">
        <f aca="false">IF(Policy!A31="","",Policy!E31)</f>
        <v/>
      </c>
      <c r="D31" s="18"/>
      <c r="E31" s="19" t="str">
        <f aca="false">IF(A31="","",D31*(F31+H31)/100)</f>
        <v/>
      </c>
      <c r="F31" s="20"/>
      <c r="G31" s="20"/>
      <c r="H31" s="20"/>
      <c r="I31" s="20"/>
      <c r="J31" s="20"/>
      <c r="K31" s="21"/>
      <c r="L31" s="20"/>
      <c r="M31" s="20"/>
      <c r="N31" s="20"/>
      <c r="O31" s="20"/>
    </row>
    <row r="32" customFormat="false" ht="15" hidden="false" customHeight="false" outlineLevel="0" collapsed="false">
      <c r="A32" s="17" t="str">
        <f aca="false">IF(Policy!A32="","",Policy!A32)</f>
        <v/>
      </c>
      <c r="B32" s="17" t="str">
        <f aca="false">IF(Policy!A32="","",Policy!B32)</f>
        <v/>
      </c>
      <c r="C32" s="17" t="str">
        <f aca="false">IF(Policy!A32="","",Policy!E32)</f>
        <v/>
      </c>
      <c r="D32" s="18"/>
      <c r="E32" s="19" t="str">
        <f aca="false">IF(A32="","",D32*(F32+H32)/100)</f>
        <v/>
      </c>
      <c r="F32" s="20"/>
      <c r="G32" s="20"/>
      <c r="H32" s="20"/>
      <c r="I32" s="20"/>
      <c r="J32" s="20"/>
      <c r="K32" s="21"/>
      <c r="L32" s="20"/>
      <c r="M32" s="20"/>
      <c r="N32" s="20"/>
      <c r="O32" s="20"/>
    </row>
    <row r="33" customFormat="false" ht="15" hidden="false" customHeight="false" outlineLevel="0" collapsed="false">
      <c r="A33" s="17" t="str">
        <f aca="false">IF(Policy!A33="","",Policy!A33)</f>
        <v/>
      </c>
      <c r="B33" s="17" t="str">
        <f aca="false">IF(Policy!A33="","",Policy!B33)</f>
        <v/>
      </c>
      <c r="C33" s="17" t="str">
        <f aca="false">IF(Policy!A33="","",Policy!E33)</f>
        <v/>
      </c>
      <c r="D33" s="18"/>
      <c r="E33" s="19" t="str">
        <f aca="false">IF(A33="","",D33*(F33+H33)/100)</f>
        <v/>
      </c>
      <c r="F33" s="20"/>
      <c r="G33" s="20"/>
      <c r="H33" s="20"/>
      <c r="I33" s="20"/>
      <c r="J33" s="20"/>
      <c r="K33" s="21"/>
      <c r="L33" s="20"/>
      <c r="M33" s="20"/>
      <c r="N33" s="20"/>
      <c r="O33" s="20"/>
    </row>
    <row r="34" customFormat="false" ht="15" hidden="false" customHeight="false" outlineLevel="0" collapsed="false">
      <c r="A34" s="17" t="str">
        <f aca="false">IF(Policy!A34="","",Policy!A34)</f>
        <v/>
      </c>
      <c r="B34" s="17" t="str">
        <f aca="false">IF(Policy!A34="","",Policy!B34)</f>
        <v/>
      </c>
      <c r="C34" s="17" t="str">
        <f aca="false">IF(Policy!A34="","",Policy!E34)</f>
        <v/>
      </c>
      <c r="D34" s="18"/>
      <c r="E34" s="19" t="str">
        <f aca="false">IF(A34="","",D34*(F34+H34)/100)</f>
        <v/>
      </c>
      <c r="F34" s="20"/>
      <c r="G34" s="20"/>
      <c r="H34" s="20"/>
      <c r="I34" s="20"/>
      <c r="J34" s="20"/>
      <c r="K34" s="21"/>
      <c r="L34" s="20"/>
      <c r="M34" s="20"/>
      <c r="N34" s="20"/>
      <c r="O34" s="20"/>
    </row>
    <row r="35" customFormat="false" ht="15" hidden="false" customHeight="false" outlineLevel="0" collapsed="false">
      <c r="A35" s="17" t="str">
        <f aca="false">IF(Policy!A35="","",Policy!A35)</f>
        <v/>
      </c>
      <c r="B35" s="17" t="str">
        <f aca="false">IF(Policy!A35="","",Policy!B35)</f>
        <v/>
      </c>
      <c r="C35" s="17" t="str">
        <f aca="false">IF(Policy!A35="","",Policy!E35)</f>
        <v/>
      </c>
      <c r="D35" s="18"/>
      <c r="E35" s="19" t="str">
        <f aca="false">IF(A35="","",D35*(F35+H35)/100)</f>
        <v/>
      </c>
      <c r="F35" s="20"/>
      <c r="G35" s="20"/>
      <c r="H35" s="20"/>
      <c r="I35" s="20"/>
      <c r="J35" s="20"/>
      <c r="K35" s="21"/>
      <c r="L35" s="20"/>
      <c r="M35" s="20"/>
      <c r="N35" s="20"/>
      <c r="O35" s="20"/>
    </row>
    <row r="36" customFormat="false" ht="15" hidden="false" customHeight="false" outlineLevel="0" collapsed="false">
      <c r="A36" s="17" t="str">
        <f aca="false">IF(Policy!A36="","",Policy!A36)</f>
        <v/>
      </c>
      <c r="B36" s="17" t="str">
        <f aca="false">IF(Policy!A36="","",Policy!B36)</f>
        <v/>
      </c>
      <c r="C36" s="17" t="str">
        <f aca="false">IF(Policy!A36="","",Policy!E36)</f>
        <v/>
      </c>
      <c r="D36" s="18"/>
      <c r="E36" s="19" t="str">
        <f aca="false">IF(A36="","",D36*(F36+H36)/100)</f>
        <v/>
      </c>
      <c r="F36" s="20"/>
      <c r="G36" s="20"/>
      <c r="H36" s="20"/>
      <c r="I36" s="20"/>
      <c r="J36" s="20"/>
      <c r="K36" s="21"/>
      <c r="L36" s="20"/>
      <c r="M36" s="20"/>
      <c r="N36" s="20"/>
      <c r="O36" s="20"/>
    </row>
    <row r="37" customFormat="false" ht="15" hidden="false" customHeight="false" outlineLevel="0" collapsed="false">
      <c r="A37" s="17" t="str">
        <f aca="false">IF(Policy!A37="","",Policy!A37)</f>
        <v/>
      </c>
      <c r="B37" s="17" t="str">
        <f aca="false">IF(Policy!A37="","",Policy!B37)</f>
        <v/>
      </c>
      <c r="C37" s="17" t="str">
        <f aca="false">IF(Policy!A37="","",Policy!E37)</f>
        <v/>
      </c>
      <c r="D37" s="18"/>
      <c r="E37" s="19" t="str">
        <f aca="false">IF(A37="","",D37*(F37+H37)/100)</f>
        <v/>
      </c>
      <c r="F37" s="20"/>
      <c r="G37" s="20"/>
      <c r="H37" s="20"/>
      <c r="I37" s="20"/>
      <c r="J37" s="20"/>
      <c r="K37" s="21"/>
      <c r="L37" s="20"/>
      <c r="M37" s="20"/>
      <c r="N37" s="20"/>
      <c r="O37" s="20"/>
    </row>
    <row r="38" customFormat="false" ht="15" hidden="false" customHeight="false" outlineLevel="0" collapsed="false">
      <c r="A38" s="17" t="str">
        <f aca="false">IF(Policy!A38="","",Policy!A38)</f>
        <v/>
      </c>
      <c r="B38" s="17" t="str">
        <f aca="false">IF(Policy!A38="","",Policy!B38)</f>
        <v/>
      </c>
      <c r="C38" s="17" t="str">
        <f aca="false">IF(Policy!A38="","",Policy!E38)</f>
        <v/>
      </c>
      <c r="D38" s="18"/>
      <c r="E38" s="19" t="str">
        <f aca="false">IF(A38="","",D38*(F38+H38)/100)</f>
        <v/>
      </c>
      <c r="F38" s="20"/>
      <c r="G38" s="20"/>
      <c r="H38" s="20"/>
      <c r="I38" s="20"/>
      <c r="J38" s="20"/>
      <c r="K38" s="21"/>
      <c r="L38" s="20"/>
      <c r="M38" s="20"/>
      <c r="N38" s="20"/>
      <c r="O38" s="20"/>
    </row>
    <row r="39" customFormat="false" ht="15" hidden="false" customHeight="false" outlineLevel="0" collapsed="false">
      <c r="A39" s="17" t="str">
        <f aca="false">IF(Policy!A39="","",Policy!A39)</f>
        <v/>
      </c>
      <c r="B39" s="17" t="str">
        <f aca="false">IF(Policy!A39="","",Policy!B39)</f>
        <v/>
      </c>
      <c r="C39" s="17" t="str">
        <f aca="false">IF(Policy!A39="","",Policy!E39)</f>
        <v/>
      </c>
      <c r="D39" s="18"/>
      <c r="E39" s="19" t="str">
        <f aca="false">IF(A39="","",D39*(F39+H39)/100)</f>
        <v/>
      </c>
      <c r="F39" s="20"/>
      <c r="G39" s="20"/>
      <c r="H39" s="20"/>
      <c r="I39" s="20"/>
      <c r="J39" s="20"/>
      <c r="K39" s="21"/>
      <c r="L39" s="20"/>
      <c r="M39" s="20"/>
      <c r="N39" s="20"/>
      <c r="O39" s="20"/>
    </row>
    <row r="40" customFormat="false" ht="15" hidden="false" customHeight="false" outlineLevel="0" collapsed="false">
      <c r="A40" s="17" t="str">
        <f aca="false">IF(Policy!A40="","",Policy!A40)</f>
        <v/>
      </c>
      <c r="B40" s="17" t="str">
        <f aca="false">IF(Policy!A40="","",Policy!B40)</f>
        <v/>
      </c>
      <c r="C40" s="17" t="str">
        <f aca="false">IF(Policy!A40="","",Policy!E40)</f>
        <v/>
      </c>
      <c r="D40" s="18"/>
      <c r="E40" s="19" t="str">
        <f aca="false">IF(A40="","",D40*(F40+H40)/100)</f>
        <v/>
      </c>
      <c r="F40" s="20"/>
      <c r="G40" s="20"/>
      <c r="H40" s="20"/>
      <c r="I40" s="20"/>
      <c r="J40" s="20"/>
      <c r="K40" s="21"/>
      <c r="L40" s="20"/>
      <c r="M40" s="20"/>
      <c r="N40" s="20"/>
      <c r="O40" s="20"/>
    </row>
    <row r="41" customFormat="false" ht="15" hidden="false" customHeight="false" outlineLevel="0" collapsed="false">
      <c r="A41" s="17" t="str">
        <f aca="false">IF(Policy!A41="","",Policy!A41)</f>
        <v/>
      </c>
      <c r="B41" s="17" t="str">
        <f aca="false">IF(Policy!A41="","",Policy!B41)</f>
        <v/>
      </c>
      <c r="C41" s="17" t="str">
        <f aca="false">IF(Policy!A41="","",Policy!E41)</f>
        <v/>
      </c>
      <c r="D41" s="18"/>
      <c r="E41" s="19" t="str">
        <f aca="false">IF(A41="","",D41*(F41+H41)/100)</f>
        <v/>
      </c>
      <c r="F41" s="20"/>
      <c r="G41" s="20"/>
      <c r="H41" s="20"/>
      <c r="I41" s="20"/>
      <c r="J41" s="20"/>
      <c r="K41" s="21"/>
      <c r="L41" s="20"/>
      <c r="M41" s="20"/>
      <c r="N41" s="20"/>
      <c r="O41" s="20"/>
    </row>
    <row r="42" customFormat="false" ht="15" hidden="false" customHeight="false" outlineLevel="0" collapsed="false">
      <c r="A42" s="17" t="str">
        <f aca="false">IF(Policy!A42="","",Policy!A42)</f>
        <v/>
      </c>
      <c r="B42" s="17" t="str">
        <f aca="false">IF(Policy!A42="","",Policy!B42)</f>
        <v/>
      </c>
      <c r="C42" s="17" t="str">
        <f aca="false">IF(Policy!A42="","",Policy!E42)</f>
        <v/>
      </c>
      <c r="D42" s="18"/>
      <c r="E42" s="19" t="str">
        <f aca="false">IF(A42="","",D42*(F42+H42)/100)</f>
        <v/>
      </c>
      <c r="F42" s="20"/>
      <c r="G42" s="20"/>
      <c r="H42" s="20"/>
      <c r="I42" s="20"/>
      <c r="J42" s="20"/>
      <c r="K42" s="21"/>
      <c r="L42" s="20"/>
      <c r="M42" s="20"/>
      <c r="N42" s="20"/>
      <c r="O42" s="20"/>
    </row>
    <row r="43" customFormat="false" ht="15" hidden="false" customHeight="false" outlineLevel="0" collapsed="false">
      <c r="A43" s="17" t="str">
        <f aca="false">IF(Policy!A43="","",Policy!A43)</f>
        <v/>
      </c>
      <c r="B43" s="17" t="str">
        <f aca="false">IF(Policy!A43="","",Policy!B43)</f>
        <v/>
      </c>
      <c r="C43" s="17" t="str">
        <f aca="false">IF(Policy!A43="","",Policy!E43)</f>
        <v/>
      </c>
      <c r="D43" s="18"/>
      <c r="E43" s="19" t="str">
        <f aca="false">IF(A43="","",D43*(F43+H43)/100)</f>
        <v/>
      </c>
      <c r="F43" s="20"/>
      <c r="G43" s="20"/>
      <c r="H43" s="20"/>
      <c r="I43" s="20"/>
      <c r="J43" s="20"/>
      <c r="K43" s="21"/>
      <c r="L43" s="20"/>
      <c r="M43" s="20"/>
      <c r="N43" s="20"/>
      <c r="O43" s="20"/>
    </row>
    <row r="44" customFormat="false" ht="15" hidden="false" customHeight="false" outlineLevel="0" collapsed="false">
      <c r="A44" s="17" t="str">
        <f aca="false">IF(Policy!A44="","",Policy!A44)</f>
        <v/>
      </c>
      <c r="B44" s="17" t="str">
        <f aca="false">IF(Policy!A44="","",Policy!B44)</f>
        <v/>
      </c>
      <c r="C44" s="17" t="str">
        <f aca="false">IF(Policy!A44="","",Policy!E44)</f>
        <v/>
      </c>
      <c r="D44" s="18"/>
      <c r="E44" s="19" t="str">
        <f aca="false">IF(A44="","",D44*(F44+H44)/100)</f>
        <v/>
      </c>
      <c r="F44" s="20"/>
      <c r="G44" s="20"/>
      <c r="H44" s="20"/>
      <c r="I44" s="20"/>
      <c r="J44" s="20"/>
      <c r="K44" s="21"/>
      <c r="L44" s="20"/>
      <c r="M44" s="20"/>
      <c r="N44" s="20"/>
      <c r="O44" s="20"/>
    </row>
    <row r="45" customFormat="false" ht="15" hidden="false" customHeight="false" outlineLevel="0" collapsed="false">
      <c r="A45" s="17" t="str">
        <f aca="false">IF(Policy!A45="","",Policy!A45)</f>
        <v/>
      </c>
      <c r="B45" s="17" t="str">
        <f aca="false">IF(Policy!A45="","",Policy!B45)</f>
        <v/>
      </c>
      <c r="C45" s="17" t="str">
        <f aca="false">IF(Policy!A45="","",Policy!E45)</f>
        <v/>
      </c>
      <c r="D45" s="18"/>
      <c r="E45" s="19" t="str">
        <f aca="false">IF(A45="","",D45*(F45+H45)/100)</f>
        <v/>
      </c>
      <c r="F45" s="20"/>
      <c r="G45" s="20"/>
      <c r="H45" s="20"/>
      <c r="I45" s="20"/>
      <c r="J45" s="20"/>
      <c r="K45" s="21"/>
      <c r="L45" s="20"/>
      <c r="M45" s="20"/>
      <c r="N45" s="20"/>
      <c r="O45" s="20"/>
    </row>
    <row r="46" customFormat="false" ht="15" hidden="false" customHeight="false" outlineLevel="0" collapsed="false">
      <c r="A46" s="17" t="str">
        <f aca="false">IF(Policy!A46="","",Policy!A46)</f>
        <v/>
      </c>
      <c r="B46" s="17" t="str">
        <f aca="false">IF(Policy!A46="","",Policy!B46)</f>
        <v/>
      </c>
      <c r="C46" s="17" t="str">
        <f aca="false">IF(Policy!A46="","",Policy!E46)</f>
        <v/>
      </c>
      <c r="D46" s="18"/>
      <c r="E46" s="19" t="str">
        <f aca="false">IF(A46="","",D46*(F46+H46)/100)</f>
        <v/>
      </c>
      <c r="F46" s="20"/>
      <c r="G46" s="20"/>
      <c r="H46" s="20"/>
      <c r="I46" s="20"/>
      <c r="J46" s="20"/>
      <c r="K46" s="21"/>
      <c r="L46" s="20"/>
      <c r="M46" s="20"/>
      <c r="N46" s="20"/>
      <c r="O46" s="20"/>
    </row>
    <row r="47" customFormat="false" ht="15" hidden="false" customHeight="false" outlineLevel="0" collapsed="false">
      <c r="A47" s="17" t="str">
        <f aca="false">IF(Policy!A47="","",Policy!A47)</f>
        <v/>
      </c>
      <c r="B47" s="17" t="str">
        <f aca="false">IF(Policy!A47="","",Policy!B47)</f>
        <v/>
      </c>
      <c r="C47" s="17" t="str">
        <f aca="false">IF(Policy!A47="","",Policy!E47)</f>
        <v/>
      </c>
      <c r="D47" s="18"/>
      <c r="E47" s="19" t="str">
        <f aca="false">IF(A47="","",D47*(F47+H47)/100)</f>
        <v/>
      </c>
      <c r="F47" s="20"/>
      <c r="G47" s="20"/>
      <c r="H47" s="20"/>
      <c r="I47" s="20"/>
      <c r="J47" s="20"/>
      <c r="K47" s="21"/>
      <c r="L47" s="20"/>
      <c r="M47" s="20"/>
      <c r="N47" s="20"/>
      <c r="O47" s="20"/>
    </row>
    <row r="48" customFormat="false" ht="15" hidden="false" customHeight="false" outlineLevel="0" collapsed="false">
      <c r="A48" s="17" t="str">
        <f aca="false">IF(Policy!A48="","",Policy!A48)</f>
        <v/>
      </c>
      <c r="B48" s="17" t="str">
        <f aca="false">IF(Policy!A48="","",Policy!B48)</f>
        <v/>
      </c>
      <c r="C48" s="17" t="str">
        <f aca="false">IF(Policy!A48="","",Policy!E48)</f>
        <v/>
      </c>
      <c r="D48" s="18"/>
      <c r="E48" s="19" t="str">
        <f aca="false">IF(A48="","",D48*(F48+H48)/100)</f>
        <v/>
      </c>
      <c r="F48" s="20"/>
      <c r="G48" s="20"/>
      <c r="H48" s="20"/>
      <c r="I48" s="20"/>
      <c r="J48" s="20"/>
      <c r="K48" s="21"/>
      <c r="L48" s="20"/>
      <c r="M48" s="20"/>
      <c r="N48" s="20"/>
      <c r="O48" s="20"/>
    </row>
    <row r="49" customFormat="false" ht="15" hidden="false" customHeight="false" outlineLevel="0" collapsed="false">
      <c r="A49" s="17" t="str">
        <f aca="false">IF(Policy!A49="","",Policy!A49)</f>
        <v/>
      </c>
      <c r="B49" s="17" t="str">
        <f aca="false">IF(Policy!A49="","",Policy!B49)</f>
        <v/>
      </c>
      <c r="C49" s="17" t="str">
        <f aca="false">IF(Policy!A49="","",Policy!E49)</f>
        <v/>
      </c>
      <c r="D49" s="18"/>
      <c r="E49" s="19" t="str">
        <f aca="false">IF(A49="","",D49*(F49+H49)/100)</f>
        <v/>
      </c>
      <c r="F49" s="20"/>
      <c r="G49" s="20"/>
      <c r="H49" s="20"/>
      <c r="I49" s="20"/>
      <c r="J49" s="20"/>
      <c r="K49" s="21"/>
      <c r="L49" s="20"/>
      <c r="M49" s="20"/>
      <c r="N49" s="20"/>
      <c r="O49" s="20"/>
    </row>
    <row r="50" customFormat="false" ht="15" hidden="false" customHeight="false" outlineLevel="0" collapsed="false">
      <c r="A50" s="17" t="str">
        <f aca="false">IF(Policy!A50="","",Policy!A50)</f>
        <v/>
      </c>
      <c r="B50" s="17" t="str">
        <f aca="false">IF(Policy!A50="","",Policy!B50)</f>
        <v/>
      </c>
      <c r="C50" s="17" t="str">
        <f aca="false">IF(Policy!A50="","",Policy!E50)</f>
        <v/>
      </c>
      <c r="D50" s="18"/>
      <c r="E50" s="19" t="str">
        <f aca="false">IF(A50="","",D50*(F50+H50)/100)</f>
        <v/>
      </c>
      <c r="F50" s="20"/>
      <c r="G50" s="20"/>
      <c r="H50" s="20"/>
      <c r="I50" s="20"/>
      <c r="J50" s="20"/>
      <c r="K50" s="21"/>
      <c r="L50" s="20"/>
      <c r="M50" s="20"/>
      <c r="N50" s="20"/>
      <c r="O50" s="20"/>
    </row>
    <row r="51" customFormat="false" ht="15" hidden="false" customHeight="false" outlineLevel="0" collapsed="false">
      <c r="A51" s="17" t="str">
        <f aca="false">IF(Policy!A51="","",Policy!A51)</f>
        <v/>
      </c>
      <c r="B51" s="17" t="str">
        <f aca="false">IF(Policy!A51="","",Policy!B51)</f>
        <v/>
      </c>
      <c r="C51" s="17" t="str">
        <f aca="false">IF(Policy!A51="","",Policy!E51)</f>
        <v/>
      </c>
      <c r="D51" s="18"/>
      <c r="E51" s="19" t="str">
        <f aca="false">IF(A51="","",D51*(F51+H51)/100)</f>
        <v/>
      </c>
      <c r="F51" s="20"/>
      <c r="G51" s="20"/>
      <c r="H51" s="20"/>
      <c r="I51" s="20"/>
      <c r="J51" s="20"/>
      <c r="K51" s="21"/>
      <c r="L51" s="20"/>
      <c r="M51" s="20"/>
      <c r="N51" s="20"/>
      <c r="O51" s="20"/>
    </row>
    <row r="52" customFormat="false" ht="15" hidden="false" customHeight="false" outlineLevel="0" collapsed="false">
      <c r="A52" s="17" t="str">
        <f aca="false">IF(Policy!A52="","",Policy!A52)</f>
        <v/>
      </c>
      <c r="B52" s="17" t="str">
        <f aca="false">IF(Policy!A52="","",Policy!B52)</f>
        <v/>
      </c>
      <c r="C52" s="17" t="str">
        <f aca="false">IF(Policy!A52="","",Policy!E52)</f>
        <v/>
      </c>
      <c r="D52" s="18"/>
      <c r="E52" s="19" t="str">
        <f aca="false">IF(A52="","",D52*(F52+H52)/100)</f>
        <v/>
      </c>
      <c r="F52" s="20"/>
      <c r="G52" s="20"/>
      <c r="H52" s="20"/>
      <c r="I52" s="20"/>
      <c r="J52" s="20"/>
      <c r="K52" s="21"/>
      <c r="L52" s="20"/>
      <c r="M52" s="20"/>
      <c r="N52" s="20"/>
      <c r="O52" s="20"/>
    </row>
    <row r="53" customFormat="false" ht="15" hidden="false" customHeight="false" outlineLevel="0" collapsed="false">
      <c r="A53" s="17" t="str">
        <f aca="false">IF(Policy!A53="","",Policy!A53)</f>
        <v/>
      </c>
      <c r="B53" s="17" t="str">
        <f aca="false">IF(Policy!A53="","",Policy!B53)</f>
        <v/>
      </c>
      <c r="C53" s="17" t="str">
        <f aca="false">IF(Policy!A53="","",Policy!E53)</f>
        <v/>
      </c>
      <c r="D53" s="18"/>
      <c r="E53" s="19" t="str">
        <f aca="false">IF(A53="","",D53*(F53+H53)/100)</f>
        <v/>
      </c>
      <c r="F53" s="20"/>
      <c r="G53" s="20"/>
      <c r="H53" s="20"/>
      <c r="I53" s="20"/>
      <c r="J53" s="20"/>
      <c r="K53" s="21"/>
      <c r="L53" s="20"/>
      <c r="M53" s="20"/>
      <c r="N53" s="20"/>
      <c r="O53" s="20"/>
    </row>
    <row r="54" customFormat="false" ht="15" hidden="false" customHeight="false" outlineLevel="0" collapsed="false">
      <c r="A54" s="17" t="str">
        <f aca="false">IF(Policy!A54="","",Policy!A54)</f>
        <v/>
      </c>
      <c r="B54" s="17" t="str">
        <f aca="false">IF(Policy!A54="","",Policy!B54)</f>
        <v/>
      </c>
      <c r="C54" s="17" t="str">
        <f aca="false">IF(Policy!A54="","",Policy!E54)</f>
        <v/>
      </c>
      <c r="D54" s="18"/>
      <c r="E54" s="19" t="str">
        <f aca="false">IF(A54="","",D54*(F54+H54)/100)</f>
        <v/>
      </c>
      <c r="F54" s="20"/>
      <c r="G54" s="20"/>
      <c r="H54" s="20"/>
      <c r="I54" s="20"/>
      <c r="J54" s="20"/>
      <c r="K54" s="21"/>
      <c r="L54" s="20"/>
      <c r="M54" s="20"/>
      <c r="N54" s="20"/>
      <c r="O54" s="20"/>
    </row>
    <row r="55" customFormat="false" ht="15" hidden="false" customHeight="false" outlineLevel="0" collapsed="false">
      <c r="A55" s="17" t="str">
        <f aca="false">IF(Policy!A55="","",Policy!A55)</f>
        <v/>
      </c>
      <c r="B55" s="17" t="str">
        <f aca="false">IF(Policy!A55="","",Policy!B55)</f>
        <v/>
      </c>
      <c r="C55" s="17" t="str">
        <f aca="false">IF(Policy!A55="","",Policy!E55)</f>
        <v/>
      </c>
      <c r="D55" s="18"/>
      <c r="E55" s="19" t="str">
        <f aca="false">IF(A55="","",D55*(F55+H55)/100)</f>
        <v/>
      </c>
      <c r="F55" s="20"/>
      <c r="G55" s="20"/>
      <c r="H55" s="20"/>
      <c r="I55" s="20"/>
      <c r="J55" s="20"/>
      <c r="K55" s="21"/>
      <c r="L55" s="20"/>
      <c r="M55" s="20"/>
      <c r="N55" s="20"/>
      <c r="O55" s="20"/>
    </row>
    <row r="56" customFormat="false" ht="15" hidden="false" customHeight="false" outlineLevel="0" collapsed="false">
      <c r="A56" s="17" t="str">
        <f aca="false">IF(Policy!A56="","",Policy!A56)</f>
        <v/>
      </c>
      <c r="B56" s="17" t="str">
        <f aca="false">IF(Policy!A56="","",Policy!B56)</f>
        <v/>
      </c>
      <c r="C56" s="17" t="str">
        <f aca="false">IF(Policy!A56="","",Policy!E56)</f>
        <v/>
      </c>
      <c r="D56" s="18"/>
      <c r="E56" s="19" t="str">
        <f aca="false">IF(A56="","",D56*(F56+H56)/100)</f>
        <v/>
      </c>
      <c r="F56" s="20"/>
      <c r="G56" s="20"/>
      <c r="H56" s="20"/>
      <c r="I56" s="20"/>
      <c r="J56" s="20"/>
      <c r="K56" s="21"/>
      <c r="L56" s="20"/>
      <c r="M56" s="20"/>
      <c r="N56" s="20"/>
      <c r="O56" s="20"/>
    </row>
    <row r="57" customFormat="false" ht="15" hidden="false" customHeight="false" outlineLevel="0" collapsed="false">
      <c r="A57" s="17" t="str">
        <f aca="false">IF(Policy!A57="","",Policy!A57)</f>
        <v/>
      </c>
      <c r="B57" s="17" t="str">
        <f aca="false">IF(Policy!A57="","",Policy!B57)</f>
        <v/>
      </c>
      <c r="C57" s="17" t="str">
        <f aca="false">IF(Policy!A57="","",Policy!E57)</f>
        <v/>
      </c>
      <c r="D57" s="18"/>
      <c r="E57" s="19" t="str">
        <f aca="false">IF(A57="","",D57*(F57+H57)/100)</f>
        <v/>
      </c>
      <c r="F57" s="20"/>
      <c r="G57" s="20"/>
      <c r="H57" s="20"/>
      <c r="I57" s="20"/>
      <c r="J57" s="20"/>
      <c r="K57" s="21"/>
      <c r="L57" s="20"/>
      <c r="M57" s="20"/>
      <c r="N57" s="20"/>
      <c r="O57" s="20"/>
    </row>
    <row r="58" customFormat="false" ht="15" hidden="false" customHeight="false" outlineLevel="0" collapsed="false">
      <c r="A58" s="17" t="str">
        <f aca="false">IF(Policy!A58="","",Policy!A58)</f>
        <v/>
      </c>
      <c r="B58" s="17" t="str">
        <f aca="false">IF(Policy!A58="","",Policy!B58)</f>
        <v/>
      </c>
      <c r="C58" s="17" t="str">
        <f aca="false">IF(Policy!A58="","",Policy!E58)</f>
        <v/>
      </c>
      <c r="D58" s="18"/>
      <c r="E58" s="19" t="str">
        <f aca="false">IF(A58="","",D58*(F58+H58)/100)</f>
        <v/>
      </c>
      <c r="F58" s="20"/>
      <c r="G58" s="20"/>
      <c r="H58" s="20"/>
      <c r="I58" s="20"/>
      <c r="J58" s="20"/>
      <c r="K58" s="21"/>
      <c r="L58" s="20"/>
      <c r="M58" s="20"/>
      <c r="N58" s="20"/>
      <c r="O58" s="20"/>
    </row>
    <row r="59" customFormat="false" ht="15" hidden="false" customHeight="false" outlineLevel="0" collapsed="false">
      <c r="A59" s="17" t="str">
        <f aca="false">IF(Policy!A59="","",Policy!A59)</f>
        <v/>
      </c>
      <c r="B59" s="17" t="str">
        <f aca="false">IF(Policy!A59="","",Policy!B59)</f>
        <v/>
      </c>
      <c r="C59" s="17" t="str">
        <f aca="false">IF(Policy!A59="","",Policy!E59)</f>
        <v/>
      </c>
      <c r="D59" s="18"/>
      <c r="E59" s="19" t="str">
        <f aca="false">IF(A59="","",D59*(F59+H59)/100)</f>
        <v/>
      </c>
      <c r="F59" s="20"/>
      <c r="G59" s="20"/>
      <c r="H59" s="20"/>
      <c r="I59" s="20"/>
      <c r="J59" s="20"/>
      <c r="K59" s="21"/>
      <c r="L59" s="20"/>
      <c r="M59" s="20"/>
      <c r="N59" s="20"/>
      <c r="O59" s="20"/>
    </row>
    <row r="60" customFormat="false" ht="15" hidden="false" customHeight="false" outlineLevel="0" collapsed="false">
      <c r="A60" s="17" t="str">
        <f aca="false">IF(Policy!A60="","",Policy!A60)</f>
        <v/>
      </c>
      <c r="B60" s="17" t="str">
        <f aca="false">IF(Policy!A60="","",Policy!B60)</f>
        <v/>
      </c>
      <c r="C60" s="17" t="str">
        <f aca="false">IF(Policy!A60="","",Policy!E60)</f>
        <v/>
      </c>
      <c r="D60" s="18"/>
      <c r="E60" s="19" t="str">
        <f aca="false">IF(A60="","",D60*(F60+H60)/100)</f>
        <v/>
      </c>
      <c r="F60" s="20"/>
      <c r="G60" s="20"/>
      <c r="H60" s="20"/>
      <c r="I60" s="20"/>
      <c r="J60" s="20"/>
      <c r="K60" s="21"/>
      <c r="L60" s="20"/>
      <c r="M60" s="20"/>
      <c r="N60" s="20"/>
      <c r="O60" s="20"/>
    </row>
    <row r="61" customFormat="false" ht="15" hidden="false" customHeight="false" outlineLevel="0" collapsed="false">
      <c r="A61" s="17" t="str">
        <f aca="false">IF(Policy!A61="","",Policy!A61)</f>
        <v/>
      </c>
      <c r="B61" s="17" t="str">
        <f aca="false">IF(Policy!A61="","",Policy!B61)</f>
        <v/>
      </c>
      <c r="C61" s="17" t="str">
        <f aca="false">IF(Policy!A61="","",Policy!E61)</f>
        <v/>
      </c>
      <c r="D61" s="18"/>
      <c r="E61" s="19" t="str">
        <f aca="false">IF(A61="","",D61*(F61+H61)/100)</f>
        <v/>
      </c>
      <c r="F61" s="20"/>
      <c r="G61" s="20"/>
      <c r="H61" s="20"/>
      <c r="I61" s="20"/>
      <c r="J61" s="20"/>
      <c r="K61" s="21"/>
      <c r="L61" s="20"/>
      <c r="M61" s="20"/>
      <c r="N61" s="20"/>
      <c r="O61" s="20"/>
    </row>
    <row r="62" customFormat="false" ht="15" hidden="false" customHeight="false" outlineLevel="0" collapsed="false">
      <c r="A62" s="17" t="str">
        <f aca="false">IF(Policy!A62="","",Policy!A62)</f>
        <v/>
      </c>
      <c r="B62" s="17" t="str">
        <f aca="false">IF(Policy!A62="","",Policy!B62)</f>
        <v/>
      </c>
      <c r="C62" s="17" t="str">
        <f aca="false">IF(Policy!A62="","",Policy!E62)</f>
        <v/>
      </c>
      <c r="D62" s="18"/>
      <c r="E62" s="19" t="str">
        <f aca="false">IF(A62="","",D62*(F62+H62)/100)</f>
        <v/>
      </c>
      <c r="F62" s="20"/>
      <c r="G62" s="20"/>
      <c r="H62" s="20"/>
      <c r="I62" s="20"/>
      <c r="J62" s="20"/>
      <c r="K62" s="21"/>
      <c r="L62" s="20"/>
      <c r="M62" s="20"/>
      <c r="N62" s="20"/>
      <c r="O62" s="20"/>
    </row>
    <row r="63" customFormat="false" ht="15" hidden="false" customHeight="false" outlineLevel="0" collapsed="false">
      <c r="A63" s="17" t="str">
        <f aca="false">IF(Policy!A63="","",Policy!A63)</f>
        <v/>
      </c>
      <c r="B63" s="17" t="str">
        <f aca="false">IF(Policy!A63="","",Policy!B63)</f>
        <v/>
      </c>
      <c r="C63" s="17" t="str">
        <f aca="false">IF(Policy!A63="","",Policy!E63)</f>
        <v/>
      </c>
      <c r="D63" s="18"/>
      <c r="E63" s="19" t="str">
        <f aca="false">IF(A63="","",D63*(F63+H63)/100)</f>
        <v/>
      </c>
      <c r="F63" s="20"/>
      <c r="G63" s="20"/>
      <c r="H63" s="20"/>
      <c r="I63" s="20"/>
      <c r="J63" s="20"/>
      <c r="K63" s="21"/>
      <c r="L63" s="20"/>
      <c r="M63" s="20"/>
      <c r="N63" s="20"/>
      <c r="O63" s="20"/>
    </row>
    <row r="64" customFormat="false" ht="15" hidden="false" customHeight="false" outlineLevel="0" collapsed="false">
      <c r="A64" s="17" t="str">
        <f aca="false">IF(Policy!A64="","",Policy!A64)</f>
        <v/>
      </c>
      <c r="B64" s="17" t="str">
        <f aca="false">IF(Policy!A64="","",Policy!B64)</f>
        <v/>
      </c>
      <c r="C64" s="17" t="str">
        <f aca="false">IF(Policy!A64="","",Policy!E64)</f>
        <v/>
      </c>
      <c r="D64" s="18"/>
      <c r="E64" s="19" t="str">
        <f aca="false">IF(A64="","",D64*(F64+H64)/100)</f>
        <v/>
      </c>
      <c r="F64" s="20"/>
      <c r="G64" s="20"/>
      <c r="H64" s="20"/>
      <c r="I64" s="20"/>
      <c r="J64" s="20"/>
      <c r="K64" s="21"/>
      <c r="L64" s="20"/>
      <c r="M64" s="20"/>
      <c r="N64" s="20"/>
      <c r="O64" s="20"/>
    </row>
    <row r="65" customFormat="false" ht="15" hidden="false" customHeight="false" outlineLevel="0" collapsed="false">
      <c r="A65" s="17" t="str">
        <f aca="false">IF(Policy!A65="","",Policy!A65)</f>
        <v/>
      </c>
      <c r="B65" s="17" t="str">
        <f aca="false">IF(Policy!A65="","",Policy!B65)</f>
        <v/>
      </c>
      <c r="C65" s="17" t="str">
        <f aca="false">IF(Policy!A65="","",Policy!E65)</f>
        <v/>
      </c>
      <c r="D65" s="18"/>
      <c r="E65" s="19" t="str">
        <f aca="false">IF(A65="","",D65*(F65+H65)/100)</f>
        <v/>
      </c>
      <c r="F65" s="20"/>
      <c r="G65" s="20"/>
      <c r="H65" s="20"/>
      <c r="I65" s="20"/>
      <c r="J65" s="20"/>
      <c r="K65" s="21"/>
      <c r="L65" s="20"/>
      <c r="M65" s="20"/>
      <c r="N65" s="20"/>
      <c r="O65" s="20"/>
    </row>
    <row r="66" customFormat="false" ht="15" hidden="false" customHeight="false" outlineLevel="0" collapsed="false">
      <c r="A66" s="17" t="str">
        <f aca="false">IF(Policy!A66="","",Policy!A66)</f>
        <v/>
      </c>
      <c r="B66" s="17" t="str">
        <f aca="false">IF(Policy!A66="","",Policy!B66)</f>
        <v/>
      </c>
      <c r="C66" s="17" t="str">
        <f aca="false">IF(Policy!A66="","",Policy!E66)</f>
        <v/>
      </c>
      <c r="D66" s="18"/>
      <c r="E66" s="19" t="str">
        <f aca="false">IF(A66="","",D66*(F66+H66)/100)</f>
        <v/>
      </c>
      <c r="F66" s="20"/>
      <c r="G66" s="20"/>
      <c r="H66" s="20"/>
      <c r="I66" s="20"/>
      <c r="J66" s="20"/>
      <c r="K66" s="21"/>
      <c r="L66" s="20"/>
      <c r="M66" s="20"/>
      <c r="N66" s="20"/>
      <c r="O66" s="20"/>
    </row>
    <row r="67" customFormat="false" ht="15" hidden="false" customHeight="false" outlineLevel="0" collapsed="false">
      <c r="A67" s="17" t="str">
        <f aca="false">IF(Policy!A67="","",Policy!A67)</f>
        <v/>
      </c>
      <c r="B67" s="17" t="str">
        <f aca="false">IF(Policy!A67="","",Policy!B67)</f>
        <v/>
      </c>
      <c r="C67" s="17" t="str">
        <f aca="false">IF(Policy!A67="","",Policy!E67)</f>
        <v/>
      </c>
      <c r="D67" s="18"/>
      <c r="E67" s="19" t="str">
        <f aca="false">IF(A67="","",D67*(F67+H67)/100)</f>
        <v/>
      </c>
      <c r="F67" s="20"/>
      <c r="G67" s="20"/>
      <c r="H67" s="20"/>
      <c r="I67" s="20"/>
      <c r="J67" s="20"/>
      <c r="K67" s="21"/>
      <c r="L67" s="20"/>
      <c r="M67" s="20"/>
      <c r="N67" s="20"/>
      <c r="O67" s="20"/>
    </row>
    <row r="68" customFormat="false" ht="15" hidden="false" customHeight="false" outlineLevel="0" collapsed="false">
      <c r="A68" s="17" t="str">
        <f aca="false">IF(Policy!A68="","",Policy!A68)</f>
        <v/>
      </c>
      <c r="B68" s="17" t="str">
        <f aca="false">IF(Policy!A68="","",Policy!B68)</f>
        <v/>
      </c>
      <c r="C68" s="17" t="str">
        <f aca="false">IF(Policy!A68="","",Policy!E68)</f>
        <v/>
      </c>
      <c r="D68" s="18"/>
      <c r="E68" s="19" t="str">
        <f aca="false">IF(A68="","",D68*(F68+H68)/100)</f>
        <v/>
      </c>
      <c r="F68" s="20"/>
      <c r="G68" s="20"/>
      <c r="H68" s="20"/>
      <c r="I68" s="20"/>
      <c r="J68" s="20"/>
      <c r="K68" s="21"/>
      <c r="L68" s="20"/>
      <c r="M68" s="20"/>
      <c r="N68" s="20"/>
      <c r="O68" s="20"/>
    </row>
    <row r="69" customFormat="false" ht="15" hidden="false" customHeight="false" outlineLevel="0" collapsed="false">
      <c r="A69" s="17" t="str">
        <f aca="false">IF(Policy!A69="","",Policy!A69)</f>
        <v/>
      </c>
      <c r="B69" s="17" t="str">
        <f aca="false">IF(Policy!A69="","",Policy!B69)</f>
        <v/>
      </c>
      <c r="C69" s="17" t="str">
        <f aca="false">IF(Policy!A69="","",Policy!E69)</f>
        <v/>
      </c>
      <c r="D69" s="18"/>
      <c r="E69" s="19" t="str">
        <f aca="false">IF(A69="","",D69*(F69+H69)/100)</f>
        <v/>
      </c>
      <c r="F69" s="20"/>
      <c r="G69" s="20"/>
      <c r="H69" s="20"/>
      <c r="I69" s="20"/>
      <c r="J69" s="20"/>
      <c r="K69" s="21"/>
      <c r="L69" s="20"/>
      <c r="M69" s="20"/>
      <c r="N69" s="20"/>
      <c r="O69" s="20"/>
    </row>
    <row r="70" customFormat="false" ht="15" hidden="false" customHeight="false" outlineLevel="0" collapsed="false">
      <c r="A70" s="17" t="str">
        <f aca="false">IF(Policy!A70="","",Policy!A70)</f>
        <v/>
      </c>
      <c r="B70" s="17" t="str">
        <f aca="false">IF(Policy!A70="","",Policy!B70)</f>
        <v/>
      </c>
      <c r="C70" s="17" t="str">
        <f aca="false">IF(Policy!A70="","",Policy!E70)</f>
        <v/>
      </c>
      <c r="D70" s="18"/>
      <c r="E70" s="19" t="str">
        <f aca="false">IF(A70="","",D70*(F70+H70)/100)</f>
        <v/>
      </c>
      <c r="F70" s="20"/>
      <c r="G70" s="20"/>
      <c r="H70" s="20"/>
      <c r="I70" s="20"/>
      <c r="J70" s="20"/>
      <c r="K70" s="21"/>
      <c r="L70" s="20"/>
      <c r="M70" s="20"/>
      <c r="N70" s="20"/>
      <c r="O70" s="20"/>
    </row>
    <row r="71" customFormat="false" ht="15" hidden="false" customHeight="false" outlineLevel="0" collapsed="false">
      <c r="A71" s="17" t="str">
        <f aca="false">IF(Policy!A71="","",Policy!A71)</f>
        <v/>
      </c>
      <c r="B71" s="17" t="str">
        <f aca="false">IF(Policy!A71="","",Policy!B71)</f>
        <v/>
      </c>
      <c r="C71" s="17" t="str">
        <f aca="false">IF(Policy!A71="","",Policy!E71)</f>
        <v/>
      </c>
      <c r="D71" s="18"/>
      <c r="E71" s="19" t="str">
        <f aca="false">IF(A71="","",D71*(F71+H71)/100)</f>
        <v/>
      </c>
      <c r="F71" s="20"/>
      <c r="G71" s="20"/>
      <c r="H71" s="20"/>
      <c r="I71" s="20"/>
      <c r="J71" s="20"/>
      <c r="K71" s="21"/>
      <c r="L71" s="20"/>
      <c r="M71" s="20"/>
      <c r="N71" s="20"/>
      <c r="O71" s="20"/>
    </row>
    <row r="72" customFormat="false" ht="15" hidden="false" customHeight="false" outlineLevel="0" collapsed="false">
      <c r="A72" s="17" t="str">
        <f aca="false">IF(Policy!A72="","",Policy!A72)</f>
        <v/>
      </c>
      <c r="B72" s="17" t="str">
        <f aca="false">IF(Policy!A72="","",Policy!B72)</f>
        <v/>
      </c>
      <c r="C72" s="17" t="str">
        <f aca="false">IF(Policy!A72="","",Policy!E72)</f>
        <v/>
      </c>
      <c r="D72" s="18"/>
      <c r="E72" s="19" t="str">
        <f aca="false">IF(A72="","",D72*(F72+H72)/100)</f>
        <v/>
      </c>
      <c r="F72" s="20"/>
      <c r="G72" s="20"/>
      <c r="H72" s="20"/>
      <c r="I72" s="20"/>
      <c r="J72" s="20"/>
      <c r="K72" s="21"/>
      <c r="L72" s="20"/>
      <c r="M72" s="20"/>
      <c r="N72" s="20"/>
      <c r="O72" s="20"/>
    </row>
    <row r="73" customFormat="false" ht="15" hidden="false" customHeight="false" outlineLevel="0" collapsed="false">
      <c r="A73" s="17" t="str">
        <f aca="false">IF(Policy!A73="","",Policy!A73)</f>
        <v/>
      </c>
      <c r="B73" s="17" t="str">
        <f aca="false">IF(Policy!A73="","",Policy!B73)</f>
        <v/>
      </c>
      <c r="C73" s="17" t="str">
        <f aca="false">IF(Policy!A73="","",Policy!E73)</f>
        <v/>
      </c>
      <c r="D73" s="18"/>
      <c r="E73" s="19" t="str">
        <f aca="false">IF(A73="","",D73*(F73+H73)/100)</f>
        <v/>
      </c>
      <c r="F73" s="20"/>
      <c r="G73" s="20"/>
      <c r="H73" s="20"/>
      <c r="I73" s="20"/>
      <c r="J73" s="20"/>
      <c r="K73" s="21"/>
      <c r="L73" s="20"/>
      <c r="M73" s="20"/>
      <c r="N73" s="20"/>
      <c r="O73" s="20"/>
    </row>
    <row r="74" customFormat="false" ht="15" hidden="false" customHeight="false" outlineLevel="0" collapsed="false">
      <c r="A74" s="17" t="str">
        <f aca="false">IF(Policy!A74="","",Policy!A74)</f>
        <v/>
      </c>
      <c r="B74" s="17" t="str">
        <f aca="false">IF(Policy!A74="","",Policy!B74)</f>
        <v/>
      </c>
      <c r="C74" s="17" t="str">
        <f aca="false">IF(Policy!A74="","",Policy!E74)</f>
        <v/>
      </c>
      <c r="D74" s="18"/>
      <c r="E74" s="19" t="str">
        <f aca="false">IF(A74="","",D74*(F74+H74)/100)</f>
        <v/>
      </c>
      <c r="F74" s="20"/>
      <c r="G74" s="20"/>
      <c r="H74" s="20"/>
      <c r="I74" s="20"/>
      <c r="J74" s="20"/>
      <c r="K74" s="21"/>
      <c r="L74" s="20"/>
      <c r="M74" s="20"/>
      <c r="N74" s="20"/>
      <c r="O74" s="20"/>
    </row>
    <row r="75" customFormat="false" ht="15" hidden="false" customHeight="false" outlineLevel="0" collapsed="false">
      <c r="A75" s="17" t="str">
        <f aca="false">IF(Policy!A75="","",Policy!A75)</f>
        <v/>
      </c>
      <c r="B75" s="17" t="str">
        <f aca="false">IF(Policy!A75="","",Policy!B75)</f>
        <v/>
      </c>
      <c r="C75" s="17" t="str">
        <f aca="false">IF(Policy!A75="","",Policy!E75)</f>
        <v/>
      </c>
      <c r="D75" s="18"/>
      <c r="E75" s="19" t="str">
        <f aca="false">IF(A75="","",D75*(F75+H75)/100)</f>
        <v/>
      </c>
      <c r="F75" s="20"/>
      <c r="G75" s="20"/>
      <c r="H75" s="20"/>
      <c r="I75" s="20"/>
      <c r="J75" s="20"/>
      <c r="K75" s="21"/>
      <c r="L75" s="20"/>
      <c r="M75" s="20"/>
      <c r="N75" s="20"/>
      <c r="O75" s="20"/>
    </row>
    <row r="76" customFormat="false" ht="15" hidden="false" customHeight="false" outlineLevel="0" collapsed="false">
      <c r="A76" s="17" t="str">
        <f aca="false">IF(Policy!A76="","",Policy!A76)</f>
        <v/>
      </c>
      <c r="B76" s="17" t="str">
        <f aca="false">IF(Policy!A76="","",Policy!B76)</f>
        <v/>
      </c>
      <c r="C76" s="17" t="str">
        <f aca="false">IF(Policy!A76="","",Policy!E76)</f>
        <v/>
      </c>
      <c r="D76" s="18"/>
      <c r="E76" s="19" t="str">
        <f aca="false">IF(A76="","",D76*(F76+H76)/100)</f>
        <v/>
      </c>
      <c r="F76" s="20"/>
      <c r="G76" s="20"/>
      <c r="H76" s="20"/>
      <c r="I76" s="20"/>
      <c r="J76" s="20"/>
      <c r="K76" s="21"/>
      <c r="L76" s="20"/>
      <c r="M76" s="20"/>
      <c r="N76" s="20"/>
      <c r="O76" s="20"/>
    </row>
    <row r="77" customFormat="false" ht="15" hidden="false" customHeight="false" outlineLevel="0" collapsed="false">
      <c r="A77" s="17" t="str">
        <f aca="false">IF(Policy!A77="","",Policy!A77)</f>
        <v/>
      </c>
      <c r="B77" s="17" t="str">
        <f aca="false">IF(Policy!A77="","",Policy!B77)</f>
        <v/>
      </c>
      <c r="C77" s="17" t="str">
        <f aca="false">IF(Policy!A77="","",Policy!E77)</f>
        <v/>
      </c>
      <c r="D77" s="18"/>
      <c r="E77" s="19" t="str">
        <f aca="false">IF(A77="","",D77*(F77+H77)/100)</f>
        <v/>
      </c>
      <c r="F77" s="20"/>
      <c r="G77" s="20"/>
      <c r="H77" s="20"/>
      <c r="I77" s="20"/>
      <c r="J77" s="20"/>
      <c r="K77" s="21"/>
      <c r="L77" s="20"/>
      <c r="M77" s="20"/>
      <c r="N77" s="20"/>
      <c r="O77" s="20"/>
    </row>
    <row r="78" customFormat="false" ht="15" hidden="false" customHeight="false" outlineLevel="0" collapsed="false">
      <c r="A78" s="17" t="str">
        <f aca="false">IF(Policy!A78="","",Policy!A78)</f>
        <v/>
      </c>
      <c r="B78" s="17" t="str">
        <f aca="false">IF(Policy!A78="","",Policy!B78)</f>
        <v/>
      </c>
      <c r="C78" s="17" t="str">
        <f aca="false">IF(Policy!A78="","",Policy!E78)</f>
        <v/>
      </c>
      <c r="D78" s="18"/>
      <c r="E78" s="19" t="str">
        <f aca="false">IF(A78="","",D78*(F78+H78)/100)</f>
        <v/>
      </c>
      <c r="F78" s="20"/>
      <c r="G78" s="20"/>
      <c r="H78" s="20"/>
      <c r="I78" s="20"/>
      <c r="J78" s="20"/>
      <c r="K78" s="21"/>
      <c r="L78" s="20"/>
      <c r="M78" s="20"/>
      <c r="N78" s="20"/>
      <c r="O78" s="20"/>
    </row>
    <row r="79" customFormat="false" ht="15" hidden="false" customHeight="false" outlineLevel="0" collapsed="false">
      <c r="A79" s="17" t="str">
        <f aca="false">IF(Policy!A79="","",Policy!A79)</f>
        <v/>
      </c>
      <c r="B79" s="17" t="str">
        <f aca="false">IF(Policy!A79="","",Policy!B79)</f>
        <v/>
      </c>
      <c r="C79" s="17" t="str">
        <f aca="false">IF(Policy!A79="","",Policy!E79)</f>
        <v/>
      </c>
      <c r="D79" s="18"/>
      <c r="E79" s="19" t="str">
        <f aca="false">IF(A79="","",D79*(F79+H79)/100)</f>
        <v/>
      </c>
      <c r="F79" s="20"/>
      <c r="G79" s="20"/>
      <c r="H79" s="20"/>
      <c r="I79" s="20"/>
      <c r="J79" s="20"/>
      <c r="K79" s="21"/>
      <c r="L79" s="20"/>
      <c r="M79" s="20"/>
      <c r="N79" s="20"/>
      <c r="O79" s="20"/>
    </row>
    <row r="80" customFormat="false" ht="15" hidden="false" customHeight="false" outlineLevel="0" collapsed="false">
      <c r="A80" s="17" t="str">
        <f aca="false">IF(Policy!A80="","",Policy!A80)</f>
        <v/>
      </c>
      <c r="B80" s="17" t="str">
        <f aca="false">IF(Policy!A80="","",Policy!B80)</f>
        <v/>
      </c>
      <c r="C80" s="17" t="str">
        <f aca="false">IF(Policy!A80="","",Policy!E80)</f>
        <v/>
      </c>
      <c r="D80" s="18"/>
      <c r="E80" s="19" t="str">
        <f aca="false">IF(A80="","",D80*(F80+H80)/100)</f>
        <v/>
      </c>
      <c r="F80" s="20"/>
      <c r="G80" s="20"/>
      <c r="H80" s="20"/>
      <c r="I80" s="20"/>
      <c r="J80" s="20"/>
      <c r="K80" s="21"/>
      <c r="L80" s="20"/>
      <c r="M80" s="20"/>
      <c r="N80" s="20"/>
      <c r="O80" s="20"/>
    </row>
    <row r="81" customFormat="false" ht="15" hidden="false" customHeight="false" outlineLevel="0" collapsed="false">
      <c r="A81" s="17" t="str">
        <f aca="false">IF(Policy!A81="","",Policy!A81)</f>
        <v/>
      </c>
      <c r="B81" s="17" t="str">
        <f aca="false">IF(Policy!A81="","",Policy!B81)</f>
        <v/>
      </c>
      <c r="C81" s="17" t="str">
        <f aca="false">IF(Policy!A81="","",Policy!E81)</f>
        <v/>
      </c>
      <c r="D81" s="18"/>
      <c r="E81" s="19" t="str">
        <f aca="false">IF(A81="","",D81*(F81+H81)/100)</f>
        <v/>
      </c>
      <c r="F81" s="20"/>
      <c r="G81" s="20"/>
      <c r="H81" s="20"/>
      <c r="I81" s="20"/>
      <c r="J81" s="20"/>
      <c r="K81" s="21"/>
      <c r="L81" s="20"/>
      <c r="M81" s="20"/>
      <c r="N81" s="20"/>
      <c r="O81" s="20"/>
    </row>
    <row r="82" customFormat="false" ht="15" hidden="false" customHeight="false" outlineLevel="0" collapsed="false">
      <c r="A82" s="17" t="str">
        <f aca="false">IF(Policy!A82="","",Policy!A82)</f>
        <v/>
      </c>
      <c r="B82" s="17" t="str">
        <f aca="false">IF(Policy!A82="","",Policy!B82)</f>
        <v/>
      </c>
      <c r="C82" s="17" t="str">
        <f aca="false">IF(Policy!A82="","",Policy!E82)</f>
        <v/>
      </c>
      <c r="D82" s="18"/>
      <c r="E82" s="19" t="str">
        <f aca="false">IF(A82="","",D82*(F82+H82)/100)</f>
        <v/>
      </c>
      <c r="F82" s="20"/>
      <c r="G82" s="20"/>
      <c r="H82" s="20"/>
      <c r="I82" s="20"/>
      <c r="J82" s="20"/>
      <c r="K82" s="21"/>
      <c r="L82" s="20"/>
      <c r="M82" s="20"/>
      <c r="N82" s="20"/>
      <c r="O82" s="20"/>
    </row>
    <row r="83" customFormat="false" ht="15" hidden="false" customHeight="false" outlineLevel="0" collapsed="false">
      <c r="A83" s="17" t="str">
        <f aca="false">IF(Policy!A83="","",Policy!A83)</f>
        <v/>
      </c>
      <c r="B83" s="17" t="str">
        <f aca="false">IF(Policy!A83="","",Policy!B83)</f>
        <v/>
      </c>
      <c r="C83" s="17" t="str">
        <f aca="false">IF(Policy!A83="","",Policy!E83)</f>
        <v/>
      </c>
      <c r="D83" s="18"/>
      <c r="E83" s="19" t="str">
        <f aca="false">IF(A83="","",D83*(F83+H83)/100)</f>
        <v/>
      </c>
      <c r="F83" s="20"/>
      <c r="G83" s="20"/>
      <c r="H83" s="20"/>
      <c r="I83" s="20"/>
      <c r="J83" s="20"/>
      <c r="K83" s="21"/>
      <c r="L83" s="20"/>
      <c r="M83" s="20"/>
      <c r="N83" s="20"/>
      <c r="O83" s="20"/>
    </row>
    <row r="84" customFormat="false" ht="15" hidden="false" customHeight="false" outlineLevel="0" collapsed="false">
      <c r="A84" s="17" t="str">
        <f aca="false">IF(Policy!A84="","",Policy!A84)</f>
        <v/>
      </c>
      <c r="B84" s="17" t="str">
        <f aca="false">IF(Policy!A84="","",Policy!B84)</f>
        <v/>
      </c>
      <c r="C84" s="17" t="str">
        <f aca="false">IF(Policy!A84="","",Policy!E84)</f>
        <v/>
      </c>
      <c r="D84" s="18"/>
      <c r="E84" s="19" t="str">
        <f aca="false">IF(A84="","",D84*(F84+H84)/100)</f>
        <v/>
      </c>
      <c r="F84" s="20"/>
      <c r="G84" s="20"/>
      <c r="H84" s="20"/>
      <c r="I84" s="20"/>
      <c r="J84" s="20"/>
      <c r="K84" s="21"/>
      <c r="L84" s="20"/>
      <c r="M84" s="20"/>
      <c r="N84" s="20"/>
      <c r="O84" s="20"/>
    </row>
    <row r="85" customFormat="false" ht="15" hidden="false" customHeight="false" outlineLevel="0" collapsed="false">
      <c r="A85" s="17" t="str">
        <f aca="false">IF(Policy!A85="","",Policy!A85)</f>
        <v/>
      </c>
      <c r="B85" s="17" t="str">
        <f aca="false">IF(Policy!A85="","",Policy!B85)</f>
        <v/>
      </c>
      <c r="C85" s="17" t="str">
        <f aca="false">IF(Policy!A85="","",Policy!E85)</f>
        <v/>
      </c>
      <c r="D85" s="18"/>
      <c r="E85" s="19" t="str">
        <f aca="false">IF(A85="","",D85*(F85+H85)/100)</f>
        <v/>
      </c>
      <c r="F85" s="20"/>
      <c r="G85" s="20"/>
      <c r="H85" s="20"/>
      <c r="I85" s="20"/>
      <c r="J85" s="20"/>
      <c r="K85" s="21"/>
      <c r="L85" s="20"/>
      <c r="M85" s="20"/>
      <c r="N85" s="20"/>
      <c r="O85" s="20"/>
    </row>
    <row r="86" customFormat="false" ht="15" hidden="false" customHeight="false" outlineLevel="0" collapsed="false">
      <c r="A86" s="17" t="str">
        <f aca="false">IF(Policy!A86="","",Policy!A86)</f>
        <v/>
      </c>
      <c r="B86" s="17" t="str">
        <f aca="false">IF(Policy!A86="","",Policy!B86)</f>
        <v/>
      </c>
      <c r="C86" s="17" t="str">
        <f aca="false">IF(Policy!A86="","",Policy!E86)</f>
        <v/>
      </c>
      <c r="D86" s="18"/>
      <c r="E86" s="19" t="str">
        <f aca="false">IF(A86="","",D86*(F86+H86)/100)</f>
        <v/>
      </c>
      <c r="F86" s="20"/>
      <c r="G86" s="20"/>
      <c r="H86" s="20"/>
      <c r="I86" s="20"/>
      <c r="J86" s="20"/>
      <c r="K86" s="21"/>
      <c r="L86" s="20"/>
      <c r="M86" s="20"/>
      <c r="N86" s="20"/>
      <c r="O86" s="20"/>
    </row>
    <row r="87" customFormat="false" ht="15" hidden="false" customHeight="false" outlineLevel="0" collapsed="false">
      <c r="A87" s="17" t="str">
        <f aca="false">IF(Policy!A87="","",Policy!A87)</f>
        <v/>
      </c>
      <c r="B87" s="17" t="str">
        <f aca="false">IF(Policy!A87="","",Policy!B87)</f>
        <v/>
      </c>
      <c r="C87" s="17" t="str">
        <f aca="false">IF(Policy!A87="","",Policy!E87)</f>
        <v/>
      </c>
      <c r="D87" s="18"/>
      <c r="E87" s="19" t="str">
        <f aca="false">IF(A87="","",D87*(F87+H87)/100)</f>
        <v/>
      </c>
      <c r="F87" s="20"/>
      <c r="G87" s="20"/>
      <c r="H87" s="20"/>
      <c r="I87" s="20"/>
      <c r="J87" s="20"/>
      <c r="K87" s="21"/>
      <c r="L87" s="20"/>
      <c r="M87" s="20"/>
      <c r="N87" s="20"/>
      <c r="O87" s="20"/>
    </row>
    <row r="88" customFormat="false" ht="15" hidden="false" customHeight="false" outlineLevel="0" collapsed="false">
      <c r="A88" s="17" t="str">
        <f aca="false">IF(Policy!A88="","",Policy!A88)</f>
        <v/>
      </c>
      <c r="B88" s="17" t="str">
        <f aca="false">IF(Policy!A88="","",Policy!B88)</f>
        <v/>
      </c>
      <c r="C88" s="17" t="str">
        <f aca="false">IF(Policy!A88="","",Policy!E88)</f>
        <v/>
      </c>
      <c r="D88" s="18"/>
      <c r="E88" s="19" t="str">
        <f aca="false">IF(A88="","",D88*(F88+H88)/100)</f>
        <v/>
      </c>
      <c r="F88" s="20"/>
      <c r="G88" s="20"/>
      <c r="H88" s="20"/>
      <c r="I88" s="20"/>
      <c r="J88" s="20"/>
      <c r="K88" s="21"/>
      <c r="L88" s="20"/>
      <c r="M88" s="20"/>
      <c r="N88" s="20"/>
      <c r="O88" s="20"/>
    </row>
    <row r="89" customFormat="false" ht="15" hidden="false" customHeight="false" outlineLevel="0" collapsed="false">
      <c r="A89" s="17" t="str">
        <f aca="false">IF(Policy!A89="","",Policy!A89)</f>
        <v/>
      </c>
      <c r="B89" s="17" t="str">
        <f aca="false">IF(Policy!A89="","",Policy!B89)</f>
        <v/>
      </c>
      <c r="C89" s="17" t="str">
        <f aca="false">IF(Policy!A89="","",Policy!E89)</f>
        <v/>
      </c>
      <c r="D89" s="18"/>
      <c r="E89" s="19" t="str">
        <f aca="false">IF(A89="","",D89*(F89+H89)/100)</f>
        <v/>
      </c>
      <c r="F89" s="20"/>
      <c r="G89" s="20"/>
      <c r="H89" s="20"/>
      <c r="I89" s="20"/>
      <c r="J89" s="20"/>
      <c r="K89" s="21"/>
      <c r="L89" s="20"/>
      <c r="M89" s="20"/>
      <c r="N89" s="20"/>
      <c r="O89" s="20"/>
    </row>
    <row r="90" customFormat="false" ht="15" hidden="false" customHeight="false" outlineLevel="0" collapsed="false">
      <c r="A90" s="17" t="str">
        <f aca="false">IF(Policy!A90="","",Policy!A90)</f>
        <v/>
      </c>
      <c r="B90" s="17" t="str">
        <f aca="false">IF(Policy!A90="","",Policy!B90)</f>
        <v/>
      </c>
      <c r="C90" s="17" t="str">
        <f aca="false">IF(Policy!A90="","",Policy!E90)</f>
        <v/>
      </c>
      <c r="D90" s="18"/>
      <c r="E90" s="19" t="str">
        <f aca="false">IF(A90="","",D90*(F90+H90)/100)</f>
        <v/>
      </c>
      <c r="F90" s="20"/>
      <c r="G90" s="20"/>
      <c r="H90" s="20"/>
      <c r="I90" s="20"/>
      <c r="J90" s="20"/>
      <c r="K90" s="21"/>
      <c r="L90" s="20"/>
      <c r="M90" s="20"/>
      <c r="N90" s="20"/>
      <c r="O90" s="20"/>
    </row>
    <row r="91" customFormat="false" ht="15" hidden="false" customHeight="false" outlineLevel="0" collapsed="false">
      <c r="A91" s="17" t="str">
        <f aca="false">IF(Policy!A91="","",Policy!A91)</f>
        <v/>
      </c>
      <c r="B91" s="17" t="str">
        <f aca="false">IF(Policy!A91="","",Policy!B91)</f>
        <v/>
      </c>
      <c r="C91" s="17" t="str">
        <f aca="false">IF(Policy!A91="","",Policy!E91)</f>
        <v/>
      </c>
      <c r="D91" s="18"/>
      <c r="E91" s="19" t="str">
        <f aca="false">IF(A91="","",D91*(F91+H91)/100)</f>
        <v/>
      </c>
      <c r="F91" s="20"/>
      <c r="G91" s="20"/>
      <c r="H91" s="20"/>
      <c r="I91" s="20"/>
      <c r="J91" s="20"/>
      <c r="K91" s="21"/>
      <c r="L91" s="20"/>
      <c r="M91" s="20"/>
      <c r="N91" s="20"/>
      <c r="O91" s="20"/>
    </row>
    <row r="92" customFormat="false" ht="15" hidden="false" customHeight="false" outlineLevel="0" collapsed="false">
      <c r="A92" s="17" t="str">
        <f aca="false">IF(Policy!A92="","",Policy!A92)</f>
        <v/>
      </c>
      <c r="B92" s="17" t="str">
        <f aca="false">IF(Policy!A92="","",Policy!B92)</f>
        <v/>
      </c>
      <c r="C92" s="17" t="str">
        <f aca="false">IF(Policy!A92="","",Policy!E92)</f>
        <v/>
      </c>
      <c r="D92" s="18"/>
      <c r="E92" s="19" t="str">
        <f aca="false">IF(A92="","",D92*(F92+H92)/100)</f>
        <v/>
      </c>
      <c r="F92" s="20"/>
      <c r="G92" s="20"/>
      <c r="H92" s="20"/>
      <c r="I92" s="20"/>
      <c r="J92" s="20"/>
      <c r="K92" s="21"/>
      <c r="L92" s="20"/>
      <c r="M92" s="20"/>
      <c r="N92" s="20"/>
      <c r="O92" s="20"/>
    </row>
    <row r="93" customFormat="false" ht="15" hidden="false" customHeight="false" outlineLevel="0" collapsed="false">
      <c r="A93" s="17" t="str">
        <f aca="false">IF(Policy!A93="","",Policy!A93)</f>
        <v/>
      </c>
      <c r="B93" s="17" t="str">
        <f aca="false">IF(Policy!A93="","",Policy!B93)</f>
        <v/>
      </c>
      <c r="C93" s="17" t="str">
        <f aca="false">IF(Policy!A93="","",Policy!E93)</f>
        <v/>
      </c>
      <c r="D93" s="18"/>
      <c r="E93" s="19" t="str">
        <f aca="false">IF(A93="","",D93*(F93+H93)/100)</f>
        <v/>
      </c>
      <c r="F93" s="20"/>
      <c r="G93" s="20"/>
      <c r="H93" s="20"/>
      <c r="I93" s="20"/>
      <c r="J93" s="20"/>
      <c r="K93" s="21"/>
      <c r="L93" s="20"/>
      <c r="M93" s="20"/>
      <c r="N93" s="20"/>
      <c r="O93" s="20"/>
    </row>
    <row r="94" customFormat="false" ht="15" hidden="false" customHeight="false" outlineLevel="0" collapsed="false">
      <c r="A94" s="17" t="str">
        <f aca="false">IF(Policy!A94="","",Policy!A94)</f>
        <v/>
      </c>
      <c r="B94" s="17" t="str">
        <f aca="false">IF(Policy!A94="","",Policy!B94)</f>
        <v/>
      </c>
      <c r="C94" s="17" t="str">
        <f aca="false">IF(Policy!A94="","",Policy!E94)</f>
        <v/>
      </c>
      <c r="D94" s="18"/>
      <c r="E94" s="19" t="str">
        <f aca="false">IF(A94="","",D94*(F94+H94)/100)</f>
        <v/>
      </c>
      <c r="F94" s="20"/>
      <c r="G94" s="20"/>
      <c r="H94" s="20"/>
      <c r="I94" s="20"/>
      <c r="J94" s="20"/>
      <c r="K94" s="21"/>
      <c r="L94" s="20"/>
      <c r="M94" s="20"/>
      <c r="N94" s="20"/>
      <c r="O94" s="20"/>
    </row>
    <row r="95" customFormat="false" ht="15" hidden="false" customHeight="false" outlineLevel="0" collapsed="false">
      <c r="A95" s="17" t="str">
        <f aca="false">IF(Policy!A95="","",Policy!A95)</f>
        <v/>
      </c>
      <c r="B95" s="17" t="str">
        <f aca="false">IF(Policy!A95="","",Policy!B95)</f>
        <v/>
      </c>
      <c r="C95" s="17" t="str">
        <f aca="false">IF(Policy!A95="","",Policy!E95)</f>
        <v/>
      </c>
      <c r="D95" s="18"/>
      <c r="E95" s="19" t="str">
        <f aca="false">IF(A95="","",D95*(F95+H95)/100)</f>
        <v/>
      </c>
      <c r="F95" s="20"/>
      <c r="G95" s="20"/>
      <c r="H95" s="20"/>
      <c r="I95" s="20"/>
      <c r="J95" s="20"/>
      <c r="K95" s="21"/>
      <c r="L95" s="20"/>
      <c r="M95" s="20"/>
      <c r="N95" s="20"/>
      <c r="O95" s="20"/>
    </row>
    <row r="96" customFormat="false" ht="15" hidden="false" customHeight="false" outlineLevel="0" collapsed="false">
      <c r="A96" s="17" t="str">
        <f aca="false">IF(Policy!A96="","",Policy!A96)</f>
        <v/>
      </c>
      <c r="B96" s="17" t="str">
        <f aca="false">IF(Policy!A96="","",Policy!B96)</f>
        <v/>
      </c>
      <c r="C96" s="17" t="str">
        <f aca="false">IF(Policy!A96="","",Policy!E96)</f>
        <v/>
      </c>
      <c r="D96" s="18"/>
      <c r="E96" s="19" t="str">
        <f aca="false">IF(A96="","",D96*(F96+H96)/100)</f>
        <v/>
      </c>
      <c r="F96" s="20"/>
      <c r="G96" s="20"/>
      <c r="H96" s="20"/>
      <c r="I96" s="20"/>
      <c r="J96" s="20"/>
      <c r="K96" s="21"/>
      <c r="L96" s="20"/>
      <c r="M96" s="20"/>
      <c r="N96" s="20"/>
      <c r="O96" s="20"/>
    </row>
    <row r="97" customFormat="false" ht="15" hidden="false" customHeight="false" outlineLevel="0" collapsed="false">
      <c r="A97" s="17" t="str">
        <f aca="false">IF(Policy!A97="","",Policy!A97)</f>
        <v/>
      </c>
      <c r="B97" s="17" t="str">
        <f aca="false">IF(Policy!A97="","",Policy!B97)</f>
        <v/>
      </c>
      <c r="C97" s="17" t="str">
        <f aca="false">IF(Policy!A97="","",Policy!E97)</f>
        <v/>
      </c>
      <c r="D97" s="18"/>
      <c r="E97" s="19" t="str">
        <f aca="false">IF(A97="","",D97*(F97+H97)/100)</f>
        <v/>
      </c>
      <c r="F97" s="20"/>
      <c r="G97" s="20"/>
      <c r="H97" s="20"/>
      <c r="I97" s="20"/>
      <c r="J97" s="20"/>
      <c r="K97" s="21"/>
      <c r="L97" s="20"/>
      <c r="M97" s="20"/>
      <c r="N97" s="20"/>
      <c r="O97" s="20"/>
    </row>
    <row r="98" customFormat="false" ht="15" hidden="false" customHeight="false" outlineLevel="0" collapsed="false">
      <c r="A98" s="17" t="str">
        <f aca="false">IF(Policy!A98="","",Policy!A98)</f>
        <v/>
      </c>
      <c r="B98" s="17" t="str">
        <f aca="false">IF(Policy!A98="","",Policy!B98)</f>
        <v/>
      </c>
      <c r="C98" s="17" t="str">
        <f aca="false">IF(Policy!A98="","",Policy!E98)</f>
        <v/>
      </c>
      <c r="D98" s="18"/>
      <c r="E98" s="19" t="str">
        <f aca="false">IF(A98="","",D98*(F98+H98)/100)</f>
        <v/>
      </c>
      <c r="F98" s="20"/>
      <c r="G98" s="20"/>
      <c r="H98" s="20"/>
      <c r="I98" s="20"/>
      <c r="J98" s="20"/>
      <c r="K98" s="21"/>
      <c r="L98" s="20"/>
      <c r="M98" s="20"/>
      <c r="N98" s="20"/>
      <c r="O98" s="20"/>
    </row>
    <row r="99" customFormat="false" ht="15" hidden="false" customHeight="false" outlineLevel="0" collapsed="false">
      <c r="A99" s="17" t="str">
        <f aca="false">IF(Policy!A99="","",Policy!A99)</f>
        <v/>
      </c>
      <c r="B99" s="17" t="str">
        <f aca="false">IF(Policy!A99="","",Policy!B99)</f>
        <v/>
      </c>
      <c r="C99" s="17" t="str">
        <f aca="false">IF(Policy!A99="","",Policy!E99)</f>
        <v/>
      </c>
      <c r="D99" s="18"/>
      <c r="E99" s="19" t="str">
        <f aca="false">IF(A99="","",D99*(F99+H99)/100)</f>
        <v/>
      </c>
      <c r="F99" s="20"/>
      <c r="G99" s="20"/>
      <c r="H99" s="20"/>
      <c r="I99" s="20"/>
      <c r="J99" s="20"/>
      <c r="K99" s="21"/>
      <c r="L99" s="20"/>
      <c r="M99" s="20"/>
      <c r="N99" s="20"/>
      <c r="O99" s="20"/>
    </row>
    <row r="100" customFormat="false" ht="15" hidden="false" customHeight="false" outlineLevel="0" collapsed="false">
      <c r="A100" s="17" t="str">
        <f aca="false">IF(Policy!A100="","",Policy!A100)</f>
        <v/>
      </c>
      <c r="B100" s="17" t="str">
        <f aca="false">IF(Policy!A100="","",Policy!B100)</f>
        <v/>
      </c>
      <c r="C100" s="17" t="str">
        <f aca="false">IF(Policy!A100="","",Policy!E100)</f>
        <v/>
      </c>
      <c r="D100" s="18"/>
      <c r="E100" s="19" t="str">
        <f aca="false">IF(A100="","",D100*(F100+H100)/100)</f>
        <v/>
      </c>
      <c r="F100" s="20"/>
      <c r="G100" s="20"/>
      <c r="H100" s="20"/>
      <c r="I100" s="20"/>
      <c r="J100" s="20"/>
      <c r="K100" s="21"/>
      <c r="L100" s="20"/>
      <c r="M100" s="20"/>
      <c r="N100" s="20"/>
      <c r="O100" s="20"/>
    </row>
    <row r="101" customFormat="false" ht="15" hidden="false" customHeight="false" outlineLevel="0" collapsed="false">
      <c r="A101" s="17" t="str">
        <f aca="false">IF(Policy!A101="","",Policy!A101)</f>
        <v/>
      </c>
      <c r="B101" s="17" t="str">
        <f aca="false">IF(Policy!A101="","",Policy!B101)</f>
        <v/>
      </c>
      <c r="C101" s="17" t="str">
        <f aca="false">IF(Policy!A101="","",Policy!E101)</f>
        <v/>
      </c>
      <c r="D101" s="18"/>
      <c r="E101" s="19" t="str">
        <f aca="false">IF(A101="","",D101*(F101+H101)/100)</f>
        <v/>
      </c>
      <c r="F101" s="20"/>
      <c r="G101" s="20"/>
      <c r="H101" s="20"/>
      <c r="I101" s="20"/>
      <c r="J101" s="20"/>
      <c r="K101" s="21"/>
      <c r="L101" s="20"/>
      <c r="M101" s="20"/>
      <c r="N101" s="20"/>
      <c r="O101" s="20"/>
    </row>
    <row r="102" customFormat="false" ht="15" hidden="false" customHeight="false" outlineLevel="0" collapsed="false">
      <c r="A102" s="17" t="str">
        <f aca="false">IF(Policy!A102="","",Policy!A102)</f>
        <v/>
      </c>
      <c r="B102" s="17" t="str">
        <f aca="false">IF(Policy!A102="","",Policy!B102)</f>
        <v/>
      </c>
      <c r="C102" s="17" t="str">
        <f aca="false">IF(Policy!A102="","",Policy!E102)</f>
        <v/>
      </c>
      <c r="D102" s="18"/>
      <c r="E102" s="19" t="str">
        <f aca="false">IF(A102="","",D102*(F102+H102)/100)</f>
        <v/>
      </c>
      <c r="F102" s="20"/>
      <c r="G102" s="20"/>
      <c r="H102" s="20"/>
      <c r="I102" s="20"/>
      <c r="J102" s="20"/>
      <c r="K102" s="21"/>
      <c r="L102" s="20"/>
      <c r="M102" s="20"/>
      <c r="N102" s="20"/>
      <c r="O102" s="20"/>
    </row>
    <row r="103" customFormat="false" ht="15" hidden="false" customHeight="false" outlineLevel="0" collapsed="false">
      <c r="A103" s="17" t="str">
        <f aca="false">IF(Policy!A103="","",Policy!A103)</f>
        <v/>
      </c>
      <c r="B103" s="17" t="str">
        <f aca="false">IF(Policy!A103="","",Policy!B103)</f>
        <v/>
      </c>
      <c r="C103" s="17" t="str">
        <f aca="false">IF(Policy!A103="","",Policy!E103)</f>
        <v/>
      </c>
      <c r="D103" s="18"/>
      <c r="E103" s="19" t="str">
        <f aca="false">IF(A103="","",D103*(F103+H103)/100)</f>
        <v/>
      </c>
      <c r="F103" s="20"/>
      <c r="G103" s="20"/>
      <c r="H103" s="20"/>
      <c r="I103" s="20"/>
      <c r="J103" s="20"/>
      <c r="K103" s="21"/>
      <c r="L103" s="20"/>
      <c r="M103" s="20"/>
      <c r="N103" s="20"/>
      <c r="O103" s="20"/>
    </row>
    <row r="104" customFormat="false" ht="15" hidden="false" customHeight="false" outlineLevel="0" collapsed="false">
      <c r="A104" s="17" t="str">
        <f aca="false">IF(Policy!A104="","",Policy!A104)</f>
        <v/>
      </c>
      <c r="B104" s="17" t="str">
        <f aca="false">IF(Policy!A104="","",Policy!B104)</f>
        <v/>
      </c>
      <c r="C104" s="17" t="str">
        <f aca="false">IF(Policy!A104="","",Policy!E104)</f>
        <v/>
      </c>
      <c r="D104" s="18"/>
      <c r="E104" s="19" t="str">
        <f aca="false">IF(A104="","",D104*(F104+H104)/100)</f>
        <v/>
      </c>
      <c r="F104" s="20"/>
      <c r="G104" s="20"/>
      <c r="H104" s="20"/>
      <c r="I104" s="20"/>
      <c r="J104" s="20"/>
      <c r="K104" s="21"/>
      <c r="L104" s="20"/>
      <c r="M104" s="20"/>
      <c r="N104" s="20"/>
      <c r="O104" s="20"/>
    </row>
    <row r="105" customFormat="false" ht="15" hidden="false" customHeight="false" outlineLevel="0" collapsed="false">
      <c r="A105" s="17" t="str">
        <f aca="false">IF(Policy!A105="","",Policy!A105)</f>
        <v/>
      </c>
      <c r="B105" s="17" t="str">
        <f aca="false">IF(Policy!A105="","",Policy!B105)</f>
        <v/>
      </c>
      <c r="C105" s="17" t="str">
        <f aca="false">IF(Policy!A105="","",Policy!E105)</f>
        <v/>
      </c>
      <c r="D105" s="18"/>
      <c r="E105" s="19" t="str">
        <f aca="false">IF(A105="","",D105*(F105+H105)/100)</f>
        <v/>
      </c>
      <c r="F105" s="20"/>
      <c r="G105" s="20"/>
      <c r="H105" s="20"/>
      <c r="I105" s="20"/>
      <c r="J105" s="20"/>
      <c r="K105" s="21"/>
      <c r="L105" s="20"/>
      <c r="M105" s="20"/>
      <c r="N105" s="20"/>
      <c r="O105" s="20"/>
    </row>
    <row r="106" customFormat="false" ht="15" hidden="false" customHeight="false" outlineLevel="0" collapsed="false">
      <c r="A106" s="17" t="str">
        <f aca="false">IF(Policy!A106="","",Policy!A106)</f>
        <v/>
      </c>
      <c r="B106" s="17" t="str">
        <f aca="false">IF(Policy!A106="","",Policy!B106)</f>
        <v/>
      </c>
      <c r="C106" s="17" t="str">
        <f aca="false">IF(Policy!A106="","",Policy!E106)</f>
        <v/>
      </c>
      <c r="D106" s="18"/>
      <c r="E106" s="19" t="str">
        <f aca="false">IF(A106="","",D106*(F106+H106)/100)</f>
        <v/>
      </c>
      <c r="F106" s="20"/>
      <c r="G106" s="20"/>
      <c r="H106" s="20"/>
      <c r="I106" s="20"/>
      <c r="J106" s="20"/>
      <c r="K106" s="21"/>
      <c r="L106" s="20"/>
      <c r="M106" s="20"/>
      <c r="N106" s="20"/>
      <c r="O106" s="20"/>
    </row>
    <row r="107" customFormat="false" ht="15" hidden="false" customHeight="false" outlineLevel="0" collapsed="false">
      <c r="A107" s="17" t="str">
        <f aca="false">IF(Policy!A107="","",Policy!A107)</f>
        <v/>
      </c>
      <c r="B107" s="17" t="str">
        <f aca="false">IF(Policy!A107="","",Policy!B107)</f>
        <v/>
      </c>
      <c r="C107" s="17" t="str">
        <f aca="false">IF(Policy!A107="","",Policy!E107)</f>
        <v/>
      </c>
      <c r="D107" s="18"/>
      <c r="E107" s="19" t="str">
        <f aca="false">IF(A107="","",D107*(F107+H107)/100)</f>
        <v/>
      </c>
      <c r="F107" s="20"/>
      <c r="G107" s="20"/>
      <c r="H107" s="20"/>
      <c r="I107" s="20"/>
      <c r="J107" s="20"/>
      <c r="K107" s="21"/>
      <c r="L107" s="20"/>
      <c r="M107" s="20"/>
      <c r="N107" s="20"/>
      <c r="O107" s="20"/>
    </row>
    <row r="108" customFormat="false" ht="15" hidden="false" customHeight="false" outlineLevel="0" collapsed="false">
      <c r="A108" s="17" t="str">
        <f aca="false">IF(Policy!A108="","",Policy!A108)</f>
        <v/>
      </c>
      <c r="B108" s="17" t="str">
        <f aca="false">IF(Policy!A108="","",Policy!B108)</f>
        <v/>
      </c>
      <c r="C108" s="17" t="str">
        <f aca="false">IF(Policy!A108="","",Policy!E108)</f>
        <v/>
      </c>
      <c r="D108" s="18"/>
      <c r="E108" s="19" t="str">
        <f aca="false">IF(A108="","",D108*(F108+H108)/100)</f>
        <v/>
      </c>
      <c r="F108" s="20"/>
      <c r="G108" s="20"/>
      <c r="H108" s="20"/>
      <c r="I108" s="20"/>
      <c r="J108" s="20"/>
      <c r="K108" s="21"/>
      <c r="L108" s="20"/>
      <c r="M108" s="20"/>
      <c r="N108" s="20"/>
      <c r="O108" s="20"/>
    </row>
    <row r="109" customFormat="false" ht="15" hidden="false" customHeight="false" outlineLevel="0" collapsed="false">
      <c r="A109" s="17" t="str">
        <f aca="false">IF(Policy!A109="","",Policy!A109)</f>
        <v/>
      </c>
      <c r="B109" s="17" t="str">
        <f aca="false">IF(Policy!A109="","",Policy!B109)</f>
        <v/>
      </c>
      <c r="C109" s="17" t="str">
        <f aca="false">IF(Policy!A109="","",Policy!E109)</f>
        <v/>
      </c>
      <c r="D109" s="18"/>
      <c r="E109" s="19" t="str">
        <f aca="false">IF(A109="","",D109*(F109+H109)/100)</f>
        <v/>
      </c>
      <c r="F109" s="20"/>
      <c r="G109" s="20"/>
      <c r="H109" s="20"/>
      <c r="I109" s="20"/>
      <c r="J109" s="20"/>
      <c r="K109" s="21"/>
      <c r="L109" s="20"/>
      <c r="M109" s="20"/>
      <c r="N109" s="20"/>
      <c r="O109" s="20"/>
    </row>
    <row r="110" customFormat="false" ht="15" hidden="false" customHeight="false" outlineLevel="0" collapsed="false">
      <c r="A110" s="17" t="str">
        <f aca="false">IF(Policy!A110="","",Policy!A110)</f>
        <v/>
      </c>
      <c r="B110" s="17" t="str">
        <f aca="false">IF(Policy!A110="","",Policy!B110)</f>
        <v/>
      </c>
      <c r="C110" s="17" t="str">
        <f aca="false">IF(Policy!A110="","",Policy!E110)</f>
        <v/>
      </c>
      <c r="D110" s="18"/>
      <c r="E110" s="19" t="str">
        <f aca="false">IF(A110="","",D110*(F110+H110)/100)</f>
        <v/>
      </c>
      <c r="F110" s="20"/>
      <c r="G110" s="20"/>
      <c r="H110" s="20"/>
      <c r="I110" s="20"/>
      <c r="J110" s="20"/>
      <c r="K110" s="21"/>
      <c r="L110" s="20"/>
      <c r="M110" s="20"/>
      <c r="N110" s="20"/>
      <c r="O110" s="20"/>
    </row>
    <row r="111" customFormat="false" ht="15" hidden="false" customHeight="false" outlineLevel="0" collapsed="false">
      <c r="A111" s="17" t="str">
        <f aca="false">IF(Policy!A111="","",Policy!A111)</f>
        <v/>
      </c>
      <c r="B111" s="17" t="str">
        <f aca="false">IF(Policy!A111="","",Policy!B111)</f>
        <v/>
      </c>
      <c r="C111" s="17" t="str">
        <f aca="false">IF(Policy!A111="","",Policy!E111)</f>
        <v/>
      </c>
      <c r="D111" s="18"/>
      <c r="E111" s="19" t="str">
        <f aca="false">IF(A111="","",D111*(F111+H111)/100)</f>
        <v/>
      </c>
      <c r="F111" s="20"/>
      <c r="G111" s="20"/>
      <c r="H111" s="20"/>
      <c r="I111" s="20"/>
      <c r="J111" s="20"/>
      <c r="K111" s="21"/>
      <c r="L111" s="20"/>
      <c r="M111" s="20"/>
      <c r="N111" s="20"/>
      <c r="O111" s="20"/>
    </row>
    <row r="112" customFormat="false" ht="15" hidden="false" customHeight="false" outlineLevel="0" collapsed="false">
      <c r="A112" s="17" t="str">
        <f aca="false">IF(Policy!A112="","",Policy!A112)</f>
        <v/>
      </c>
      <c r="B112" s="17" t="str">
        <f aca="false">IF(Policy!A112="","",Policy!B112)</f>
        <v/>
      </c>
      <c r="C112" s="17" t="str">
        <f aca="false">IF(Policy!A112="","",Policy!E112)</f>
        <v/>
      </c>
      <c r="D112" s="18"/>
      <c r="E112" s="19" t="str">
        <f aca="false">IF(A112="","",D112*(F112+H112)/100)</f>
        <v/>
      </c>
      <c r="F112" s="20"/>
      <c r="G112" s="20"/>
      <c r="H112" s="20"/>
      <c r="I112" s="20"/>
      <c r="J112" s="20"/>
      <c r="K112" s="21"/>
      <c r="L112" s="20"/>
      <c r="M112" s="20"/>
      <c r="N112" s="20"/>
      <c r="O112" s="20"/>
    </row>
    <row r="113" customFormat="false" ht="15" hidden="false" customHeight="false" outlineLevel="0" collapsed="false">
      <c r="A113" s="17" t="str">
        <f aca="false">IF(Policy!A113="","",Policy!A113)</f>
        <v/>
      </c>
      <c r="B113" s="17" t="str">
        <f aca="false">IF(Policy!A113="","",Policy!B113)</f>
        <v/>
      </c>
      <c r="C113" s="17" t="str">
        <f aca="false">IF(Policy!A113="","",Policy!E113)</f>
        <v/>
      </c>
      <c r="D113" s="18"/>
      <c r="E113" s="19" t="str">
        <f aca="false">IF(A113="","",D113*(F113+H113)/100)</f>
        <v/>
      </c>
      <c r="F113" s="20"/>
      <c r="G113" s="20"/>
      <c r="H113" s="20"/>
      <c r="I113" s="20"/>
      <c r="J113" s="20"/>
      <c r="K113" s="21"/>
      <c r="L113" s="20"/>
      <c r="M113" s="20"/>
      <c r="N113" s="20"/>
      <c r="O113" s="20"/>
    </row>
    <row r="114" customFormat="false" ht="15" hidden="false" customHeight="false" outlineLevel="0" collapsed="false">
      <c r="A114" s="17" t="str">
        <f aca="false">IF(Policy!A114="","",Policy!A114)</f>
        <v/>
      </c>
      <c r="B114" s="17" t="str">
        <f aca="false">IF(Policy!A114="","",Policy!B114)</f>
        <v/>
      </c>
      <c r="C114" s="17" t="str">
        <f aca="false">IF(Policy!A114="","",Policy!E114)</f>
        <v/>
      </c>
      <c r="D114" s="18"/>
      <c r="E114" s="19" t="str">
        <f aca="false">IF(A114="","",D114*(F114+H114)/100)</f>
        <v/>
      </c>
      <c r="F114" s="20"/>
      <c r="G114" s="20"/>
      <c r="H114" s="20"/>
      <c r="I114" s="20"/>
      <c r="J114" s="20"/>
      <c r="K114" s="21"/>
      <c r="L114" s="20"/>
      <c r="M114" s="20"/>
      <c r="N114" s="20"/>
      <c r="O114" s="20"/>
    </row>
    <row r="115" customFormat="false" ht="15" hidden="false" customHeight="false" outlineLevel="0" collapsed="false">
      <c r="A115" s="17" t="str">
        <f aca="false">IF(Policy!A115="","",Policy!A115)</f>
        <v/>
      </c>
      <c r="B115" s="17" t="str">
        <f aca="false">IF(Policy!A115="","",Policy!B115)</f>
        <v/>
      </c>
      <c r="C115" s="17" t="str">
        <f aca="false">IF(Policy!A115="","",Policy!E115)</f>
        <v/>
      </c>
      <c r="D115" s="18"/>
      <c r="E115" s="19" t="str">
        <f aca="false">IF(A115="","",D115*(F115+H115)/100)</f>
        <v/>
      </c>
      <c r="F115" s="20"/>
      <c r="G115" s="20"/>
      <c r="H115" s="20"/>
      <c r="I115" s="20"/>
      <c r="J115" s="20"/>
      <c r="K115" s="21"/>
      <c r="L115" s="20"/>
      <c r="M115" s="20"/>
      <c r="N115" s="20"/>
      <c r="O115" s="20"/>
    </row>
    <row r="116" customFormat="false" ht="15" hidden="false" customHeight="false" outlineLevel="0" collapsed="false">
      <c r="A116" s="17" t="str">
        <f aca="false">IF(Policy!A116="","",Policy!A116)</f>
        <v/>
      </c>
      <c r="B116" s="17" t="str">
        <f aca="false">IF(Policy!A116="","",Policy!B116)</f>
        <v/>
      </c>
      <c r="C116" s="17" t="str">
        <f aca="false">IF(Policy!A116="","",Policy!E116)</f>
        <v/>
      </c>
      <c r="D116" s="18"/>
      <c r="E116" s="19" t="str">
        <f aca="false">IF(A116="","",D116*(F116+H116)/100)</f>
        <v/>
      </c>
      <c r="F116" s="20"/>
      <c r="G116" s="20"/>
      <c r="H116" s="20"/>
      <c r="I116" s="20"/>
      <c r="J116" s="20"/>
      <c r="K116" s="21"/>
      <c r="L116" s="20"/>
      <c r="M116" s="20"/>
      <c r="N116" s="20"/>
      <c r="O116" s="20"/>
    </row>
    <row r="117" customFormat="false" ht="15" hidden="false" customHeight="false" outlineLevel="0" collapsed="false">
      <c r="A117" s="17" t="str">
        <f aca="false">IF(Policy!A117="","",Policy!A117)</f>
        <v/>
      </c>
      <c r="B117" s="17" t="str">
        <f aca="false">IF(Policy!A117="","",Policy!B117)</f>
        <v/>
      </c>
      <c r="C117" s="17" t="str">
        <f aca="false">IF(Policy!A117="","",Policy!E117)</f>
        <v/>
      </c>
      <c r="D117" s="18"/>
      <c r="E117" s="19" t="str">
        <f aca="false">IF(A117="","",D117*(F117+H117)/100)</f>
        <v/>
      </c>
      <c r="F117" s="20"/>
      <c r="G117" s="20"/>
      <c r="H117" s="20"/>
      <c r="I117" s="20"/>
      <c r="J117" s="20"/>
      <c r="K117" s="21"/>
      <c r="L117" s="20"/>
      <c r="M117" s="20"/>
      <c r="N117" s="20"/>
      <c r="O117" s="20"/>
    </row>
    <row r="118" customFormat="false" ht="15" hidden="false" customHeight="false" outlineLevel="0" collapsed="false">
      <c r="A118" s="17" t="str">
        <f aca="false">IF(Policy!A118="","",Policy!A118)</f>
        <v/>
      </c>
      <c r="B118" s="17" t="str">
        <f aca="false">IF(Policy!A118="","",Policy!B118)</f>
        <v/>
      </c>
      <c r="C118" s="17" t="str">
        <f aca="false">IF(Policy!A118="","",Policy!E118)</f>
        <v/>
      </c>
      <c r="D118" s="18"/>
      <c r="E118" s="19" t="str">
        <f aca="false">IF(A118="","",D118*(F118+H118)/100)</f>
        <v/>
      </c>
      <c r="F118" s="20"/>
      <c r="G118" s="20"/>
      <c r="H118" s="20"/>
      <c r="I118" s="20"/>
      <c r="J118" s="20"/>
      <c r="K118" s="21"/>
      <c r="L118" s="20"/>
      <c r="M118" s="20"/>
      <c r="N118" s="20"/>
      <c r="O118" s="20"/>
    </row>
    <row r="119" customFormat="false" ht="15" hidden="false" customHeight="false" outlineLevel="0" collapsed="false">
      <c r="A119" s="17" t="str">
        <f aca="false">IF(Policy!A119="","",Policy!A119)</f>
        <v/>
      </c>
      <c r="B119" s="17" t="str">
        <f aca="false">IF(Policy!A119="","",Policy!B119)</f>
        <v/>
      </c>
      <c r="C119" s="17" t="str">
        <f aca="false">IF(Policy!A119="","",Policy!E119)</f>
        <v/>
      </c>
      <c r="D119" s="18"/>
      <c r="E119" s="19" t="str">
        <f aca="false">IF(A119="","",D119*(F119+H119)/100)</f>
        <v/>
      </c>
      <c r="F119" s="20"/>
      <c r="G119" s="20"/>
      <c r="H119" s="20"/>
      <c r="I119" s="20"/>
      <c r="J119" s="20"/>
      <c r="K119" s="21"/>
      <c r="L119" s="20"/>
      <c r="M119" s="20"/>
      <c r="N119" s="20"/>
      <c r="O119" s="20"/>
    </row>
    <row r="120" customFormat="false" ht="15" hidden="false" customHeight="false" outlineLevel="0" collapsed="false">
      <c r="A120" s="17" t="str">
        <f aca="false">IF(Policy!A120="","",Policy!A120)</f>
        <v/>
      </c>
      <c r="B120" s="17" t="str">
        <f aca="false">IF(Policy!A120="","",Policy!B120)</f>
        <v/>
      </c>
      <c r="C120" s="17" t="str">
        <f aca="false">IF(Policy!A120="","",Policy!E120)</f>
        <v/>
      </c>
      <c r="D120" s="18"/>
      <c r="E120" s="19" t="str">
        <f aca="false">IF(A120="","",D120*(F120+H120)/100)</f>
        <v/>
      </c>
      <c r="F120" s="20"/>
      <c r="G120" s="20"/>
      <c r="H120" s="20"/>
      <c r="I120" s="20"/>
      <c r="J120" s="20"/>
      <c r="K120" s="21"/>
      <c r="L120" s="20"/>
      <c r="M120" s="20"/>
      <c r="N120" s="20"/>
      <c r="O120" s="20"/>
    </row>
    <row r="121" customFormat="false" ht="15" hidden="false" customHeight="false" outlineLevel="0" collapsed="false">
      <c r="A121" s="17" t="str">
        <f aca="false">IF(Policy!A121="","",Policy!A121)</f>
        <v/>
      </c>
      <c r="B121" s="17" t="str">
        <f aca="false">IF(Policy!A121="","",Policy!B121)</f>
        <v/>
      </c>
      <c r="C121" s="17" t="str">
        <f aca="false">IF(Policy!A121="","",Policy!E121)</f>
        <v/>
      </c>
      <c r="D121" s="18"/>
      <c r="E121" s="19" t="str">
        <f aca="false">IF(A121="","",D121*(F121+H121)/100)</f>
        <v/>
      </c>
      <c r="F121" s="20"/>
      <c r="G121" s="20"/>
      <c r="H121" s="20"/>
      <c r="I121" s="20"/>
      <c r="J121" s="20"/>
      <c r="K121" s="21"/>
      <c r="L121" s="20"/>
      <c r="M121" s="20"/>
      <c r="N121" s="20"/>
      <c r="O121" s="20"/>
    </row>
    <row r="122" customFormat="false" ht="15" hidden="false" customHeight="false" outlineLevel="0" collapsed="false">
      <c r="A122" s="17" t="str">
        <f aca="false">IF(Policy!A122="","",Policy!A122)</f>
        <v/>
      </c>
      <c r="B122" s="17" t="str">
        <f aca="false">IF(Policy!A122="","",Policy!B122)</f>
        <v/>
      </c>
      <c r="C122" s="17" t="str">
        <f aca="false">IF(Policy!A122="","",Policy!E122)</f>
        <v/>
      </c>
      <c r="D122" s="18"/>
      <c r="E122" s="19" t="str">
        <f aca="false">IF(A122="","",D122*(F122+H122)/100)</f>
        <v/>
      </c>
      <c r="F122" s="20"/>
      <c r="G122" s="20"/>
      <c r="H122" s="20"/>
      <c r="I122" s="20"/>
      <c r="J122" s="20"/>
      <c r="K122" s="21"/>
      <c r="L122" s="20"/>
      <c r="M122" s="20"/>
      <c r="N122" s="20"/>
      <c r="O122" s="20"/>
    </row>
    <row r="123" customFormat="false" ht="15" hidden="false" customHeight="false" outlineLevel="0" collapsed="false">
      <c r="A123" s="17" t="str">
        <f aca="false">IF(Policy!A123="","",Policy!A123)</f>
        <v/>
      </c>
      <c r="B123" s="17" t="str">
        <f aca="false">IF(Policy!A123="","",Policy!B123)</f>
        <v/>
      </c>
      <c r="C123" s="17" t="str">
        <f aca="false">IF(Policy!A123="","",Policy!E123)</f>
        <v/>
      </c>
      <c r="D123" s="18"/>
      <c r="E123" s="19" t="str">
        <f aca="false">IF(A123="","",D123*(F123+H123)/100)</f>
        <v/>
      </c>
      <c r="F123" s="20"/>
      <c r="G123" s="20"/>
      <c r="H123" s="20"/>
      <c r="I123" s="20"/>
      <c r="J123" s="20"/>
      <c r="K123" s="21"/>
      <c r="L123" s="20"/>
      <c r="M123" s="20"/>
      <c r="N123" s="20"/>
      <c r="O123" s="20"/>
    </row>
    <row r="124" customFormat="false" ht="15" hidden="false" customHeight="false" outlineLevel="0" collapsed="false">
      <c r="A124" s="17" t="str">
        <f aca="false">IF(Policy!A124="","",Policy!A124)</f>
        <v/>
      </c>
      <c r="B124" s="17" t="str">
        <f aca="false">IF(Policy!A124="","",Policy!B124)</f>
        <v/>
      </c>
      <c r="C124" s="17" t="str">
        <f aca="false">IF(Policy!A124="","",Policy!E124)</f>
        <v/>
      </c>
      <c r="D124" s="18"/>
      <c r="E124" s="19" t="str">
        <f aca="false">IF(A124="","",D124*(F124+H124)/100)</f>
        <v/>
      </c>
      <c r="F124" s="20"/>
      <c r="G124" s="20"/>
      <c r="H124" s="20"/>
      <c r="I124" s="20"/>
      <c r="J124" s="20"/>
      <c r="K124" s="21"/>
      <c r="L124" s="20"/>
      <c r="M124" s="20"/>
      <c r="N124" s="20"/>
      <c r="O124" s="20"/>
    </row>
    <row r="125" customFormat="false" ht="15" hidden="false" customHeight="false" outlineLevel="0" collapsed="false">
      <c r="A125" s="17" t="str">
        <f aca="false">IF(Policy!A125="","",Policy!A125)</f>
        <v/>
      </c>
      <c r="B125" s="17" t="str">
        <f aca="false">IF(Policy!A125="","",Policy!B125)</f>
        <v/>
      </c>
      <c r="C125" s="17" t="str">
        <f aca="false">IF(Policy!A125="","",Policy!E125)</f>
        <v/>
      </c>
      <c r="D125" s="18"/>
      <c r="E125" s="19" t="str">
        <f aca="false">IF(A125="","",D125*(F125+H125)/100)</f>
        <v/>
      </c>
      <c r="F125" s="20"/>
      <c r="G125" s="20"/>
      <c r="H125" s="20"/>
      <c r="I125" s="20"/>
      <c r="J125" s="20"/>
      <c r="K125" s="21"/>
      <c r="L125" s="20"/>
      <c r="M125" s="20"/>
      <c r="N125" s="20"/>
      <c r="O125" s="20"/>
    </row>
    <row r="126" customFormat="false" ht="15" hidden="false" customHeight="false" outlineLevel="0" collapsed="false">
      <c r="A126" s="17" t="str">
        <f aca="false">IF(Policy!A126="","",Policy!A126)</f>
        <v/>
      </c>
      <c r="B126" s="17" t="str">
        <f aca="false">IF(Policy!A126="","",Policy!B126)</f>
        <v/>
      </c>
      <c r="C126" s="17" t="str">
        <f aca="false">IF(Policy!A126="","",Policy!E126)</f>
        <v/>
      </c>
      <c r="D126" s="18"/>
      <c r="E126" s="19" t="str">
        <f aca="false">IF(A126="","",D126*(F126+H126)/100)</f>
        <v/>
      </c>
      <c r="F126" s="20"/>
      <c r="G126" s="20"/>
      <c r="H126" s="20"/>
      <c r="I126" s="20"/>
      <c r="J126" s="20"/>
      <c r="K126" s="21"/>
      <c r="L126" s="20"/>
      <c r="M126" s="20"/>
      <c r="N126" s="20"/>
      <c r="O126" s="20"/>
    </row>
    <row r="127" customFormat="false" ht="15" hidden="false" customHeight="false" outlineLevel="0" collapsed="false">
      <c r="A127" s="17" t="str">
        <f aca="false">IF(Policy!A127="","",Policy!A127)</f>
        <v/>
      </c>
      <c r="B127" s="17" t="str">
        <f aca="false">IF(Policy!A127="","",Policy!B127)</f>
        <v/>
      </c>
      <c r="C127" s="17" t="str">
        <f aca="false">IF(Policy!A127="","",Policy!E127)</f>
        <v/>
      </c>
      <c r="D127" s="18"/>
      <c r="E127" s="19" t="str">
        <f aca="false">IF(A127="","",D127*(F127+H127)/100)</f>
        <v/>
      </c>
      <c r="F127" s="20"/>
      <c r="G127" s="20"/>
      <c r="H127" s="20"/>
      <c r="I127" s="20"/>
      <c r="J127" s="20"/>
      <c r="K127" s="21"/>
      <c r="L127" s="20"/>
      <c r="M127" s="20"/>
      <c r="N127" s="20"/>
      <c r="O127" s="20"/>
    </row>
    <row r="128" customFormat="false" ht="15" hidden="false" customHeight="false" outlineLevel="0" collapsed="false">
      <c r="A128" s="17" t="str">
        <f aca="false">IF(Policy!A128="","",Policy!A128)</f>
        <v/>
      </c>
      <c r="B128" s="17" t="str">
        <f aca="false">IF(Policy!A128="","",Policy!B128)</f>
        <v/>
      </c>
      <c r="C128" s="17" t="str">
        <f aca="false">IF(Policy!A128="","",Policy!E128)</f>
        <v/>
      </c>
      <c r="D128" s="18"/>
      <c r="E128" s="19" t="str">
        <f aca="false">IF(A128="","",D128*(F128+H128)/100)</f>
        <v/>
      </c>
      <c r="F128" s="20"/>
      <c r="G128" s="20"/>
      <c r="H128" s="20"/>
      <c r="I128" s="20"/>
      <c r="J128" s="20"/>
      <c r="K128" s="21"/>
      <c r="L128" s="20"/>
      <c r="M128" s="20"/>
      <c r="N128" s="20"/>
      <c r="O128" s="20"/>
    </row>
    <row r="129" customFormat="false" ht="15" hidden="false" customHeight="false" outlineLevel="0" collapsed="false">
      <c r="A129" s="17" t="str">
        <f aca="false">IF(Policy!A129="","",Policy!A129)</f>
        <v/>
      </c>
      <c r="B129" s="17" t="str">
        <f aca="false">IF(Policy!A129="","",Policy!B129)</f>
        <v/>
      </c>
      <c r="C129" s="17" t="str">
        <f aca="false">IF(Policy!A129="","",Policy!E129)</f>
        <v/>
      </c>
      <c r="D129" s="18"/>
      <c r="E129" s="19" t="str">
        <f aca="false">IF(A129="","",D129*(F129+H129)/100)</f>
        <v/>
      </c>
      <c r="F129" s="20"/>
      <c r="G129" s="20"/>
      <c r="H129" s="20"/>
      <c r="I129" s="20"/>
      <c r="J129" s="20"/>
      <c r="K129" s="21"/>
      <c r="L129" s="20"/>
      <c r="M129" s="20"/>
      <c r="N129" s="20"/>
      <c r="O129" s="20"/>
    </row>
    <row r="130" customFormat="false" ht="15" hidden="false" customHeight="false" outlineLevel="0" collapsed="false">
      <c r="A130" s="17" t="str">
        <f aca="false">IF(Policy!A130="","",Policy!A130)</f>
        <v/>
      </c>
      <c r="B130" s="17" t="str">
        <f aca="false">IF(Policy!A130="","",Policy!B130)</f>
        <v/>
      </c>
      <c r="C130" s="17" t="str">
        <f aca="false">IF(Policy!A130="","",Policy!E130)</f>
        <v/>
      </c>
      <c r="D130" s="18"/>
      <c r="E130" s="19" t="str">
        <f aca="false">IF(A130="","",D130*(F130+H130)/100)</f>
        <v/>
      </c>
      <c r="F130" s="20"/>
      <c r="G130" s="20"/>
      <c r="H130" s="20"/>
      <c r="I130" s="20"/>
      <c r="J130" s="20"/>
      <c r="K130" s="21"/>
      <c r="L130" s="20"/>
      <c r="M130" s="20"/>
      <c r="N130" s="20"/>
      <c r="O130" s="20"/>
    </row>
    <row r="131" customFormat="false" ht="15" hidden="false" customHeight="false" outlineLevel="0" collapsed="false">
      <c r="A131" s="17" t="str">
        <f aca="false">IF(Policy!A131="","",Policy!A131)</f>
        <v/>
      </c>
      <c r="B131" s="17" t="str">
        <f aca="false">IF(Policy!A131="","",Policy!B131)</f>
        <v/>
      </c>
      <c r="C131" s="17" t="str">
        <f aca="false">IF(Policy!A131="","",Policy!E131)</f>
        <v/>
      </c>
      <c r="D131" s="18"/>
      <c r="E131" s="19" t="str">
        <f aca="false">IF(A131="","",D131*(F131+H131)/100)</f>
        <v/>
      </c>
      <c r="F131" s="20"/>
      <c r="G131" s="20"/>
      <c r="H131" s="20"/>
      <c r="I131" s="20"/>
      <c r="J131" s="20"/>
      <c r="K131" s="21"/>
      <c r="L131" s="20"/>
      <c r="M131" s="20"/>
      <c r="N131" s="20"/>
      <c r="O131" s="20"/>
    </row>
    <row r="132" customFormat="false" ht="15" hidden="false" customHeight="false" outlineLevel="0" collapsed="false">
      <c r="A132" s="17" t="str">
        <f aca="false">IF(Policy!A132="","",Policy!A132)</f>
        <v/>
      </c>
      <c r="B132" s="17" t="str">
        <f aca="false">IF(Policy!A132="","",Policy!B132)</f>
        <v/>
      </c>
      <c r="C132" s="17" t="str">
        <f aca="false">IF(Policy!A132="","",Policy!E132)</f>
        <v/>
      </c>
      <c r="D132" s="18"/>
      <c r="E132" s="19" t="str">
        <f aca="false">IF(A132="","",D132*(F132+H132)/100)</f>
        <v/>
      </c>
      <c r="F132" s="20"/>
      <c r="G132" s="20"/>
      <c r="H132" s="20"/>
      <c r="I132" s="20"/>
      <c r="J132" s="20"/>
      <c r="K132" s="21"/>
      <c r="L132" s="20"/>
      <c r="M132" s="20"/>
      <c r="N132" s="20"/>
      <c r="O132" s="20"/>
    </row>
    <row r="133" customFormat="false" ht="15" hidden="false" customHeight="false" outlineLevel="0" collapsed="false">
      <c r="A133" s="17" t="str">
        <f aca="false">IF(Policy!A133="","",Policy!A133)</f>
        <v/>
      </c>
      <c r="B133" s="17" t="str">
        <f aca="false">IF(Policy!A133="","",Policy!B133)</f>
        <v/>
      </c>
      <c r="C133" s="17" t="str">
        <f aca="false">IF(Policy!A133="","",Policy!E133)</f>
        <v/>
      </c>
      <c r="D133" s="18"/>
      <c r="E133" s="19" t="str">
        <f aca="false">IF(A133="","",D133*(F133+H133)/100)</f>
        <v/>
      </c>
      <c r="F133" s="20"/>
      <c r="G133" s="20"/>
      <c r="H133" s="20"/>
      <c r="I133" s="20"/>
      <c r="J133" s="20"/>
      <c r="K133" s="21"/>
      <c r="L133" s="20"/>
      <c r="M133" s="20"/>
      <c r="N133" s="20"/>
      <c r="O133" s="20"/>
    </row>
    <row r="134" customFormat="false" ht="15" hidden="false" customHeight="false" outlineLevel="0" collapsed="false">
      <c r="A134" s="17" t="str">
        <f aca="false">IF(Policy!A134="","",Policy!A134)</f>
        <v/>
      </c>
      <c r="B134" s="17" t="str">
        <f aca="false">IF(Policy!A134="","",Policy!B134)</f>
        <v/>
      </c>
      <c r="C134" s="17" t="str">
        <f aca="false">IF(Policy!A134="","",Policy!E134)</f>
        <v/>
      </c>
      <c r="D134" s="18"/>
      <c r="E134" s="19" t="str">
        <f aca="false">IF(A134="","",D134*(F134+H134)/100)</f>
        <v/>
      </c>
      <c r="F134" s="20"/>
      <c r="G134" s="20"/>
      <c r="H134" s="20"/>
      <c r="I134" s="20"/>
      <c r="J134" s="20"/>
      <c r="K134" s="21"/>
      <c r="L134" s="20"/>
      <c r="M134" s="20"/>
      <c r="N134" s="20"/>
      <c r="O134" s="20"/>
    </row>
    <row r="135" customFormat="false" ht="15" hidden="false" customHeight="false" outlineLevel="0" collapsed="false">
      <c r="A135" s="17" t="str">
        <f aca="false">IF(Policy!A135="","",Policy!A135)</f>
        <v/>
      </c>
      <c r="B135" s="17" t="str">
        <f aca="false">IF(Policy!A135="","",Policy!B135)</f>
        <v/>
      </c>
      <c r="C135" s="17" t="str">
        <f aca="false">IF(Policy!A135="","",Policy!E135)</f>
        <v/>
      </c>
      <c r="D135" s="18"/>
      <c r="E135" s="19" t="str">
        <f aca="false">IF(A135="","",D135*(F135+H135)/100)</f>
        <v/>
      </c>
      <c r="F135" s="20"/>
      <c r="G135" s="20"/>
      <c r="H135" s="20"/>
      <c r="I135" s="20"/>
      <c r="J135" s="20"/>
      <c r="K135" s="21"/>
      <c r="L135" s="20"/>
      <c r="M135" s="20"/>
      <c r="N135" s="20"/>
      <c r="O135" s="20"/>
    </row>
    <row r="136" customFormat="false" ht="15" hidden="false" customHeight="false" outlineLevel="0" collapsed="false">
      <c r="A136" s="17" t="str">
        <f aca="false">IF(Policy!A136="","",Policy!A136)</f>
        <v/>
      </c>
      <c r="B136" s="17" t="str">
        <f aca="false">IF(Policy!A136="","",Policy!B136)</f>
        <v/>
      </c>
      <c r="C136" s="17" t="str">
        <f aca="false">IF(Policy!A136="","",Policy!E136)</f>
        <v/>
      </c>
      <c r="D136" s="18"/>
      <c r="E136" s="19" t="str">
        <f aca="false">IF(A136="","",D136*(F136+H136)/100)</f>
        <v/>
      </c>
      <c r="F136" s="20"/>
      <c r="G136" s="20"/>
      <c r="H136" s="20"/>
      <c r="I136" s="20"/>
      <c r="J136" s="20"/>
      <c r="K136" s="21"/>
      <c r="L136" s="20"/>
      <c r="M136" s="20"/>
      <c r="N136" s="20"/>
      <c r="O136" s="20"/>
    </row>
    <row r="137" customFormat="false" ht="15" hidden="false" customHeight="false" outlineLevel="0" collapsed="false">
      <c r="A137" s="17" t="str">
        <f aca="false">IF(Policy!A137="","",Policy!A137)</f>
        <v/>
      </c>
      <c r="B137" s="17" t="str">
        <f aca="false">IF(Policy!A137="","",Policy!B137)</f>
        <v/>
      </c>
      <c r="C137" s="17" t="str">
        <f aca="false">IF(Policy!A137="","",Policy!E137)</f>
        <v/>
      </c>
      <c r="D137" s="18"/>
      <c r="E137" s="19" t="str">
        <f aca="false">IF(A137="","",D137*(F137+H137)/100)</f>
        <v/>
      </c>
      <c r="F137" s="20"/>
      <c r="G137" s="20"/>
      <c r="H137" s="20"/>
      <c r="I137" s="20"/>
      <c r="J137" s="20"/>
      <c r="K137" s="21"/>
      <c r="L137" s="20"/>
      <c r="M137" s="20"/>
      <c r="N137" s="20"/>
      <c r="O137" s="20"/>
    </row>
    <row r="138" customFormat="false" ht="15" hidden="false" customHeight="false" outlineLevel="0" collapsed="false">
      <c r="A138" s="17" t="str">
        <f aca="false">IF(Policy!A138="","",Policy!A138)</f>
        <v/>
      </c>
      <c r="B138" s="17" t="str">
        <f aca="false">IF(Policy!A138="","",Policy!B138)</f>
        <v/>
      </c>
      <c r="C138" s="17" t="str">
        <f aca="false">IF(Policy!A138="","",Policy!E138)</f>
        <v/>
      </c>
      <c r="D138" s="18"/>
      <c r="E138" s="19" t="str">
        <f aca="false">IF(A138="","",D138*(F138+H138)/100)</f>
        <v/>
      </c>
      <c r="F138" s="20"/>
      <c r="G138" s="20"/>
      <c r="H138" s="20"/>
      <c r="I138" s="20"/>
      <c r="J138" s="20"/>
      <c r="K138" s="21"/>
      <c r="L138" s="20"/>
      <c r="M138" s="20"/>
      <c r="N138" s="20"/>
      <c r="O138" s="20"/>
    </row>
    <row r="139" customFormat="false" ht="15" hidden="false" customHeight="false" outlineLevel="0" collapsed="false">
      <c r="A139" s="17" t="str">
        <f aca="false">IF(Policy!A139="","",Policy!A139)</f>
        <v/>
      </c>
      <c r="B139" s="17" t="str">
        <f aca="false">IF(Policy!A139="","",Policy!B139)</f>
        <v/>
      </c>
      <c r="C139" s="17" t="str">
        <f aca="false">IF(Policy!A139="","",Policy!E139)</f>
        <v/>
      </c>
      <c r="D139" s="18"/>
      <c r="E139" s="19" t="str">
        <f aca="false">IF(A139="","",D139*(F139+H139)/100)</f>
        <v/>
      </c>
      <c r="F139" s="20"/>
      <c r="G139" s="20"/>
      <c r="H139" s="20"/>
      <c r="I139" s="20"/>
      <c r="J139" s="20"/>
      <c r="K139" s="21"/>
      <c r="L139" s="20"/>
      <c r="M139" s="20"/>
      <c r="N139" s="20"/>
      <c r="O139" s="20"/>
    </row>
    <row r="140" customFormat="false" ht="15" hidden="false" customHeight="false" outlineLevel="0" collapsed="false">
      <c r="A140" s="17" t="str">
        <f aca="false">IF(Policy!A140="","",Policy!A140)</f>
        <v/>
      </c>
      <c r="B140" s="17" t="str">
        <f aca="false">IF(Policy!A140="","",Policy!B140)</f>
        <v/>
      </c>
      <c r="C140" s="17" t="str">
        <f aca="false">IF(Policy!A140="","",Policy!E140)</f>
        <v/>
      </c>
      <c r="D140" s="18"/>
      <c r="E140" s="19" t="str">
        <f aca="false">IF(A140="","",D140*(F140+H140)/100)</f>
        <v/>
      </c>
      <c r="F140" s="20"/>
      <c r="G140" s="20"/>
      <c r="H140" s="20"/>
      <c r="I140" s="20"/>
      <c r="J140" s="20"/>
      <c r="K140" s="21"/>
      <c r="L140" s="20"/>
      <c r="M140" s="20"/>
      <c r="N140" s="20"/>
      <c r="O140" s="20"/>
    </row>
    <row r="141" customFormat="false" ht="15" hidden="false" customHeight="false" outlineLevel="0" collapsed="false">
      <c r="A141" s="17" t="str">
        <f aca="false">IF(Policy!A141="","",Policy!A141)</f>
        <v/>
      </c>
      <c r="B141" s="17" t="str">
        <f aca="false">IF(Policy!A141="","",Policy!B141)</f>
        <v/>
      </c>
      <c r="C141" s="17" t="str">
        <f aca="false">IF(Policy!A141="","",Policy!E141)</f>
        <v/>
      </c>
      <c r="D141" s="18"/>
      <c r="E141" s="19" t="str">
        <f aca="false">IF(A141="","",D141*(F141+H141)/100)</f>
        <v/>
      </c>
      <c r="F141" s="20"/>
      <c r="G141" s="20"/>
      <c r="H141" s="20"/>
      <c r="I141" s="20"/>
      <c r="J141" s="20"/>
      <c r="K141" s="21"/>
      <c r="L141" s="20"/>
      <c r="M141" s="20"/>
      <c r="N141" s="20"/>
      <c r="O141" s="20"/>
    </row>
    <row r="142" customFormat="false" ht="15" hidden="false" customHeight="false" outlineLevel="0" collapsed="false">
      <c r="A142" s="17" t="str">
        <f aca="false">IF(Policy!A142="","",Policy!A142)</f>
        <v/>
      </c>
      <c r="B142" s="17" t="str">
        <f aca="false">IF(Policy!A142="","",Policy!B142)</f>
        <v/>
      </c>
      <c r="C142" s="17" t="str">
        <f aca="false">IF(Policy!A142="","",Policy!E142)</f>
        <v/>
      </c>
      <c r="D142" s="18"/>
      <c r="E142" s="19" t="str">
        <f aca="false">IF(A142="","",D142*(F142+H142)/100)</f>
        <v/>
      </c>
      <c r="F142" s="20"/>
      <c r="G142" s="20"/>
      <c r="H142" s="20"/>
      <c r="I142" s="20"/>
      <c r="J142" s="20"/>
      <c r="K142" s="21"/>
      <c r="L142" s="20"/>
      <c r="M142" s="20"/>
      <c r="N142" s="20"/>
      <c r="O142" s="20"/>
    </row>
    <row r="143" customFormat="false" ht="15" hidden="false" customHeight="false" outlineLevel="0" collapsed="false">
      <c r="A143" s="17" t="str">
        <f aca="false">IF(Policy!A143="","",Policy!A143)</f>
        <v/>
      </c>
      <c r="B143" s="17" t="str">
        <f aca="false">IF(Policy!A143="","",Policy!B143)</f>
        <v/>
      </c>
      <c r="C143" s="17" t="str">
        <f aca="false">IF(Policy!A143="","",Policy!E143)</f>
        <v/>
      </c>
      <c r="D143" s="18"/>
      <c r="E143" s="19" t="str">
        <f aca="false">IF(A143="","",D143*(F143+H143)/100)</f>
        <v/>
      </c>
      <c r="F143" s="20"/>
      <c r="G143" s="20"/>
      <c r="H143" s="20"/>
      <c r="I143" s="20"/>
      <c r="J143" s="20"/>
      <c r="K143" s="21"/>
      <c r="L143" s="20"/>
      <c r="M143" s="20"/>
      <c r="N143" s="20"/>
      <c r="O143" s="20"/>
    </row>
    <row r="144" customFormat="false" ht="15" hidden="false" customHeight="false" outlineLevel="0" collapsed="false">
      <c r="A144" s="17" t="str">
        <f aca="false">IF(Policy!A144="","",Policy!A144)</f>
        <v/>
      </c>
      <c r="B144" s="17" t="str">
        <f aca="false">IF(Policy!A144="","",Policy!B144)</f>
        <v/>
      </c>
      <c r="C144" s="17" t="str">
        <f aca="false">IF(Policy!A144="","",Policy!E144)</f>
        <v/>
      </c>
      <c r="D144" s="18"/>
      <c r="E144" s="19" t="str">
        <f aca="false">IF(A144="","",D144*(F144+H144)/100)</f>
        <v/>
      </c>
      <c r="F144" s="20"/>
      <c r="G144" s="20"/>
      <c r="H144" s="20"/>
      <c r="I144" s="20"/>
      <c r="J144" s="20"/>
      <c r="K144" s="21"/>
      <c r="L144" s="20"/>
      <c r="M144" s="20"/>
      <c r="N144" s="20"/>
      <c r="O144" s="20"/>
    </row>
    <row r="145" customFormat="false" ht="15" hidden="false" customHeight="false" outlineLevel="0" collapsed="false">
      <c r="A145" s="17" t="str">
        <f aca="false">IF(Policy!A145="","",Policy!A145)</f>
        <v/>
      </c>
      <c r="B145" s="17" t="str">
        <f aca="false">IF(Policy!A145="","",Policy!B145)</f>
        <v/>
      </c>
      <c r="C145" s="17" t="str">
        <f aca="false">IF(Policy!A145="","",Policy!E145)</f>
        <v/>
      </c>
      <c r="D145" s="18"/>
      <c r="E145" s="19" t="str">
        <f aca="false">IF(A145="","",D145*(F145+H145)/100)</f>
        <v/>
      </c>
      <c r="F145" s="20"/>
      <c r="G145" s="20"/>
      <c r="H145" s="20"/>
      <c r="I145" s="20"/>
      <c r="J145" s="20"/>
      <c r="K145" s="21"/>
      <c r="L145" s="20"/>
      <c r="M145" s="20"/>
      <c r="N145" s="20"/>
      <c r="O145" s="20"/>
    </row>
    <row r="146" customFormat="false" ht="15" hidden="false" customHeight="false" outlineLevel="0" collapsed="false">
      <c r="A146" s="17" t="str">
        <f aca="false">IF(Policy!A146="","",Policy!A146)</f>
        <v/>
      </c>
      <c r="B146" s="17" t="str">
        <f aca="false">IF(Policy!A146="","",Policy!B146)</f>
        <v/>
      </c>
      <c r="C146" s="17" t="str">
        <f aca="false">IF(Policy!A146="","",Policy!E146)</f>
        <v/>
      </c>
      <c r="D146" s="18"/>
      <c r="E146" s="19" t="str">
        <f aca="false">IF(A146="","",D146*(F146+H146)/100)</f>
        <v/>
      </c>
      <c r="F146" s="20"/>
      <c r="G146" s="20"/>
      <c r="H146" s="20"/>
      <c r="I146" s="20"/>
      <c r="J146" s="20"/>
      <c r="K146" s="21"/>
      <c r="L146" s="20"/>
      <c r="M146" s="20"/>
      <c r="N146" s="20"/>
      <c r="O146" s="20"/>
    </row>
    <row r="147" customFormat="false" ht="15" hidden="false" customHeight="false" outlineLevel="0" collapsed="false">
      <c r="A147" s="17" t="str">
        <f aca="false">IF(Policy!A147="","",Policy!A147)</f>
        <v/>
      </c>
      <c r="B147" s="17" t="str">
        <f aca="false">IF(Policy!A147="","",Policy!B147)</f>
        <v/>
      </c>
      <c r="C147" s="17" t="str">
        <f aca="false">IF(Policy!A147="","",Policy!E147)</f>
        <v/>
      </c>
      <c r="D147" s="18"/>
      <c r="E147" s="19" t="str">
        <f aca="false">IF(A147="","",D147*(F147+H147)/100)</f>
        <v/>
      </c>
      <c r="F147" s="20"/>
      <c r="G147" s="20"/>
      <c r="H147" s="20"/>
      <c r="I147" s="20"/>
      <c r="J147" s="20"/>
      <c r="K147" s="21"/>
      <c r="L147" s="20"/>
      <c r="M147" s="20"/>
      <c r="N147" s="20"/>
      <c r="O147" s="20"/>
    </row>
    <row r="148" customFormat="false" ht="15" hidden="false" customHeight="false" outlineLevel="0" collapsed="false">
      <c r="A148" s="17" t="str">
        <f aca="false">IF(Policy!A148="","",Policy!A148)</f>
        <v/>
      </c>
      <c r="B148" s="17" t="str">
        <f aca="false">IF(Policy!A148="","",Policy!B148)</f>
        <v/>
      </c>
      <c r="C148" s="17" t="str">
        <f aca="false">IF(Policy!A148="","",Policy!E148)</f>
        <v/>
      </c>
      <c r="D148" s="18"/>
      <c r="E148" s="19" t="str">
        <f aca="false">IF(A148="","",D148*(F148+H148)/100)</f>
        <v/>
      </c>
      <c r="F148" s="20"/>
      <c r="G148" s="20"/>
      <c r="H148" s="20"/>
      <c r="I148" s="20"/>
      <c r="J148" s="20"/>
      <c r="K148" s="21"/>
      <c r="L148" s="20"/>
      <c r="M148" s="20"/>
      <c r="N148" s="20"/>
      <c r="O148" s="20"/>
    </row>
    <row r="149" customFormat="false" ht="15" hidden="false" customHeight="false" outlineLevel="0" collapsed="false">
      <c r="A149" s="17" t="str">
        <f aca="false">IF(Policy!A149="","",Policy!A149)</f>
        <v/>
      </c>
      <c r="B149" s="17" t="str">
        <f aca="false">IF(Policy!A149="","",Policy!B149)</f>
        <v/>
      </c>
      <c r="C149" s="17" t="str">
        <f aca="false">IF(Policy!A149="","",Policy!E149)</f>
        <v/>
      </c>
      <c r="D149" s="18"/>
      <c r="E149" s="19" t="str">
        <f aca="false">IF(A149="","",D149*(F149+H149)/100)</f>
        <v/>
      </c>
      <c r="F149" s="20"/>
      <c r="G149" s="20"/>
      <c r="H149" s="20"/>
      <c r="I149" s="20"/>
      <c r="J149" s="20"/>
      <c r="K149" s="21"/>
      <c r="L149" s="20"/>
      <c r="M149" s="20"/>
      <c r="N149" s="20"/>
      <c r="O149" s="20"/>
    </row>
    <row r="150" customFormat="false" ht="15" hidden="false" customHeight="false" outlineLevel="0" collapsed="false">
      <c r="A150" s="17" t="str">
        <f aca="false">IF(Policy!A150="","",Policy!A150)</f>
        <v/>
      </c>
      <c r="B150" s="17" t="str">
        <f aca="false">IF(Policy!A150="","",Policy!B150)</f>
        <v/>
      </c>
      <c r="C150" s="17" t="str">
        <f aca="false">IF(Policy!A150="","",Policy!E150)</f>
        <v/>
      </c>
      <c r="D150" s="18"/>
      <c r="E150" s="19" t="str">
        <f aca="false">IF(A150="","",D150*(F150+H150)/100)</f>
        <v/>
      </c>
      <c r="F150" s="20"/>
      <c r="G150" s="20"/>
      <c r="H150" s="20"/>
      <c r="I150" s="20"/>
      <c r="J150" s="20"/>
      <c r="K150" s="21"/>
      <c r="L150" s="20"/>
      <c r="M150" s="20"/>
      <c r="N150" s="20"/>
      <c r="O150" s="20"/>
    </row>
    <row r="151" customFormat="false" ht="15" hidden="false" customHeight="false" outlineLevel="0" collapsed="false">
      <c r="A151" s="17" t="str">
        <f aca="false">IF(Policy!A151="","",Policy!A151)</f>
        <v/>
      </c>
      <c r="B151" s="17" t="str">
        <f aca="false">IF(Policy!A151="","",Policy!B151)</f>
        <v/>
      </c>
      <c r="C151" s="17" t="str">
        <f aca="false">IF(Policy!A151="","",Policy!E151)</f>
        <v/>
      </c>
      <c r="D151" s="18"/>
      <c r="E151" s="19" t="str">
        <f aca="false">IF(A151="","",D151*(F151+H151)/100)</f>
        <v/>
      </c>
      <c r="F151" s="20"/>
      <c r="G151" s="20"/>
      <c r="H151" s="20"/>
      <c r="I151" s="20"/>
      <c r="J151" s="20"/>
      <c r="K151" s="21"/>
      <c r="L151" s="20"/>
      <c r="M151" s="20"/>
      <c r="N151" s="20"/>
      <c r="O151" s="20"/>
    </row>
    <row r="152" customFormat="false" ht="15" hidden="false" customHeight="false" outlineLevel="0" collapsed="false">
      <c r="A152" s="17" t="str">
        <f aca="false">IF(Policy!A152="","",Policy!A152)</f>
        <v/>
      </c>
      <c r="B152" s="17" t="str">
        <f aca="false">IF(Policy!A152="","",Policy!B152)</f>
        <v/>
      </c>
      <c r="C152" s="17" t="str">
        <f aca="false">IF(Policy!A152="","",Policy!E152)</f>
        <v/>
      </c>
      <c r="D152" s="18"/>
      <c r="E152" s="19" t="str">
        <f aca="false">IF(A152="","",D152*(F152+H152)/100)</f>
        <v/>
      </c>
      <c r="F152" s="20"/>
      <c r="G152" s="20"/>
      <c r="H152" s="20"/>
      <c r="I152" s="20"/>
      <c r="J152" s="20"/>
      <c r="K152" s="21"/>
      <c r="L152" s="20"/>
      <c r="M152" s="20"/>
      <c r="N152" s="20"/>
      <c r="O152" s="20"/>
    </row>
    <row r="153" customFormat="false" ht="15" hidden="false" customHeight="false" outlineLevel="0" collapsed="false">
      <c r="A153" s="17" t="str">
        <f aca="false">IF(Policy!A153="","",Policy!A153)</f>
        <v/>
      </c>
      <c r="B153" s="17" t="str">
        <f aca="false">IF(Policy!A153="","",Policy!B153)</f>
        <v/>
      </c>
      <c r="C153" s="17" t="str">
        <f aca="false">IF(Policy!A153="","",Policy!E153)</f>
        <v/>
      </c>
      <c r="D153" s="18"/>
      <c r="E153" s="19" t="str">
        <f aca="false">IF(A153="","",D153*(F153+H153)/100)</f>
        <v/>
      </c>
      <c r="F153" s="20"/>
      <c r="G153" s="20"/>
      <c r="H153" s="20"/>
      <c r="I153" s="20"/>
      <c r="J153" s="20"/>
      <c r="K153" s="21"/>
      <c r="L153" s="20"/>
      <c r="M153" s="20"/>
      <c r="N153" s="20"/>
      <c r="O153" s="20"/>
    </row>
    <row r="154" customFormat="false" ht="15" hidden="false" customHeight="false" outlineLevel="0" collapsed="false">
      <c r="A154" s="17" t="str">
        <f aca="false">IF(Policy!A154="","",Policy!A154)</f>
        <v/>
      </c>
      <c r="B154" s="17" t="str">
        <f aca="false">IF(Policy!A154="","",Policy!B154)</f>
        <v/>
      </c>
      <c r="C154" s="17" t="str">
        <f aca="false">IF(Policy!A154="","",Policy!E154)</f>
        <v/>
      </c>
      <c r="D154" s="18"/>
      <c r="E154" s="19" t="str">
        <f aca="false">IF(A154="","",D154*(F154+H154)/100)</f>
        <v/>
      </c>
      <c r="F154" s="20"/>
      <c r="G154" s="20"/>
      <c r="H154" s="20"/>
      <c r="I154" s="20"/>
      <c r="J154" s="20"/>
      <c r="K154" s="21"/>
      <c r="L154" s="20"/>
      <c r="M154" s="20"/>
      <c r="N154" s="20"/>
      <c r="O154" s="20"/>
    </row>
    <row r="155" customFormat="false" ht="15" hidden="false" customHeight="false" outlineLevel="0" collapsed="false">
      <c r="A155" s="17" t="str">
        <f aca="false">IF(Policy!A155="","",Policy!A155)</f>
        <v/>
      </c>
      <c r="B155" s="17" t="str">
        <f aca="false">IF(Policy!A155="","",Policy!B155)</f>
        <v/>
      </c>
      <c r="C155" s="17" t="str">
        <f aca="false">IF(Policy!A155="","",Policy!E155)</f>
        <v/>
      </c>
      <c r="D155" s="18"/>
      <c r="E155" s="19" t="str">
        <f aca="false">IF(A155="","",D155*(F155+H155)/100)</f>
        <v/>
      </c>
      <c r="F155" s="20"/>
      <c r="G155" s="20"/>
      <c r="H155" s="20"/>
      <c r="I155" s="20"/>
      <c r="J155" s="20"/>
      <c r="K155" s="21"/>
      <c r="L155" s="20"/>
      <c r="M155" s="20"/>
      <c r="N155" s="20"/>
      <c r="O155" s="20"/>
    </row>
    <row r="156" customFormat="false" ht="15" hidden="false" customHeight="false" outlineLevel="0" collapsed="false">
      <c r="A156" s="17" t="str">
        <f aca="false">IF(Policy!A156="","",Policy!A156)</f>
        <v/>
      </c>
      <c r="B156" s="17" t="str">
        <f aca="false">IF(Policy!A156="","",Policy!B156)</f>
        <v/>
      </c>
      <c r="C156" s="17" t="str">
        <f aca="false">IF(Policy!A156="","",Policy!E156)</f>
        <v/>
      </c>
      <c r="D156" s="18"/>
      <c r="E156" s="19" t="str">
        <f aca="false">IF(A156="","",D156*(F156+H156)/100)</f>
        <v/>
      </c>
      <c r="F156" s="20"/>
      <c r="G156" s="20"/>
      <c r="H156" s="20"/>
      <c r="I156" s="20"/>
      <c r="J156" s="20"/>
      <c r="K156" s="21"/>
      <c r="L156" s="20"/>
      <c r="M156" s="20"/>
      <c r="N156" s="20"/>
      <c r="O156" s="20"/>
    </row>
    <row r="157" customFormat="false" ht="15" hidden="false" customHeight="false" outlineLevel="0" collapsed="false">
      <c r="A157" s="17" t="str">
        <f aca="false">IF(Policy!A157="","",Policy!A157)</f>
        <v/>
      </c>
      <c r="B157" s="17" t="str">
        <f aca="false">IF(Policy!A157="","",Policy!B157)</f>
        <v/>
      </c>
      <c r="C157" s="17" t="str">
        <f aca="false">IF(Policy!A157="","",Policy!E157)</f>
        <v/>
      </c>
      <c r="D157" s="18"/>
      <c r="E157" s="19" t="str">
        <f aca="false">IF(A157="","",D157*(F157+H157)/100)</f>
        <v/>
      </c>
      <c r="F157" s="20"/>
      <c r="G157" s="20"/>
      <c r="H157" s="20"/>
      <c r="I157" s="20"/>
      <c r="J157" s="20"/>
      <c r="K157" s="21"/>
      <c r="L157" s="20"/>
      <c r="M157" s="20"/>
      <c r="N157" s="20"/>
      <c r="O157" s="20"/>
    </row>
    <row r="158" customFormat="false" ht="15" hidden="false" customHeight="false" outlineLevel="0" collapsed="false">
      <c r="A158" s="17" t="str">
        <f aca="false">IF(Policy!A158="","",Policy!A158)</f>
        <v/>
      </c>
      <c r="B158" s="17" t="str">
        <f aca="false">IF(Policy!A158="","",Policy!B158)</f>
        <v/>
      </c>
      <c r="C158" s="17" t="str">
        <f aca="false">IF(Policy!A158="","",Policy!E158)</f>
        <v/>
      </c>
      <c r="D158" s="18"/>
      <c r="E158" s="19" t="str">
        <f aca="false">IF(A158="","",D158*(F158+H158)/100)</f>
        <v/>
      </c>
      <c r="F158" s="20"/>
      <c r="G158" s="20"/>
      <c r="H158" s="20"/>
      <c r="I158" s="20"/>
      <c r="J158" s="20"/>
      <c r="K158" s="21"/>
      <c r="L158" s="20"/>
      <c r="M158" s="20"/>
      <c r="N158" s="20"/>
      <c r="O158" s="20"/>
    </row>
    <row r="159" customFormat="false" ht="15" hidden="false" customHeight="false" outlineLevel="0" collapsed="false">
      <c r="A159" s="17" t="str">
        <f aca="false">IF(Policy!A159="","",Policy!A159)</f>
        <v/>
      </c>
      <c r="B159" s="17" t="str">
        <f aca="false">IF(Policy!A159="","",Policy!B159)</f>
        <v/>
      </c>
      <c r="C159" s="17" t="str">
        <f aca="false">IF(Policy!A159="","",Policy!E159)</f>
        <v/>
      </c>
      <c r="D159" s="18"/>
      <c r="E159" s="19" t="str">
        <f aca="false">IF(A159="","",D159*(F159+H159)/100)</f>
        <v/>
      </c>
      <c r="F159" s="20"/>
      <c r="G159" s="20"/>
      <c r="H159" s="20"/>
      <c r="I159" s="20"/>
      <c r="J159" s="20"/>
      <c r="K159" s="21"/>
      <c r="L159" s="20"/>
      <c r="M159" s="20"/>
      <c r="N159" s="20"/>
      <c r="O159" s="20"/>
    </row>
    <row r="160" customFormat="false" ht="15" hidden="false" customHeight="false" outlineLevel="0" collapsed="false">
      <c r="A160" s="17" t="str">
        <f aca="false">IF(Policy!A160="","",Policy!A160)</f>
        <v/>
      </c>
      <c r="B160" s="17" t="str">
        <f aca="false">IF(Policy!A160="","",Policy!B160)</f>
        <v/>
      </c>
      <c r="C160" s="17" t="str">
        <f aca="false">IF(Policy!A160="","",Policy!E160)</f>
        <v/>
      </c>
      <c r="D160" s="18"/>
      <c r="E160" s="19" t="str">
        <f aca="false">IF(A160="","",D160*(F160+H160)/100)</f>
        <v/>
      </c>
      <c r="F160" s="20"/>
      <c r="G160" s="20"/>
      <c r="H160" s="20"/>
      <c r="I160" s="20"/>
      <c r="J160" s="20"/>
      <c r="K160" s="21"/>
      <c r="L160" s="20"/>
      <c r="M160" s="20"/>
      <c r="N160" s="20"/>
      <c r="O160" s="20"/>
    </row>
    <row r="161" customFormat="false" ht="15" hidden="false" customHeight="false" outlineLevel="0" collapsed="false">
      <c r="A161" s="17" t="str">
        <f aca="false">IF(Policy!A161="","",Policy!A161)</f>
        <v/>
      </c>
      <c r="B161" s="17" t="str">
        <f aca="false">IF(Policy!A161="","",Policy!B161)</f>
        <v/>
      </c>
      <c r="C161" s="17" t="str">
        <f aca="false">IF(Policy!A161="","",Policy!E161)</f>
        <v/>
      </c>
      <c r="D161" s="18"/>
      <c r="E161" s="19" t="str">
        <f aca="false">IF(A161="","",D161*(F161+H161)/100)</f>
        <v/>
      </c>
      <c r="F161" s="20"/>
      <c r="G161" s="20"/>
      <c r="H161" s="20"/>
      <c r="I161" s="20"/>
      <c r="J161" s="20"/>
      <c r="K161" s="21"/>
      <c r="L161" s="20"/>
      <c r="M161" s="20"/>
      <c r="N161" s="20"/>
      <c r="O161" s="20"/>
    </row>
    <row r="162" customFormat="false" ht="15" hidden="false" customHeight="false" outlineLevel="0" collapsed="false">
      <c r="A162" s="17" t="str">
        <f aca="false">IF(Policy!A162="","",Policy!A162)</f>
        <v/>
      </c>
      <c r="B162" s="17" t="str">
        <f aca="false">IF(Policy!A162="","",Policy!B162)</f>
        <v/>
      </c>
      <c r="C162" s="17" t="str">
        <f aca="false">IF(Policy!A162="","",Policy!E162)</f>
        <v/>
      </c>
      <c r="D162" s="18"/>
      <c r="E162" s="19" t="str">
        <f aca="false">IF(A162="","",D162*(F162+H162)/100)</f>
        <v/>
      </c>
      <c r="F162" s="20"/>
      <c r="G162" s="20"/>
      <c r="H162" s="20"/>
      <c r="I162" s="20"/>
      <c r="J162" s="20"/>
      <c r="K162" s="21"/>
      <c r="L162" s="20"/>
      <c r="M162" s="20"/>
      <c r="N162" s="20"/>
      <c r="O162" s="20"/>
    </row>
    <row r="163" customFormat="false" ht="15" hidden="false" customHeight="false" outlineLevel="0" collapsed="false">
      <c r="A163" s="17" t="str">
        <f aca="false">IF(Policy!A163="","",Policy!A163)</f>
        <v/>
      </c>
      <c r="B163" s="17" t="str">
        <f aca="false">IF(Policy!A163="","",Policy!B163)</f>
        <v/>
      </c>
      <c r="C163" s="17" t="str">
        <f aca="false">IF(Policy!A163="","",Policy!E163)</f>
        <v/>
      </c>
      <c r="D163" s="18"/>
      <c r="E163" s="19" t="str">
        <f aca="false">IF(A163="","",D163*(F163+H163)/100)</f>
        <v/>
      </c>
      <c r="F163" s="20"/>
      <c r="G163" s="20"/>
      <c r="H163" s="20"/>
      <c r="I163" s="20"/>
      <c r="J163" s="20"/>
      <c r="K163" s="21"/>
      <c r="L163" s="20"/>
      <c r="M163" s="20"/>
      <c r="N163" s="20"/>
      <c r="O163" s="20"/>
    </row>
    <row r="164" customFormat="false" ht="15" hidden="false" customHeight="false" outlineLevel="0" collapsed="false">
      <c r="A164" s="17" t="str">
        <f aca="false">IF(Policy!A164="","",Policy!A164)</f>
        <v/>
      </c>
      <c r="B164" s="17" t="str">
        <f aca="false">IF(Policy!A164="","",Policy!B164)</f>
        <v/>
      </c>
      <c r="C164" s="17" t="str">
        <f aca="false">IF(Policy!A164="","",Policy!E164)</f>
        <v/>
      </c>
      <c r="D164" s="18"/>
      <c r="E164" s="19" t="str">
        <f aca="false">IF(A164="","",D164*(F164+H164)/100)</f>
        <v/>
      </c>
      <c r="F164" s="20"/>
      <c r="G164" s="20"/>
      <c r="H164" s="20"/>
      <c r="I164" s="20"/>
      <c r="J164" s="20"/>
      <c r="K164" s="21"/>
      <c r="L164" s="20"/>
      <c r="M164" s="20"/>
      <c r="N164" s="20"/>
      <c r="O164" s="20"/>
    </row>
    <row r="165" customFormat="false" ht="15" hidden="false" customHeight="false" outlineLevel="0" collapsed="false">
      <c r="A165" s="17" t="str">
        <f aca="false">IF(Policy!A165="","",Policy!A165)</f>
        <v/>
      </c>
      <c r="B165" s="17" t="str">
        <f aca="false">IF(Policy!A165="","",Policy!B165)</f>
        <v/>
      </c>
      <c r="C165" s="17" t="str">
        <f aca="false">IF(Policy!A165="","",Policy!E165)</f>
        <v/>
      </c>
      <c r="D165" s="18"/>
      <c r="E165" s="19" t="str">
        <f aca="false">IF(A165="","",D165*(F165+H165)/100)</f>
        <v/>
      </c>
      <c r="F165" s="20"/>
      <c r="G165" s="20"/>
      <c r="H165" s="20"/>
      <c r="I165" s="20"/>
      <c r="J165" s="20"/>
      <c r="K165" s="21"/>
      <c r="L165" s="20"/>
      <c r="M165" s="20"/>
      <c r="N165" s="20"/>
      <c r="O165" s="20"/>
    </row>
    <row r="166" customFormat="false" ht="15" hidden="false" customHeight="false" outlineLevel="0" collapsed="false">
      <c r="A166" s="17" t="str">
        <f aca="false">IF(Policy!A166="","",Policy!A166)</f>
        <v/>
      </c>
      <c r="B166" s="17" t="str">
        <f aca="false">IF(Policy!A166="","",Policy!B166)</f>
        <v/>
      </c>
      <c r="C166" s="17" t="str">
        <f aca="false">IF(Policy!A166="","",Policy!E166)</f>
        <v/>
      </c>
      <c r="D166" s="18"/>
      <c r="E166" s="19" t="str">
        <f aca="false">IF(A166="","",D166*(F166+H166)/100)</f>
        <v/>
      </c>
      <c r="F166" s="20"/>
      <c r="G166" s="20"/>
      <c r="H166" s="20"/>
      <c r="I166" s="20"/>
      <c r="J166" s="20"/>
      <c r="K166" s="21"/>
      <c r="L166" s="20"/>
      <c r="M166" s="20"/>
      <c r="N166" s="20"/>
      <c r="O166" s="20"/>
    </row>
    <row r="167" customFormat="false" ht="15" hidden="false" customHeight="false" outlineLevel="0" collapsed="false">
      <c r="A167" s="17" t="str">
        <f aca="false">IF(Policy!A167="","",Policy!A167)</f>
        <v/>
      </c>
      <c r="B167" s="17" t="str">
        <f aca="false">IF(Policy!A167="","",Policy!B167)</f>
        <v/>
      </c>
      <c r="C167" s="17" t="str">
        <f aca="false">IF(Policy!A167="","",Policy!E167)</f>
        <v/>
      </c>
      <c r="D167" s="18"/>
      <c r="E167" s="19" t="str">
        <f aca="false">IF(A167="","",D167*(F167+H167)/100)</f>
        <v/>
      </c>
      <c r="F167" s="20"/>
      <c r="G167" s="20"/>
      <c r="H167" s="20"/>
      <c r="I167" s="20"/>
      <c r="J167" s="20"/>
      <c r="K167" s="21"/>
      <c r="L167" s="20"/>
      <c r="M167" s="20"/>
      <c r="N167" s="20"/>
      <c r="O167" s="20"/>
    </row>
    <row r="168" customFormat="false" ht="15" hidden="false" customHeight="false" outlineLevel="0" collapsed="false">
      <c r="A168" s="17" t="str">
        <f aca="false">IF(Policy!A168="","",Policy!A168)</f>
        <v/>
      </c>
      <c r="B168" s="17" t="str">
        <f aca="false">IF(Policy!A168="","",Policy!B168)</f>
        <v/>
      </c>
      <c r="C168" s="17" t="str">
        <f aca="false">IF(Policy!A168="","",Policy!E168)</f>
        <v/>
      </c>
      <c r="D168" s="18"/>
      <c r="E168" s="19" t="str">
        <f aca="false">IF(A168="","",D168*(F168+H168)/100)</f>
        <v/>
      </c>
      <c r="F168" s="20"/>
      <c r="G168" s="20"/>
      <c r="H168" s="20"/>
      <c r="I168" s="20"/>
      <c r="J168" s="20"/>
      <c r="K168" s="21"/>
      <c r="L168" s="20"/>
      <c r="M168" s="20"/>
      <c r="N168" s="20"/>
      <c r="O168" s="20"/>
    </row>
    <row r="169" customFormat="false" ht="15" hidden="false" customHeight="false" outlineLevel="0" collapsed="false">
      <c r="A169" s="17" t="str">
        <f aca="false">IF(Policy!A169="","",Policy!A169)</f>
        <v/>
      </c>
      <c r="B169" s="17" t="str">
        <f aca="false">IF(Policy!A169="","",Policy!B169)</f>
        <v/>
      </c>
      <c r="C169" s="17" t="str">
        <f aca="false">IF(Policy!A169="","",Policy!E169)</f>
        <v/>
      </c>
      <c r="D169" s="18"/>
      <c r="E169" s="19" t="str">
        <f aca="false">IF(A169="","",D169*(F169+H169)/100)</f>
        <v/>
      </c>
      <c r="F169" s="20"/>
      <c r="G169" s="20"/>
      <c r="H169" s="20"/>
      <c r="I169" s="20"/>
      <c r="J169" s="20"/>
      <c r="K169" s="21"/>
      <c r="L169" s="20"/>
      <c r="M169" s="20"/>
      <c r="N169" s="20"/>
      <c r="O169" s="20"/>
    </row>
    <row r="170" customFormat="false" ht="15" hidden="false" customHeight="false" outlineLevel="0" collapsed="false">
      <c r="A170" s="17" t="str">
        <f aca="false">IF(Policy!A170="","",Policy!A170)</f>
        <v/>
      </c>
      <c r="B170" s="17" t="str">
        <f aca="false">IF(Policy!A170="","",Policy!B170)</f>
        <v/>
      </c>
      <c r="C170" s="17" t="str">
        <f aca="false">IF(Policy!A170="","",Policy!E170)</f>
        <v/>
      </c>
      <c r="D170" s="18"/>
      <c r="E170" s="19" t="str">
        <f aca="false">IF(A170="","",D170*(F170+H170)/100)</f>
        <v/>
      </c>
      <c r="F170" s="20"/>
      <c r="G170" s="20"/>
      <c r="H170" s="20"/>
      <c r="I170" s="20"/>
      <c r="J170" s="20"/>
      <c r="K170" s="21"/>
      <c r="L170" s="20"/>
      <c r="M170" s="20"/>
      <c r="N170" s="20"/>
      <c r="O170" s="20"/>
    </row>
    <row r="171" customFormat="false" ht="15" hidden="false" customHeight="false" outlineLevel="0" collapsed="false">
      <c r="A171" s="17" t="str">
        <f aca="false">IF(Policy!A171="","",Policy!A171)</f>
        <v/>
      </c>
      <c r="B171" s="17" t="str">
        <f aca="false">IF(Policy!A171="","",Policy!B171)</f>
        <v/>
      </c>
      <c r="C171" s="17" t="str">
        <f aca="false">IF(Policy!A171="","",Policy!E171)</f>
        <v/>
      </c>
      <c r="D171" s="18"/>
      <c r="E171" s="19" t="str">
        <f aca="false">IF(A171="","",D171*(F171+H171)/100)</f>
        <v/>
      </c>
      <c r="F171" s="20"/>
      <c r="G171" s="20"/>
      <c r="H171" s="20"/>
      <c r="I171" s="20"/>
      <c r="J171" s="20"/>
      <c r="K171" s="21"/>
      <c r="L171" s="20"/>
      <c r="M171" s="20"/>
      <c r="N171" s="20"/>
      <c r="O171" s="20"/>
    </row>
    <row r="172" customFormat="false" ht="15" hidden="false" customHeight="false" outlineLevel="0" collapsed="false">
      <c r="A172" s="17" t="str">
        <f aca="false">IF(Policy!A172="","",Policy!A172)</f>
        <v/>
      </c>
      <c r="B172" s="17" t="str">
        <f aca="false">IF(Policy!A172="","",Policy!B172)</f>
        <v/>
      </c>
      <c r="C172" s="17" t="str">
        <f aca="false">IF(Policy!A172="","",Policy!E172)</f>
        <v/>
      </c>
      <c r="D172" s="18"/>
      <c r="E172" s="19" t="str">
        <f aca="false">IF(A172="","",D172*(F172+H172)/100)</f>
        <v/>
      </c>
      <c r="F172" s="20"/>
      <c r="G172" s="20"/>
      <c r="H172" s="20"/>
      <c r="I172" s="20"/>
      <c r="J172" s="20"/>
      <c r="K172" s="21"/>
      <c r="L172" s="20"/>
      <c r="M172" s="20"/>
      <c r="N172" s="20"/>
      <c r="O172" s="20"/>
    </row>
    <row r="173" customFormat="false" ht="15" hidden="false" customHeight="false" outlineLevel="0" collapsed="false">
      <c r="A173" s="17" t="str">
        <f aca="false">IF(Policy!A173="","",Policy!A173)</f>
        <v/>
      </c>
      <c r="B173" s="17" t="str">
        <f aca="false">IF(Policy!A173="","",Policy!B173)</f>
        <v/>
      </c>
      <c r="C173" s="17" t="str">
        <f aca="false">IF(Policy!A173="","",Policy!E173)</f>
        <v/>
      </c>
      <c r="D173" s="18"/>
      <c r="E173" s="19" t="str">
        <f aca="false">IF(A173="","",D173*(F173+H173)/100)</f>
        <v/>
      </c>
      <c r="F173" s="20"/>
      <c r="G173" s="20"/>
      <c r="H173" s="20"/>
      <c r="I173" s="20"/>
      <c r="J173" s="20"/>
      <c r="K173" s="21"/>
      <c r="L173" s="20"/>
      <c r="M173" s="20"/>
      <c r="N173" s="20"/>
      <c r="O173" s="20"/>
    </row>
    <row r="174" customFormat="false" ht="15" hidden="false" customHeight="false" outlineLevel="0" collapsed="false">
      <c r="A174" s="17" t="str">
        <f aca="false">IF(Policy!A174="","",Policy!A174)</f>
        <v/>
      </c>
      <c r="B174" s="17" t="str">
        <f aca="false">IF(Policy!A174="","",Policy!B174)</f>
        <v/>
      </c>
      <c r="C174" s="17" t="str">
        <f aca="false">IF(Policy!A174="","",Policy!E174)</f>
        <v/>
      </c>
      <c r="D174" s="18"/>
      <c r="E174" s="19" t="str">
        <f aca="false">IF(A174="","",D174*(F174+H174)/100)</f>
        <v/>
      </c>
      <c r="F174" s="20"/>
      <c r="G174" s="20"/>
      <c r="H174" s="20"/>
      <c r="I174" s="20"/>
      <c r="J174" s="20"/>
      <c r="K174" s="21"/>
      <c r="L174" s="20"/>
      <c r="M174" s="20"/>
      <c r="N174" s="20"/>
      <c r="O174" s="20"/>
    </row>
    <row r="175" customFormat="false" ht="15" hidden="false" customHeight="false" outlineLevel="0" collapsed="false">
      <c r="A175" s="17" t="str">
        <f aca="false">IF(Policy!A175="","",Policy!A175)</f>
        <v/>
      </c>
      <c r="B175" s="17" t="str">
        <f aca="false">IF(Policy!A175="","",Policy!B175)</f>
        <v/>
      </c>
      <c r="C175" s="17" t="str">
        <f aca="false">IF(Policy!A175="","",Policy!E175)</f>
        <v/>
      </c>
      <c r="D175" s="18"/>
      <c r="E175" s="19" t="str">
        <f aca="false">IF(A175="","",D175*(F175+H175)/100)</f>
        <v/>
      </c>
      <c r="F175" s="20"/>
      <c r="G175" s="20"/>
      <c r="H175" s="20"/>
      <c r="I175" s="20"/>
      <c r="J175" s="20"/>
      <c r="K175" s="21"/>
      <c r="L175" s="20"/>
      <c r="M175" s="20"/>
      <c r="N175" s="20"/>
      <c r="O175" s="20"/>
    </row>
    <row r="176" customFormat="false" ht="15" hidden="false" customHeight="false" outlineLevel="0" collapsed="false">
      <c r="A176" s="17" t="str">
        <f aca="false">IF(Policy!A176="","",Policy!A176)</f>
        <v/>
      </c>
      <c r="B176" s="17" t="str">
        <f aca="false">IF(Policy!A176="","",Policy!B176)</f>
        <v/>
      </c>
      <c r="C176" s="17" t="str">
        <f aca="false">IF(Policy!A176="","",Policy!E176)</f>
        <v/>
      </c>
      <c r="D176" s="18"/>
      <c r="E176" s="19" t="str">
        <f aca="false">IF(A176="","",D176*(F176+H176)/100)</f>
        <v/>
      </c>
      <c r="F176" s="20"/>
      <c r="G176" s="20"/>
      <c r="H176" s="20"/>
      <c r="I176" s="20"/>
      <c r="J176" s="20"/>
      <c r="K176" s="21"/>
      <c r="L176" s="20"/>
      <c r="M176" s="20"/>
      <c r="N176" s="20"/>
      <c r="O176" s="20"/>
    </row>
    <row r="177" customFormat="false" ht="15" hidden="false" customHeight="false" outlineLevel="0" collapsed="false">
      <c r="A177" s="17" t="str">
        <f aca="false">IF(Policy!A177="","",Policy!A177)</f>
        <v/>
      </c>
      <c r="B177" s="17" t="str">
        <f aca="false">IF(Policy!A177="","",Policy!B177)</f>
        <v/>
      </c>
      <c r="C177" s="17" t="str">
        <f aca="false">IF(Policy!A177="","",Policy!E177)</f>
        <v/>
      </c>
      <c r="D177" s="18"/>
      <c r="E177" s="19" t="str">
        <f aca="false">IF(A177="","",D177*(F177+H177)/100)</f>
        <v/>
      </c>
      <c r="F177" s="20"/>
      <c r="G177" s="20"/>
      <c r="H177" s="20"/>
      <c r="I177" s="20"/>
      <c r="J177" s="20"/>
      <c r="K177" s="21"/>
      <c r="L177" s="20"/>
      <c r="M177" s="20"/>
      <c r="N177" s="20"/>
      <c r="O177" s="20"/>
    </row>
    <row r="178" customFormat="false" ht="15" hidden="false" customHeight="false" outlineLevel="0" collapsed="false">
      <c r="A178" s="17" t="str">
        <f aca="false">IF(Policy!A178="","",Policy!A178)</f>
        <v/>
      </c>
      <c r="B178" s="17" t="str">
        <f aca="false">IF(Policy!A178="","",Policy!B178)</f>
        <v/>
      </c>
      <c r="C178" s="17" t="str">
        <f aca="false">IF(Policy!A178="","",Policy!E178)</f>
        <v/>
      </c>
      <c r="D178" s="18"/>
      <c r="E178" s="19" t="str">
        <f aca="false">IF(A178="","",D178*(F178+H178)/100)</f>
        <v/>
      </c>
      <c r="F178" s="20"/>
      <c r="G178" s="20"/>
      <c r="H178" s="20"/>
      <c r="I178" s="20"/>
      <c r="J178" s="20"/>
      <c r="K178" s="21"/>
      <c r="L178" s="20"/>
      <c r="M178" s="20"/>
      <c r="N178" s="20"/>
      <c r="O178" s="20"/>
    </row>
    <row r="179" customFormat="false" ht="15" hidden="false" customHeight="false" outlineLevel="0" collapsed="false">
      <c r="A179" s="17" t="str">
        <f aca="false">IF(Policy!A179="","",Policy!A179)</f>
        <v/>
      </c>
      <c r="B179" s="17" t="str">
        <f aca="false">IF(Policy!A179="","",Policy!B179)</f>
        <v/>
      </c>
      <c r="C179" s="17" t="str">
        <f aca="false">IF(Policy!A179="","",Policy!E179)</f>
        <v/>
      </c>
      <c r="D179" s="18"/>
      <c r="E179" s="19" t="str">
        <f aca="false">IF(A179="","",D179*(F179+H179)/100)</f>
        <v/>
      </c>
      <c r="F179" s="20"/>
      <c r="G179" s="20"/>
      <c r="H179" s="20"/>
      <c r="I179" s="20"/>
      <c r="J179" s="20"/>
      <c r="K179" s="21"/>
      <c r="L179" s="20"/>
      <c r="M179" s="20"/>
      <c r="N179" s="20"/>
      <c r="O179" s="20"/>
    </row>
    <row r="180" customFormat="false" ht="15" hidden="false" customHeight="false" outlineLevel="0" collapsed="false">
      <c r="A180" s="17" t="str">
        <f aca="false">IF(Policy!A180="","",Policy!A180)</f>
        <v/>
      </c>
      <c r="B180" s="17" t="str">
        <f aca="false">IF(Policy!A180="","",Policy!B180)</f>
        <v/>
      </c>
      <c r="C180" s="17" t="str">
        <f aca="false">IF(Policy!A180="","",Policy!E180)</f>
        <v/>
      </c>
      <c r="D180" s="18"/>
      <c r="E180" s="19" t="str">
        <f aca="false">IF(A180="","",D180*(F180+H180)/100)</f>
        <v/>
      </c>
      <c r="F180" s="20"/>
      <c r="G180" s="20"/>
      <c r="H180" s="20"/>
      <c r="I180" s="20"/>
      <c r="J180" s="20"/>
      <c r="K180" s="21"/>
      <c r="L180" s="20"/>
      <c r="M180" s="20"/>
      <c r="N180" s="20"/>
      <c r="O180" s="20"/>
    </row>
    <row r="181" customFormat="false" ht="15" hidden="false" customHeight="false" outlineLevel="0" collapsed="false">
      <c r="A181" s="17" t="str">
        <f aca="false">IF(Policy!A181="","",Policy!A181)</f>
        <v/>
      </c>
      <c r="B181" s="17" t="str">
        <f aca="false">IF(Policy!A181="","",Policy!B181)</f>
        <v/>
      </c>
      <c r="C181" s="17" t="str">
        <f aca="false">IF(Policy!A181="","",Policy!E181)</f>
        <v/>
      </c>
      <c r="D181" s="18"/>
      <c r="E181" s="19" t="str">
        <f aca="false">IF(A181="","",D181*(F181+H181)/100)</f>
        <v/>
      </c>
      <c r="F181" s="20"/>
      <c r="G181" s="20"/>
      <c r="H181" s="20"/>
      <c r="I181" s="20"/>
      <c r="J181" s="20"/>
      <c r="K181" s="21"/>
      <c r="L181" s="20"/>
      <c r="M181" s="20"/>
      <c r="N181" s="20"/>
      <c r="O181" s="20"/>
    </row>
    <row r="182" customFormat="false" ht="15" hidden="false" customHeight="false" outlineLevel="0" collapsed="false">
      <c r="A182" s="17" t="str">
        <f aca="false">IF(Policy!A182="","",Policy!A182)</f>
        <v/>
      </c>
      <c r="B182" s="17" t="str">
        <f aca="false">IF(Policy!A182="","",Policy!B182)</f>
        <v/>
      </c>
      <c r="C182" s="17" t="str">
        <f aca="false">IF(Policy!A182="","",Policy!E182)</f>
        <v/>
      </c>
      <c r="D182" s="18"/>
      <c r="E182" s="19" t="str">
        <f aca="false">IF(A182="","",D182*(F182+H182)/100)</f>
        <v/>
      </c>
      <c r="F182" s="20"/>
      <c r="G182" s="20"/>
      <c r="H182" s="20"/>
      <c r="I182" s="20"/>
      <c r="J182" s="20"/>
      <c r="K182" s="21"/>
      <c r="L182" s="20"/>
      <c r="M182" s="20"/>
      <c r="N182" s="20"/>
      <c r="O182" s="20"/>
    </row>
    <row r="183" customFormat="false" ht="15" hidden="false" customHeight="false" outlineLevel="0" collapsed="false">
      <c r="A183" s="17" t="str">
        <f aca="false">IF(Policy!A183="","",Policy!A183)</f>
        <v/>
      </c>
      <c r="B183" s="17" t="str">
        <f aca="false">IF(Policy!A183="","",Policy!B183)</f>
        <v/>
      </c>
      <c r="C183" s="17" t="str">
        <f aca="false">IF(Policy!A183="","",Policy!E183)</f>
        <v/>
      </c>
      <c r="D183" s="18"/>
      <c r="E183" s="19" t="str">
        <f aca="false">IF(A183="","",D183*(F183+H183)/100)</f>
        <v/>
      </c>
      <c r="F183" s="20"/>
      <c r="G183" s="20"/>
      <c r="H183" s="20"/>
      <c r="I183" s="20"/>
      <c r="J183" s="20"/>
      <c r="K183" s="21"/>
      <c r="L183" s="20"/>
      <c r="M183" s="20"/>
      <c r="N183" s="20"/>
      <c r="O183" s="20"/>
    </row>
    <row r="184" customFormat="false" ht="15" hidden="false" customHeight="false" outlineLevel="0" collapsed="false">
      <c r="A184" s="17" t="str">
        <f aca="false">IF(Policy!A184="","",Policy!A184)</f>
        <v/>
      </c>
      <c r="B184" s="17" t="str">
        <f aca="false">IF(Policy!A184="","",Policy!B184)</f>
        <v/>
      </c>
      <c r="C184" s="17" t="str">
        <f aca="false">IF(Policy!A184="","",Policy!E184)</f>
        <v/>
      </c>
      <c r="D184" s="18"/>
      <c r="E184" s="19" t="str">
        <f aca="false">IF(A184="","",D184*(F184+H184)/100)</f>
        <v/>
      </c>
      <c r="F184" s="20"/>
      <c r="G184" s="20"/>
      <c r="H184" s="20"/>
      <c r="I184" s="20"/>
      <c r="J184" s="20"/>
      <c r="K184" s="21"/>
      <c r="L184" s="20"/>
      <c r="M184" s="20"/>
      <c r="N184" s="20"/>
      <c r="O184" s="20"/>
    </row>
    <row r="185" customFormat="false" ht="15" hidden="false" customHeight="false" outlineLevel="0" collapsed="false">
      <c r="A185" s="17" t="str">
        <f aca="false">IF(Policy!A185="","",Policy!A185)</f>
        <v/>
      </c>
      <c r="B185" s="17" t="str">
        <f aca="false">IF(Policy!A185="","",Policy!B185)</f>
        <v/>
      </c>
      <c r="C185" s="17" t="str">
        <f aca="false">IF(Policy!A185="","",Policy!E185)</f>
        <v/>
      </c>
      <c r="D185" s="18"/>
      <c r="E185" s="19" t="str">
        <f aca="false">IF(A185="","",D185*(F185+H185)/100)</f>
        <v/>
      </c>
      <c r="F185" s="20"/>
      <c r="G185" s="20"/>
      <c r="H185" s="20"/>
      <c r="I185" s="20"/>
      <c r="J185" s="20"/>
      <c r="K185" s="21"/>
      <c r="L185" s="20"/>
      <c r="M185" s="20"/>
      <c r="N185" s="20"/>
      <c r="O185" s="20"/>
    </row>
    <row r="186" customFormat="false" ht="15" hidden="false" customHeight="false" outlineLevel="0" collapsed="false">
      <c r="A186" s="17" t="str">
        <f aca="false">IF(Policy!A186="","",Policy!A186)</f>
        <v/>
      </c>
      <c r="B186" s="17" t="str">
        <f aca="false">IF(Policy!A186="","",Policy!B186)</f>
        <v/>
      </c>
      <c r="C186" s="17" t="str">
        <f aca="false">IF(Policy!A186="","",Policy!E186)</f>
        <v/>
      </c>
      <c r="D186" s="18"/>
      <c r="E186" s="19" t="str">
        <f aca="false">IF(A186="","",D186*(F186+H186)/100)</f>
        <v/>
      </c>
      <c r="F186" s="20"/>
      <c r="G186" s="20"/>
      <c r="H186" s="20"/>
      <c r="I186" s="20"/>
      <c r="J186" s="20"/>
      <c r="K186" s="21"/>
      <c r="L186" s="20"/>
      <c r="M186" s="20"/>
      <c r="N186" s="20"/>
      <c r="O186" s="20"/>
    </row>
    <row r="187" customFormat="false" ht="15" hidden="false" customHeight="false" outlineLevel="0" collapsed="false">
      <c r="A187" s="17" t="str">
        <f aca="false">IF(Policy!A187="","",Policy!A187)</f>
        <v/>
      </c>
      <c r="B187" s="17" t="str">
        <f aca="false">IF(Policy!A187="","",Policy!B187)</f>
        <v/>
      </c>
      <c r="C187" s="17" t="str">
        <f aca="false">IF(Policy!A187="","",Policy!E187)</f>
        <v/>
      </c>
      <c r="D187" s="18"/>
      <c r="E187" s="19" t="str">
        <f aca="false">IF(A187="","",D187*(F187+H187)/100)</f>
        <v/>
      </c>
      <c r="F187" s="20"/>
      <c r="G187" s="20"/>
      <c r="H187" s="20"/>
      <c r="I187" s="20"/>
      <c r="J187" s="20"/>
      <c r="K187" s="21"/>
      <c r="L187" s="20"/>
      <c r="M187" s="20"/>
      <c r="N187" s="20"/>
      <c r="O187" s="20"/>
    </row>
    <row r="188" customFormat="false" ht="15" hidden="false" customHeight="false" outlineLevel="0" collapsed="false">
      <c r="A188" s="17" t="str">
        <f aca="false">IF(Policy!A188="","",Policy!A188)</f>
        <v/>
      </c>
      <c r="B188" s="17" t="str">
        <f aca="false">IF(Policy!A188="","",Policy!B188)</f>
        <v/>
      </c>
      <c r="C188" s="17" t="str">
        <f aca="false">IF(Policy!A188="","",Policy!E188)</f>
        <v/>
      </c>
      <c r="D188" s="18"/>
      <c r="E188" s="19" t="str">
        <f aca="false">IF(A188="","",D188*(F188+H188)/100)</f>
        <v/>
      </c>
      <c r="F188" s="20"/>
      <c r="G188" s="20"/>
      <c r="H188" s="20"/>
      <c r="I188" s="20"/>
      <c r="J188" s="20"/>
      <c r="K188" s="21"/>
      <c r="L188" s="20"/>
      <c r="M188" s="20"/>
      <c r="N188" s="20"/>
      <c r="O188" s="20"/>
    </row>
    <row r="189" customFormat="false" ht="15" hidden="false" customHeight="false" outlineLevel="0" collapsed="false">
      <c r="A189" s="17" t="str">
        <f aca="false">IF(Policy!A189="","",Policy!A189)</f>
        <v/>
      </c>
      <c r="B189" s="17" t="str">
        <f aca="false">IF(Policy!A189="","",Policy!B189)</f>
        <v/>
      </c>
      <c r="C189" s="17" t="str">
        <f aca="false">IF(Policy!A189="","",Policy!E189)</f>
        <v/>
      </c>
      <c r="D189" s="18"/>
      <c r="E189" s="19" t="str">
        <f aca="false">IF(A189="","",D189*(F189+H189)/100)</f>
        <v/>
      </c>
      <c r="F189" s="20"/>
      <c r="G189" s="20"/>
      <c r="H189" s="20"/>
      <c r="I189" s="20"/>
      <c r="J189" s="20"/>
      <c r="K189" s="21"/>
      <c r="L189" s="20"/>
      <c r="M189" s="20"/>
      <c r="N189" s="20"/>
      <c r="O189" s="20"/>
    </row>
    <row r="190" customFormat="false" ht="15" hidden="false" customHeight="false" outlineLevel="0" collapsed="false">
      <c r="A190" s="17" t="str">
        <f aca="false">IF(Policy!A190="","",Policy!A190)</f>
        <v/>
      </c>
      <c r="B190" s="17" t="str">
        <f aca="false">IF(Policy!A190="","",Policy!B190)</f>
        <v/>
      </c>
      <c r="C190" s="17" t="str">
        <f aca="false">IF(Policy!A190="","",Policy!E190)</f>
        <v/>
      </c>
      <c r="D190" s="18"/>
      <c r="E190" s="19" t="str">
        <f aca="false">IF(A190="","",D190*(F190+H190)/100)</f>
        <v/>
      </c>
      <c r="F190" s="20"/>
      <c r="G190" s="20"/>
      <c r="H190" s="20"/>
      <c r="I190" s="20"/>
      <c r="J190" s="20"/>
      <c r="K190" s="21"/>
      <c r="L190" s="20"/>
      <c r="M190" s="20"/>
      <c r="N190" s="20"/>
      <c r="O190" s="20"/>
    </row>
    <row r="191" customFormat="false" ht="15" hidden="false" customHeight="false" outlineLevel="0" collapsed="false">
      <c r="A191" s="17" t="str">
        <f aca="false">IF(Policy!A191="","",Policy!A191)</f>
        <v/>
      </c>
      <c r="B191" s="17" t="str">
        <f aca="false">IF(Policy!A191="","",Policy!B191)</f>
        <v/>
      </c>
      <c r="C191" s="17" t="str">
        <f aca="false">IF(Policy!A191="","",Policy!E191)</f>
        <v/>
      </c>
      <c r="D191" s="18"/>
      <c r="E191" s="19" t="str">
        <f aca="false">IF(A191="","",D191*(F191+H191)/100)</f>
        <v/>
      </c>
      <c r="F191" s="20"/>
      <c r="G191" s="20"/>
      <c r="H191" s="20"/>
      <c r="I191" s="20"/>
      <c r="J191" s="20"/>
      <c r="K191" s="21"/>
      <c r="L191" s="20"/>
      <c r="M191" s="20"/>
      <c r="N191" s="20"/>
      <c r="O191" s="20"/>
    </row>
    <row r="192" customFormat="false" ht="15" hidden="false" customHeight="false" outlineLevel="0" collapsed="false">
      <c r="A192" s="17" t="str">
        <f aca="false">IF(Policy!A192="","",Policy!A192)</f>
        <v/>
      </c>
      <c r="B192" s="17" t="str">
        <f aca="false">IF(Policy!A192="","",Policy!B192)</f>
        <v/>
      </c>
      <c r="C192" s="17" t="str">
        <f aca="false">IF(Policy!A192="","",Policy!E192)</f>
        <v/>
      </c>
      <c r="D192" s="18"/>
      <c r="E192" s="19" t="str">
        <f aca="false">IF(A192="","",D192*(F192+H192)/100)</f>
        <v/>
      </c>
      <c r="F192" s="20"/>
      <c r="G192" s="20"/>
      <c r="H192" s="20"/>
      <c r="I192" s="20"/>
      <c r="J192" s="20"/>
      <c r="K192" s="21"/>
      <c r="L192" s="20"/>
      <c r="M192" s="20"/>
      <c r="N192" s="20"/>
      <c r="O192" s="20"/>
    </row>
    <row r="193" customFormat="false" ht="15" hidden="false" customHeight="false" outlineLevel="0" collapsed="false">
      <c r="A193" s="17" t="str">
        <f aca="false">IF(Policy!A193="","",Policy!A193)</f>
        <v/>
      </c>
      <c r="B193" s="17" t="str">
        <f aca="false">IF(Policy!A193="","",Policy!B193)</f>
        <v/>
      </c>
      <c r="C193" s="17" t="str">
        <f aca="false">IF(Policy!A193="","",Policy!E193)</f>
        <v/>
      </c>
      <c r="D193" s="18"/>
      <c r="E193" s="19" t="str">
        <f aca="false">IF(A193="","",D193*(F193+H193)/100)</f>
        <v/>
      </c>
      <c r="F193" s="20"/>
      <c r="G193" s="20"/>
      <c r="H193" s="20"/>
      <c r="I193" s="20"/>
      <c r="J193" s="20"/>
      <c r="K193" s="21"/>
      <c r="L193" s="20"/>
      <c r="M193" s="20"/>
      <c r="N193" s="20"/>
      <c r="O193" s="20"/>
    </row>
    <row r="194" customFormat="false" ht="15" hidden="false" customHeight="false" outlineLevel="0" collapsed="false">
      <c r="A194" s="17" t="str">
        <f aca="false">IF(Policy!A194="","",Policy!A194)</f>
        <v/>
      </c>
      <c r="B194" s="17" t="str">
        <f aca="false">IF(Policy!A194="","",Policy!B194)</f>
        <v/>
      </c>
      <c r="C194" s="17" t="str">
        <f aca="false">IF(Policy!A194="","",Policy!E194)</f>
        <v/>
      </c>
      <c r="D194" s="18"/>
      <c r="E194" s="19" t="str">
        <f aca="false">IF(A194="","",D194*(F194+H194)/100)</f>
        <v/>
      </c>
      <c r="F194" s="20"/>
      <c r="G194" s="20"/>
      <c r="H194" s="20"/>
      <c r="I194" s="20"/>
      <c r="J194" s="20"/>
      <c r="K194" s="21"/>
      <c r="L194" s="20"/>
      <c r="M194" s="20"/>
      <c r="N194" s="20"/>
      <c r="O194" s="20"/>
    </row>
    <row r="195" customFormat="false" ht="15" hidden="false" customHeight="false" outlineLevel="0" collapsed="false">
      <c r="A195" s="17" t="str">
        <f aca="false">IF(Policy!A195="","",Policy!A195)</f>
        <v/>
      </c>
      <c r="B195" s="17" t="str">
        <f aca="false">IF(Policy!A195="","",Policy!B195)</f>
        <v/>
      </c>
      <c r="C195" s="17" t="str">
        <f aca="false">IF(Policy!A195="","",Policy!E195)</f>
        <v/>
      </c>
      <c r="D195" s="18"/>
      <c r="E195" s="19" t="str">
        <f aca="false">IF(A195="","",D195*(F195+H195)/100)</f>
        <v/>
      </c>
      <c r="F195" s="20"/>
      <c r="G195" s="20"/>
      <c r="H195" s="20"/>
      <c r="I195" s="20"/>
      <c r="J195" s="20"/>
      <c r="K195" s="21"/>
      <c r="L195" s="20"/>
      <c r="M195" s="20"/>
      <c r="N195" s="20"/>
      <c r="O195" s="20"/>
    </row>
    <row r="196" customFormat="false" ht="15" hidden="false" customHeight="false" outlineLevel="0" collapsed="false">
      <c r="A196" s="17" t="str">
        <f aca="false">IF(Policy!A196="","",Policy!A196)</f>
        <v/>
      </c>
      <c r="B196" s="17" t="str">
        <f aca="false">IF(Policy!A196="","",Policy!B196)</f>
        <v/>
      </c>
      <c r="C196" s="17" t="str">
        <f aca="false">IF(Policy!A196="","",Policy!E196)</f>
        <v/>
      </c>
      <c r="D196" s="18"/>
      <c r="E196" s="19" t="str">
        <f aca="false">IF(A196="","",D196*(F196+H196)/100)</f>
        <v/>
      </c>
      <c r="F196" s="20"/>
      <c r="G196" s="20"/>
      <c r="H196" s="20"/>
      <c r="I196" s="20"/>
      <c r="J196" s="20"/>
      <c r="K196" s="21"/>
      <c r="L196" s="20"/>
      <c r="M196" s="20"/>
      <c r="N196" s="20"/>
      <c r="O196" s="20"/>
    </row>
    <row r="197" customFormat="false" ht="15" hidden="false" customHeight="false" outlineLevel="0" collapsed="false">
      <c r="A197" s="17" t="str">
        <f aca="false">IF(Policy!A197="","",Policy!A197)</f>
        <v/>
      </c>
      <c r="B197" s="17" t="str">
        <f aca="false">IF(Policy!A197="","",Policy!B197)</f>
        <v/>
      </c>
      <c r="C197" s="17" t="str">
        <f aca="false">IF(Policy!A197="","",Policy!E197)</f>
        <v/>
      </c>
      <c r="D197" s="18"/>
      <c r="E197" s="19" t="str">
        <f aca="false">IF(A197="","",D197*(F197+H197)/100)</f>
        <v/>
      </c>
      <c r="F197" s="20"/>
      <c r="G197" s="20"/>
      <c r="H197" s="20"/>
      <c r="I197" s="20"/>
      <c r="J197" s="20"/>
      <c r="K197" s="21"/>
      <c r="L197" s="20"/>
      <c r="M197" s="20"/>
      <c r="N197" s="20"/>
      <c r="O197" s="20"/>
    </row>
    <row r="198" customFormat="false" ht="15" hidden="false" customHeight="false" outlineLevel="0" collapsed="false">
      <c r="A198" s="17" t="str">
        <f aca="false">IF(Policy!A198="","",Policy!A198)</f>
        <v/>
      </c>
      <c r="B198" s="17" t="str">
        <f aca="false">IF(Policy!A198="","",Policy!B198)</f>
        <v/>
      </c>
      <c r="C198" s="17" t="str">
        <f aca="false">IF(Policy!A198="","",Policy!E198)</f>
        <v/>
      </c>
      <c r="D198" s="18"/>
      <c r="E198" s="19" t="str">
        <f aca="false">IF(A198="","",D198*(F198+H198)/100)</f>
        <v/>
      </c>
      <c r="F198" s="20"/>
      <c r="G198" s="20"/>
      <c r="H198" s="20"/>
      <c r="I198" s="20"/>
      <c r="J198" s="20"/>
      <c r="K198" s="21"/>
      <c r="L198" s="20"/>
      <c r="M198" s="20"/>
      <c r="N198" s="20"/>
      <c r="O198" s="20"/>
    </row>
    <row r="199" customFormat="false" ht="15" hidden="false" customHeight="false" outlineLevel="0" collapsed="false">
      <c r="A199" s="17" t="str">
        <f aca="false">IF(Policy!A199="","",Policy!A199)</f>
        <v/>
      </c>
      <c r="B199" s="17" t="str">
        <f aca="false">IF(Policy!A199="","",Policy!B199)</f>
        <v/>
      </c>
      <c r="C199" s="17" t="str">
        <f aca="false">IF(Policy!A199="","",Policy!E199)</f>
        <v/>
      </c>
      <c r="D199" s="18"/>
      <c r="E199" s="19" t="str">
        <f aca="false">IF(A199="","",D199*(F199+H199)/100)</f>
        <v/>
      </c>
      <c r="F199" s="20"/>
      <c r="G199" s="20"/>
      <c r="H199" s="20"/>
      <c r="I199" s="20"/>
      <c r="J199" s="20"/>
      <c r="K199" s="21"/>
      <c r="L199" s="20"/>
      <c r="M199" s="20"/>
      <c r="N199" s="20"/>
      <c r="O199" s="20"/>
    </row>
    <row r="200" customFormat="false" ht="15" hidden="false" customHeight="false" outlineLevel="0" collapsed="false">
      <c r="A200" s="17" t="str">
        <f aca="false">IF(Policy!A200="","",Policy!A200)</f>
        <v/>
      </c>
      <c r="B200" s="17" t="str">
        <f aca="false">IF(Policy!A200="","",Policy!B200)</f>
        <v/>
      </c>
      <c r="C200" s="17" t="str">
        <f aca="false">IF(Policy!A200="","",Policy!E200)</f>
        <v/>
      </c>
      <c r="D200" s="18"/>
      <c r="E200" s="19" t="str">
        <f aca="false">IF(A200="","",D200*(F200+H200)/100)</f>
        <v/>
      </c>
      <c r="F200" s="20"/>
      <c r="G200" s="20"/>
      <c r="H200" s="20"/>
      <c r="I200" s="20"/>
      <c r="J200" s="20"/>
      <c r="K200" s="21"/>
      <c r="L200" s="20"/>
      <c r="M200" s="20"/>
      <c r="N200" s="20"/>
      <c r="O200" s="20"/>
    </row>
    <row r="201" customFormat="false" ht="15" hidden="false" customHeight="false" outlineLevel="0" collapsed="false">
      <c r="A201" s="17" t="str">
        <f aca="false">IF(Policy!A201="","",Policy!A201)</f>
        <v/>
      </c>
      <c r="B201" s="17" t="str">
        <f aca="false">IF(Policy!A201="","",Policy!B201)</f>
        <v/>
      </c>
      <c r="C201" s="17" t="str">
        <f aca="false">IF(Policy!A201="","",Policy!E201)</f>
        <v/>
      </c>
      <c r="D201" s="18"/>
      <c r="E201" s="19" t="str">
        <f aca="false">IF(A201="","",D201*(F201+H201)/100)</f>
        <v/>
      </c>
      <c r="F201" s="20"/>
      <c r="G201" s="20"/>
      <c r="H201" s="20"/>
      <c r="I201" s="20"/>
      <c r="J201" s="20"/>
      <c r="K201" s="21"/>
      <c r="L201" s="20"/>
      <c r="M201" s="20"/>
      <c r="N201" s="20"/>
      <c r="O201" s="20"/>
    </row>
    <row r="202" customFormat="false" ht="15" hidden="false" customHeight="false" outlineLevel="0" collapsed="false">
      <c r="A202" s="17" t="str">
        <f aca="false">IF(Policy!A202="","",Policy!A202)</f>
        <v/>
      </c>
      <c r="B202" s="17" t="str">
        <f aca="false">IF(Policy!A202="","",Policy!B202)</f>
        <v/>
      </c>
      <c r="C202" s="17" t="str">
        <f aca="false">IF(Policy!A202="","",Policy!E202)</f>
        <v/>
      </c>
      <c r="D202" s="18"/>
      <c r="E202" s="19" t="str">
        <f aca="false">IF(A202="","",D202*(F202+H202)/100)</f>
        <v/>
      </c>
      <c r="F202" s="20"/>
      <c r="G202" s="20"/>
      <c r="H202" s="20"/>
      <c r="I202" s="20"/>
      <c r="J202" s="20"/>
      <c r="K202" s="21"/>
      <c r="L202" s="20"/>
      <c r="M202" s="20"/>
      <c r="N202" s="20"/>
      <c r="O202" s="20"/>
    </row>
    <row r="203" customFormat="false" ht="15" hidden="false" customHeight="false" outlineLevel="0" collapsed="false">
      <c r="A203" s="17" t="str">
        <f aca="false">IF(Policy!A203="","",Policy!A203)</f>
        <v/>
      </c>
      <c r="B203" s="17" t="str">
        <f aca="false">IF(Policy!A203="","",Policy!B203)</f>
        <v/>
      </c>
      <c r="C203" s="17" t="str">
        <f aca="false">IF(Policy!A203="","",Policy!E203)</f>
        <v/>
      </c>
      <c r="D203" s="18"/>
      <c r="E203" s="19" t="str">
        <f aca="false">IF(A203="","",D203*(F203+H203)/100)</f>
        <v/>
      </c>
      <c r="F203" s="20"/>
      <c r="G203" s="20"/>
      <c r="H203" s="20"/>
      <c r="I203" s="20"/>
      <c r="J203" s="20"/>
      <c r="K203" s="21"/>
      <c r="L203" s="20"/>
      <c r="M203" s="20"/>
      <c r="N203" s="20"/>
      <c r="O203" s="20"/>
    </row>
    <row r="204" customFormat="false" ht="15" hidden="false" customHeight="false" outlineLevel="0" collapsed="false">
      <c r="A204" s="17" t="str">
        <f aca="false">IF(Policy!A204="","",Policy!A204)</f>
        <v/>
      </c>
      <c r="B204" s="17" t="str">
        <f aca="false">IF(Policy!A204="","",Policy!B204)</f>
        <v/>
      </c>
      <c r="C204" s="17" t="str">
        <f aca="false">IF(Policy!A204="","",Policy!E204)</f>
        <v/>
      </c>
      <c r="D204" s="18"/>
      <c r="E204" s="19" t="str">
        <f aca="false">IF(A204="","",D204*(F204+H204)/100)</f>
        <v/>
      </c>
      <c r="F204" s="20"/>
      <c r="G204" s="20"/>
      <c r="H204" s="20"/>
      <c r="I204" s="20"/>
      <c r="J204" s="20"/>
      <c r="K204" s="21"/>
      <c r="L204" s="20"/>
      <c r="M204" s="20"/>
      <c r="N204" s="20"/>
      <c r="O204" s="20"/>
    </row>
    <row r="205" customFormat="false" ht="15" hidden="false" customHeight="false" outlineLevel="0" collapsed="false">
      <c r="A205" s="17" t="str">
        <f aca="false">IF(Policy!A205="","",Policy!A205)</f>
        <v/>
      </c>
      <c r="B205" s="17" t="str">
        <f aca="false">IF(Policy!A205="","",Policy!B205)</f>
        <v/>
      </c>
      <c r="C205" s="17" t="str">
        <f aca="false">IF(Policy!A205="","",Policy!E205)</f>
        <v/>
      </c>
      <c r="D205" s="18"/>
      <c r="E205" s="19" t="str">
        <f aca="false">IF(A205="","",D205*(F205+H205)/100)</f>
        <v/>
      </c>
      <c r="F205" s="20"/>
      <c r="G205" s="20"/>
      <c r="H205" s="20"/>
      <c r="I205" s="20"/>
      <c r="J205" s="20"/>
      <c r="K205" s="21"/>
      <c r="L205" s="20"/>
      <c r="M205" s="20"/>
      <c r="N205" s="20"/>
      <c r="O205" s="20"/>
    </row>
    <row r="206" customFormat="false" ht="15" hidden="false" customHeight="false" outlineLevel="0" collapsed="false">
      <c r="A206" s="17" t="str">
        <f aca="false">IF(Policy!A206="","",Policy!A206)</f>
        <v/>
      </c>
      <c r="B206" s="17" t="str">
        <f aca="false">IF(Policy!A206="","",Policy!B206)</f>
        <v/>
      </c>
      <c r="C206" s="17" t="str">
        <f aca="false">IF(Policy!A206="","",Policy!E206)</f>
        <v/>
      </c>
      <c r="D206" s="18"/>
      <c r="E206" s="19" t="str">
        <f aca="false">IF(A206="","",D206*(F206+H206)/100)</f>
        <v/>
      </c>
      <c r="F206" s="20"/>
      <c r="G206" s="20"/>
      <c r="H206" s="20"/>
      <c r="I206" s="20"/>
      <c r="J206" s="20"/>
      <c r="K206" s="21"/>
      <c r="L206" s="20"/>
      <c r="M206" s="20"/>
      <c r="N206" s="20"/>
      <c r="O206" s="20"/>
    </row>
    <row r="207" customFormat="false" ht="15" hidden="false" customHeight="false" outlineLevel="0" collapsed="false">
      <c r="A207" s="17" t="str">
        <f aca="false">IF(Policy!A207="","",Policy!A207)</f>
        <v/>
      </c>
      <c r="B207" s="17" t="str">
        <f aca="false">IF(Policy!A207="","",Policy!B207)</f>
        <v/>
      </c>
      <c r="C207" s="17" t="str">
        <f aca="false">IF(Policy!A207="","",Policy!E207)</f>
        <v/>
      </c>
      <c r="D207" s="18"/>
      <c r="E207" s="19" t="str">
        <f aca="false">IF(A207="","",D207*(F207+H207)/100)</f>
        <v/>
      </c>
      <c r="F207" s="20"/>
      <c r="G207" s="20"/>
      <c r="H207" s="20"/>
      <c r="I207" s="20"/>
      <c r="J207" s="20"/>
      <c r="K207" s="21"/>
      <c r="L207" s="20"/>
      <c r="M207" s="20"/>
      <c r="N207" s="20"/>
      <c r="O207" s="20"/>
    </row>
    <row r="208" customFormat="false" ht="15" hidden="false" customHeight="false" outlineLevel="0" collapsed="false">
      <c r="A208" s="17" t="str">
        <f aca="false">IF(Policy!A208="","",Policy!A208)</f>
        <v/>
      </c>
      <c r="B208" s="17" t="str">
        <f aca="false">IF(Policy!A208="","",Policy!B208)</f>
        <v/>
      </c>
      <c r="C208" s="17" t="str">
        <f aca="false">IF(Policy!A208="","",Policy!E208)</f>
        <v/>
      </c>
      <c r="D208" s="18"/>
      <c r="E208" s="19" t="str">
        <f aca="false">IF(A208="","",D208*(F208+H208)/100)</f>
        <v/>
      </c>
      <c r="F208" s="20"/>
      <c r="G208" s="20"/>
      <c r="H208" s="20"/>
      <c r="I208" s="20"/>
      <c r="J208" s="20"/>
      <c r="K208" s="21"/>
      <c r="L208" s="20"/>
      <c r="M208" s="20"/>
      <c r="N208" s="20"/>
      <c r="O208" s="20"/>
    </row>
    <row r="209" customFormat="false" ht="15" hidden="false" customHeight="false" outlineLevel="0" collapsed="false">
      <c r="A209" s="17" t="str">
        <f aca="false">IF(Policy!A209="","",Policy!A209)</f>
        <v/>
      </c>
      <c r="B209" s="17" t="str">
        <f aca="false">IF(Policy!A209="","",Policy!B209)</f>
        <v/>
      </c>
      <c r="C209" s="17" t="str">
        <f aca="false">IF(Policy!A209="","",Policy!E209)</f>
        <v/>
      </c>
      <c r="D209" s="18"/>
      <c r="E209" s="19" t="str">
        <f aca="false">IF(A209="","",D209*(F209+H209)/100)</f>
        <v/>
      </c>
      <c r="F209" s="20"/>
      <c r="G209" s="20"/>
      <c r="H209" s="20"/>
      <c r="I209" s="20"/>
      <c r="J209" s="20"/>
      <c r="K209" s="21"/>
      <c r="L209" s="20"/>
      <c r="M209" s="20"/>
      <c r="N209" s="20"/>
      <c r="O209" s="20"/>
    </row>
    <row r="210" customFormat="false" ht="15" hidden="false" customHeight="false" outlineLevel="0" collapsed="false">
      <c r="A210" s="17" t="str">
        <f aca="false">IF(Policy!A210="","",Policy!A210)</f>
        <v/>
      </c>
      <c r="B210" s="17" t="str">
        <f aca="false">IF(Policy!A210="","",Policy!B210)</f>
        <v/>
      </c>
      <c r="C210" s="17" t="str">
        <f aca="false">IF(Policy!A210="","",Policy!E210)</f>
        <v/>
      </c>
      <c r="D210" s="18"/>
      <c r="E210" s="19" t="str">
        <f aca="false">IF(A210="","",D210*(F210+H210)/100)</f>
        <v/>
      </c>
      <c r="F210" s="20"/>
      <c r="G210" s="20"/>
      <c r="H210" s="20"/>
      <c r="I210" s="20"/>
      <c r="J210" s="20"/>
      <c r="K210" s="21"/>
      <c r="L210" s="20"/>
      <c r="M210" s="20"/>
      <c r="N210" s="20"/>
      <c r="O210" s="20"/>
    </row>
    <row r="211" customFormat="false" ht="15" hidden="false" customHeight="false" outlineLevel="0" collapsed="false">
      <c r="A211" s="17" t="str">
        <f aca="false">IF(Policy!A211="","",Policy!A211)</f>
        <v/>
      </c>
      <c r="B211" s="17" t="str">
        <f aca="false">IF(Policy!A211="","",Policy!B211)</f>
        <v/>
      </c>
      <c r="C211" s="17" t="str">
        <f aca="false">IF(Policy!A211="","",Policy!E211)</f>
        <v/>
      </c>
      <c r="D211" s="18"/>
      <c r="E211" s="19" t="str">
        <f aca="false">IF(A211="","",D211*(F211+H211)/100)</f>
        <v/>
      </c>
      <c r="F211" s="20"/>
      <c r="G211" s="20"/>
      <c r="H211" s="20"/>
      <c r="I211" s="20"/>
      <c r="J211" s="20"/>
      <c r="K211" s="21"/>
      <c r="L211" s="20"/>
      <c r="M211" s="20"/>
      <c r="N211" s="20"/>
      <c r="O211" s="20"/>
    </row>
    <row r="212" customFormat="false" ht="15" hidden="false" customHeight="false" outlineLevel="0" collapsed="false">
      <c r="A212" s="17" t="str">
        <f aca="false">IF(Policy!A212="","",Policy!A212)</f>
        <v/>
      </c>
      <c r="B212" s="17" t="str">
        <f aca="false">IF(Policy!A212="","",Policy!B212)</f>
        <v/>
      </c>
      <c r="C212" s="17" t="str">
        <f aca="false">IF(Policy!A212="","",Policy!E212)</f>
        <v/>
      </c>
      <c r="D212" s="18"/>
      <c r="E212" s="19" t="str">
        <f aca="false">IF(A212="","",D212*(F212+H212)/100)</f>
        <v/>
      </c>
      <c r="F212" s="20"/>
      <c r="G212" s="20"/>
      <c r="H212" s="20"/>
      <c r="I212" s="20"/>
      <c r="J212" s="20"/>
      <c r="K212" s="21"/>
      <c r="L212" s="20"/>
      <c r="M212" s="20"/>
      <c r="N212" s="20"/>
      <c r="O212" s="20"/>
    </row>
    <row r="213" customFormat="false" ht="15" hidden="false" customHeight="false" outlineLevel="0" collapsed="false">
      <c r="A213" s="17" t="str">
        <f aca="false">IF(Policy!A213="","",Policy!A213)</f>
        <v/>
      </c>
      <c r="B213" s="17" t="str">
        <f aca="false">IF(Policy!A213="","",Policy!B213)</f>
        <v/>
      </c>
      <c r="C213" s="17" t="str">
        <f aca="false">IF(Policy!A213="","",Policy!E213)</f>
        <v/>
      </c>
      <c r="D213" s="18"/>
      <c r="E213" s="19" t="str">
        <f aca="false">IF(A213="","",D213*(F213+H213)/100)</f>
        <v/>
      </c>
      <c r="F213" s="20"/>
      <c r="G213" s="20"/>
      <c r="H213" s="20"/>
      <c r="I213" s="20"/>
      <c r="J213" s="20"/>
      <c r="K213" s="21"/>
      <c r="L213" s="20"/>
      <c r="M213" s="20"/>
      <c r="N213" s="20"/>
      <c r="O213" s="20"/>
    </row>
    <row r="214" customFormat="false" ht="15" hidden="false" customHeight="false" outlineLevel="0" collapsed="false">
      <c r="A214" s="17" t="str">
        <f aca="false">IF(Policy!A214="","",Policy!A214)</f>
        <v/>
      </c>
      <c r="B214" s="17" t="str">
        <f aca="false">IF(Policy!A214="","",Policy!B214)</f>
        <v/>
      </c>
      <c r="C214" s="17" t="str">
        <f aca="false">IF(Policy!A214="","",Policy!E214)</f>
        <v/>
      </c>
      <c r="D214" s="18"/>
      <c r="E214" s="19" t="str">
        <f aca="false">IF(A214="","",D214*(F214+H214)/100)</f>
        <v/>
      </c>
      <c r="F214" s="20"/>
      <c r="G214" s="20"/>
      <c r="H214" s="20"/>
      <c r="I214" s="20"/>
      <c r="J214" s="20"/>
      <c r="K214" s="21"/>
      <c r="L214" s="20"/>
      <c r="M214" s="20"/>
      <c r="N214" s="20"/>
      <c r="O214" s="20"/>
    </row>
    <row r="215" customFormat="false" ht="15" hidden="false" customHeight="false" outlineLevel="0" collapsed="false">
      <c r="A215" s="17" t="str">
        <f aca="false">IF(Policy!A215="","",Policy!A215)</f>
        <v/>
      </c>
      <c r="B215" s="17" t="str">
        <f aca="false">IF(Policy!A215="","",Policy!B215)</f>
        <v/>
      </c>
      <c r="C215" s="17" t="str">
        <f aca="false">IF(Policy!A215="","",Policy!E215)</f>
        <v/>
      </c>
      <c r="D215" s="18"/>
      <c r="E215" s="19" t="str">
        <f aca="false">IF(A215="","",D215*(F215+H215)/100)</f>
        <v/>
      </c>
      <c r="F215" s="20"/>
      <c r="G215" s="20"/>
      <c r="H215" s="20"/>
      <c r="I215" s="20"/>
      <c r="J215" s="20"/>
      <c r="K215" s="21"/>
      <c r="L215" s="20"/>
      <c r="M215" s="20"/>
      <c r="N215" s="20"/>
      <c r="O215" s="20"/>
    </row>
    <row r="216" customFormat="false" ht="15" hidden="false" customHeight="false" outlineLevel="0" collapsed="false">
      <c r="A216" s="17" t="str">
        <f aca="false">IF(Policy!A216="","",Policy!A216)</f>
        <v/>
      </c>
      <c r="B216" s="17" t="str">
        <f aca="false">IF(Policy!A216="","",Policy!B216)</f>
        <v/>
      </c>
      <c r="C216" s="17" t="str">
        <f aca="false">IF(Policy!A216="","",Policy!E216)</f>
        <v/>
      </c>
      <c r="D216" s="18"/>
      <c r="E216" s="19" t="str">
        <f aca="false">IF(A216="","",D216*(F216+H216)/100)</f>
        <v/>
      </c>
      <c r="F216" s="20"/>
      <c r="G216" s="20"/>
      <c r="H216" s="20"/>
      <c r="I216" s="20"/>
      <c r="J216" s="20"/>
      <c r="K216" s="21"/>
      <c r="L216" s="20"/>
      <c r="M216" s="20"/>
      <c r="N216" s="20"/>
      <c r="O216" s="20"/>
    </row>
    <row r="217" customFormat="false" ht="15" hidden="false" customHeight="false" outlineLevel="0" collapsed="false">
      <c r="A217" s="17" t="str">
        <f aca="false">IF(Policy!A217="","",Policy!A217)</f>
        <v/>
      </c>
      <c r="B217" s="17" t="str">
        <f aca="false">IF(Policy!A217="","",Policy!B217)</f>
        <v/>
      </c>
      <c r="C217" s="17" t="str">
        <f aca="false">IF(Policy!A217="","",Policy!E217)</f>
        <v/>
      </c>
      <c r="D217" s="18"/>
      <c r="E217" s="19" t="str">
        <f aca="false">IF(A217="","",D217*(F217+H217)/100)</f>
        <v/>
      </c>
      <c r="F217" s="20"/>
      <c r="G217" s="20"/>
      <c r="H217" s="20"/>
      <c r="I217" s="20"/>
      <c r="J217" s="20"/>
      <c r="K217" s="21"/>
      <c r="L217" s="20"/>
      <c r="M217" s="20"/>
      <c r="N217" s="20"/>
      <c r="O217" s="20"/>
    </row>
    <row r="218" customFormat="false" ht="15" hidden="false" customHeight="false" outlineLevel="0" collapsed="false">
      <c r="A218" s="17" t="str">
        <f aca="false">IF(Policy!A218="","",Policy!A218)</f>
        <v/>
      </c>
      <c r="B218" s="17" t="str">
        <f aca="false">IF(Policy!A218="","",Policy!B218)</f>
        <v/>
      </c>
      <c r="C218" s="17" t="str">
        <f aca="false">IF(Policy!A218="","",Policy!E218)</f>
        <v/>
      </c>
      <c r="D218" s="18"/>
      <c r="E218" s="19" t="str">
        <f aca="false">IF(A218="","",D218*(F218+H218)/100)</f>
        <v/>
      </c>
      <c r="F218" s="20"/>
      <c r="G218" s="20"/>
      <c r="H218" s="20"/>
      <c r="I218" s="20"/>
      <c r="J218" s="20"/>
      <c r="K218" s="21"/>
      <c r="L218" s="20"/>
      <c r="M218" s="20"/>
      <c r="N218" s="20"/>
      <c r="O218" s="20"/>
    </row>
    <row r="219" customFormat="false" ht="15" hidden="false" customHeight="false" outlineLevel="0" collapsed="false">
      <c r="A219" s="17" t="str">
        <f aca="false">IF(Policy!A219="","",Policy!A219)</f>
        <v/>
      </c>
      <c r="B219" s="17" t="str">
        <f aca="false">IF(Policy!A219="","",Policy!B219)</f>
        <v/>
      </c>
      <c r="C219" s="17" t="str">
        <f aca="false">IF(Policy!A219="","",Policy!E219)</f>
        <v/>
      </c>
      <c r="D219" s="18"/>
      <c r="E219" s="19" t="str">
        <f aca="false">IF(A219="","",D219*(F219+H219)/100)</f>
        <v/>
      </c>
      <c r="F219" s="20"/>
      <c r="G219" s="20"/>
      <c r="H219" s="20"/>
      <c r="I219" s="20"/>
      <c r="J219" s="20"/>
      <c r="K219" s="21"/>
      <c r="L219" s="20"/>
      <c r="M219" s="20"/>
      <c r="N219" s="20"/>
      <c r="O219" s="20"/>
    </row>
    <row r="220" customFormat="false" ht="15" hidden="false" customHeight="false" outlineLevel="0" collapsed="false">
      <c r="A220" s="17" t="str">
        <f aca="false">IF(Policy!A220="","",Policy!A220)</f>
        <v/>
      </c>
      <c r="B220" s="17" t="str">
        <f aca="false">IF(Policy!A220="","",Policy!B220)</f>
        <v/>
      </c>
      <c r="C220" s="17" t="str">
        <f aca="false">IF(Policy!A220="","",Policy!E220)</f>
        <v/>
      </c>
      <c r="D220" s="18"/>
      <c r="E220" s="19" t="str">
        <f aca="false">IF(A220="","",D220*(F220+H220)/100)</f>
        <v/>
      </c>
      <c r="F220" s="20"/>
      <c r="G220" s="20"/>
      <c r="H220" s="20"/>
      <c r="I220" s="20"/>
      <c r="J220" s="20"/>
      <c r="K220" s="21"/>
      <c r="L220" s="20"/>
      <c r="M220" s="20"/>
      <c r="N220" s="20"/>
      <c r="O220" s="20"/>
    </row>
    <row r="221" customFormat="false" ht="15" hidden="false" customHeight="false" outlineLevel="0" collapsed="false">
      <c r="A221" s="17" t="str">
        <f aca="false">IF(Policy!A221="","",Policy!A221)</f>
        <v/>
      </c>
      <c r="B221" s="17" t="str">
        <f aca="false">IF(Policy!A221="","",Policy!B221)</f>
        <v/>
      </c>
      <c r="C221" s="17" t="str">
        <f aca="false">IF(Policy!A221="","",Policy!E221)</f>
        <v/>
      </c>
      <c r="D221" s="18"/>
      <c r="E221" s="19" t="str">
        <f aca="false">IF(A221="","",D221*(F221+H221)/100)</f>
        <v/>
      </c>
      <c r="F221" s="20"/>
      <c r="G221" s="20"/>
      <c r="H221" s="20"/>
      <c r="I221" s="20"/>
      <c r="J221" s="20"/>
      <c r="K221" s="21"/>
      <c r="L221" s="20"/>
      <c r="M221" s="20"/>
      <c r="N221" s="20"/>
      <c r="O221" s="20"/>
    </row>
    <row r="222" customFormat="false" ht="15" hidden="false" customHeight="false" outlineLevel="0" collapsed="false">
      <c r="A222" s="17" t="str">
        <f aca="false">IF(Policy!A222="","",Policy!A222)</f>
        <v/>
      </c>
      <c r="B222" s="17" t="str">
        <f aca="false">IF(Policy!A222="","",Policy!B222)</f>
        <v/>
      </c>
      <c r="C222" s="17" t="str">
        <f aca="false">IF(Policy!A222="","",Policy!E222)</f>
        <v/>
      </c>
      <c r="D222" s="18"/>
      <c r="E222" s="19" t="str">
        <f aca="false">IF(A222="","",D222*(F222+H222)/100)</f>
        <v/>
      </c>
      <c r="F222" s="20"/>
      <c r="G222" s="20"/>
      <c r="H222" s="20"/>
      <c r="I222" s="20"/>
      <c r="J222" s="20"/>
      <c r="K222" s="21"/>
      <c r="L222" s="20"/>
      <c r="M222" s="20"/>
      <c r="N222" s="20"/>
      <c r="O222" s="20"/>
    </row>
    <row r="223" customFormat="false" ht="15" hidden="false" customHeight="false" outlineLevel="0" collapsed="false">
      <c r="A223" s="17" t="str">
        <f aca="false">IF(Policy!A223="","",Policy!A223)</f>
        <v/>
      </c>
      <c r="B223" s="17" t="str">
        <f aca="false">IF(Policy!A223="","",Policy!B223)</f>
        <v/>
      </c>
      <c r="C223" s="17" t="str">
        <f aca="false">IF(Policy!A223="","",Policy!E223)</f>
        <v/>
      </c>
      <c r="D223" s="18"/>
      <c r="E223" s="19" t="str">
        <f aca="false">IF(A223="","",D223*(F223+H223)/100)</f>
        <v/>
      </c>
      <c r="F223" s="20"/>
      <c r="G223" s="20"/>
      <c r="H223" s="20"/>
      <c r="I223" s="20"/>
      <c r="J223" s="20"/>
      <c r="K223" s="21"/>
      <c r="L223" s="20"/>
      <c r="M223" s="20"/>
      <c r="N223" s="20"/>
      <c r="O223" s="20"/>
    </row>
    <row r="224" customFormat="false" ht="15" hidden="false" customHeight="false" outlineLevel="0" collapsed="false">
      <c r="A224" s="17" t="str">
        <f aca="false">IF(Policy!A224="","",Policy!A224)</f>
        <v/>
      </c>
      <c r="B224" s="17" t="str">
        <f aca="false">IF(Policy!A224="","",Policy!B224)</f>
        <v/>
      </c>
      <c r="C224" s="17" t="str">
        <f aca="false">IF(Policy!A224="","",Policy!E224)</f>
        <v/>
      </c>
      <c r="D224" s="18"/>
      <c r="E224" s="19" t="str">
        <f aca="false">IF(A224="","",D224*(F224+H224)/100)</f>
        <v/>
      </c>
      <c r="F224" s="20"/>
      <c r="G224" s="20"/>
      <c r="H224" s="20"/>
      <c r="I224" s="20"/>
      <c r="J224" s="20"/>
      <c r="K224" s="21"/>
      <c r="L224" s="20"/>
      <c r="M224" s="20"/>
      <c r="N224" s="20"/>
      <c r="O224" s="20"/>
    </row>
    <row r="225" customFormat="false" ht="15" hidden="false" customHeight="false" outlineLevel="0" collapsed="false">
      <c r="A225" s="17" t="str">
        <f aca="false">IF(Policy!A225="","",Policy!A225)</f>
        <v/>
      </c>
      <c r="B225" s="17" t="str">
        <f aca="false">IF(Policy!A225="","",Policy!B225)</f>
        <v/>
      </c>
      <c r="C225" s="17" t="str">
        <f aca="false">IF(Policy!A225="","",Policy!E225)</f>
        <v/>
      </c>
      <c r="D225" s="18"/>
      <c r="E225" s="19" t="str">
        <f aca="false">IF(A225="","",D225*(F225+H225)/100)</f>
        <v/>
      </c>
      <c r="F225" s="20"/>
      <c r="G225" s="20"/>
      <c r="H225" s="20"/>
      <c r="I225" s="20"/>
      <c r="J225" s="20"/>
      <c r="K225" s="21"/>
      <c r="L225" s="20"/>
      <c r="M225" s="20"/>
      <c r="N225" s="20"/>
      <c r="O225" s="20"/>
    </row>
    <row r="226" customFormat="false" ht="15" hidden="false" customHeight="false" outlineLevel="0" collapsed="false">
      <c r="A226" s="17" t="str">
        <f aca="false">IF(Policy!A226="","",Policy!A226)</f>
        <v/>
      </c>
      <c r="B226" s="17" t="str">
        <f aca="false">IF(Policy!A226="","",Policy!B226)</f>
        <v/>
      </c>
      <c r="C226" s="17" t="str">
        <f aca="false">IF(Policy!A226="","",Policy!E226)</f>
        <v/>
      </c>
      <c r="D226" s="18"/>
      <c r="E226" s="19" t="str">
        <f aca="false">IF(A226="","",D226*(F226+H226)/100)</f>
        <v/>
      </c>
      <c r="F226" s="20"/>
      <c r="G226" s="20"/>
      <c r="H226" s="20"/>
      <c r="I226" s="20"/>
      <c r="J226" s="20"/>
      <c r="K226" s="21"/>
      <c r="L226" s="20"/>
      <c r="M226" s="20"/>
      <c r="N226" s="20"/>
      <c r="O226" s="20"/>
    </row>
    <row r="227" customFormat="false" ht="15" hidden="false" customHeight="false" outlineLevel="0" collapsed="false">
      <c r="A227" s="17" t="str">
        <f aca="false">IF(Policy!A227="","",Policy!A227)</f>
        <v/>
      </c>
      <c r="B227" s="17" t="str">
        <f aca="false">IF(Policy!A227="","",Policy!B227)</f>
        <v/>
      </c>
      <c r="C227" s="17" t="str">
        <f aca="false">IF(Policy!A227="","",Policy!E227)</f>
        <v/>
      </c>
      <c r="D227" s="18"/>
      <c r="E227" s="19" t="str">
        <f aca="false">IF(A227="","",D227*(F227+H227)/100)</f>
        <v/>
      </c>
      <c r="F227" s="20"/>
      <c r="G227" s="20"/>
      <c r="H227" s="20"/>
      <c r="I227" s="20"/>
      <c r="J227" s="20"/>
      <c r="K227" s="21"/>
      <c r="L227" s="20"/>
      <c r="M227" s="20"/>
      <c r="N227" s="20"/>
      <c r="O227" s="20"/>
    </row>
    <row r="228" customFormat="false" ht="15" hidden="false" customHeight="false" outlineLevel="0" collapsed="false">
      <c r="A228" s="17" t="str">
        <f aca="false">IF(Policy!A228="","",Policy!A228)</f>
        <v/>
      </c>
      <c r="B228" s="17" t="str">
        <f aca="false">IF(Policy!A228="","",Policy!B228)</f>
        <v/>
      </c>
      <c r="C228" s="17" t="str">
        <f aca="false">IF(Policy!A228="","",Policy!E228)</f>
        <v/>
      </c>
      <c r="D228" s="18"/>
      <c r="E228" s="19" t="str">
        <f aca="false">IF(A228="","",D228*(F228+H228)/100)</f>
        <v/>
      </c>
      <c r="F228" s="20"/>
      <c r="G228" s="20"/>
      <c r="H228" s="20"/>
      <c r="I228" s="20"/>
      <c r="J228" s="20"/>
      <c r="K228" s="21"/>
      <c r="L228" s="20"/>
      <c r="M228" s="20"/>
      <c r="N228" s="20"/>
      <c r="O228" s="20"/>
    </row>
    <row r="229" customFormat="false" ht="15" hidden="false" customHeight="false" outlineLevel="0" collapsed="false">
      <c r="A229" s="17" t="str">
        <f aca="false">IF(Policy!A229="","",Policy!A229)</f>
        <v/>
      </c>
      <c r="B229" s="17" t="str">
        <f aca="false">IF(Policy!A229="","",Policy!B229)</f>
        <v/>
      </c>
      <c r="C229" s="17" t="str">
        <f aca="false">IF(Policy!A229="","",Policy!E229)</f>
        <v/>
      </c>
      <c r="D229" s="18"/>
      <c r="E229" s="19" t="str">
        <f aca="false">IF(A229="","",D229*(F229+H229)/100)</f>
        <v/>
      </c>
      <c r="F229" s="20"/>
      <c r="G229" s="20"/>
      <c r="H229" s="20"/>
      <c r="I229" s="20"/>
      <c r="J229" s="20"/>
      <c r="K229" s="21"/>
      <c r="L229" s="20"/>
      <c r="M229" s="20"/>
      <c r="N229" s="20"/>
      <c r="O229" s="20"/>
    </row>
    <row r="230" customFormat="false" ht="15" hidden="false" customHeight="false" outlineLevel="0" collapsed="false">
      <c r="A230" s="17" t="str">
        <f aca="false">IF(Policy!A230="","",Policy!A230)</f>
        <v/>
      </c>
      <c r="B230" s="17" t="str">
        <f aca="false">IF(Policy!A230="","",Policy!B230)</f>
        <v/>
      </c>
      <c r="C230" s="17" t="str">
        <f aca="false">IF(Policy!A230="","",Policy!E230)</f>
        <v/>
      </c>
      <c r="D230" s="18"/>
      <c r="E230" s="19" t="str">
        <f aca="false">IF(A230="","",D230*(F230+H230)/100)</f>
        <v/>
      </c>
      <c r="F230" s="20"/>
      <c r="G230" s="20"/>
      <c r="H230" s="20"/>
      <c r="I230" s="20"/>
      <c r="J230" s="20"/>
      <c r="K230" s="21"/>
      <c r="L230" s="20"/>
      <c r="M230" s="20"/>
      <c r="N230" s="20"/>
      <c r="O230" s="20"/>
    </row>
    <row r="231" customFormat="false" ht="15" hidden="false" customHeight="false" outlineLevel="0" collapsed="false">
      <c r="A231" s="17" t="str">
        <f aca="false">IF(Policy!A231="","",Policy!A231)</f>
        <v/>
      </c>
      <c r="B231" s="17" t="str">
        <f aca="false">IF(Policy!A231="","",Policy!B231)</f>
        <v/>
      </c>
      <c r="C231" s="17" t="str">
        <f aca="false">IF(Policy!A231="","",Policy!E231)</f>
        <v/>
      </c>
      <c r="D231" s="18"/>
      <c r="E231" s="19" t="str">
        <f aca="false">IF(A231="","",D231*(F231+H231)/100)</f>
        <v/>
      </c>
      <c r="F231" s="20"/>
      <c r="G231" s="20"/>
      <c r="H231" s="20"/>
      <c r="I231" s="20"/>
      <c r="J231" s="20"/>
      <c r="K231" s="21"/>
      <c r="L231" s="20"/>
      <c r="M231" s="20"/>
      <c r="N231" s="20"/>
      <c r="O231" s="20"/>
    </row>
    <row r="232" customFormat="false" ht="15" hidden="false" customHeight="false" outlineLevel="0" collapsed="false">
      <c r="A232" s="17" t="str">
        <f aca="false">IF(Policy!A232="","",Policy!A232)</f>
        <v/>
      </c>
      <c r="B232" s="17" t="str">
        <f aca="false">IF(Policy!A232="","",Policy!B232)</f>
        <v/>
      </c>
      <c r="C232" s="17" t="str">
        <f aca="false">IF(Policy!A232="","",Policy!E232)</f>
        <v/>
      </c>
      <c r="D232" s="18"/>
      <c r="E232" s="19" t="str">
        <f aca="false">IF(A232="","",D232*(F232+H232)/100)</f>
        <v/>
      </c>
      <c r="F232" s="20"/>
      <c r="G232" s="20"/>
      <c r="H232" s="20"/>
      <c r="I232" s="20"/>
      <c r="J232" s="20"/>
      <c r="K232" s="21"/>
      <c r="L232" s="20"/>
      <c r="M232" s="20"/>
      <c r="N232" s="20"/>
      <c r="O232" s="20"/>
    </row>
    <row r="233" customFormat="false" ht="15" hidden="false" customHeight="false" outlineLevel="0" collapsed="false">
      <c r="A233" s="17" t="str">
        <f aca="false">IF(Policy!A233="","",Policy!A233)</f>
        <v/>
      </c>
      <c r="B233" s="17" t="str">
        <f aca="false">IF(Policy!A233="","",Policy!B233)</f>
        <v/>
      </c>
      <c r="C233" s="17" t="str">
        <f aca="false">IF(Policy!A233="","",Policy!E233)</f>
        <v/>
      </c>
      <c r="D233" s="18"/>
      <c r="E233" s="19" t="str">
        <f aca="false">IF(A233="","",D233*(F233+H233)/100)</f>
        <v/>
      </c>
      <c r="F233" s="20"/>
      <c r="G233" s="20"/>
      <c r="H233" s="20"/>
      <c r="I233" s="20"/>
      <c r="J233" s="20"/>
      <c r="K233" s="21"/>
      <c r="L233" s="20"/>
      <c r="M233" s="20"/>
      <c r="N233" s="20"/>
      <c r="O233" s="20"/>
    </row>
    <row r="234" customFormat="false" ht="15" hidden="false" customHeight="false" outlineLevel="0" collapsed="false">
      <c r="A234" s="17" t="str">
        <f aca="false">IF(Policy!A234="","",Policy!A234)</f>
        <v/>
      </c>
      <c r="B234" s="17" t="str">
        <f aca="false">IF(Policy!A234="","",Policy!B234)</f>
        <v/>
      </c>
      <c r="C234" s="17" t="str">
        <f aca="false">IF(Policy!A234="","",Policy!E234)</f>
        <v/>
      </c>
      <c r="D234" s="18"/>
      <c r="E234" s="19" t="str">
        <f aca="false">IF(A234="","",D234*(F234+H234)/100)</f>
        <v/>
      </c>
      <c r="F234" s="20"/>
      <c r="G234" s="20"/>
      <c r="H234" s="20"/>
      <c r="I234" s="20"/>
      <c r="J234" s="20"/>
      <c r="K234" s="21"/>
      <c r="L234" s="20"/>
      <c r="M234" s="20"/>
      <c r="N234" s="20"/>
      <c r="O234" s="20"/>
    </row>
    <row r="235" customFormat="false" ht="15" hidden="false" customHeight="false" outlineLevel="0" collapsed="false">
      <c r="A235" s="17" t="str">
        <f aca="false">IF(Policy!A235="","",Policy!A235)</f>
        <v/>
      </c>
      <c r="B235" s="17" t="str">
        <f aca="false">IF(Policy!A235="","",Policy!B235)</f>
        <v/>
      </c>
      <c r="C235" s="17" t="str">
        <f aca="false">IF(Policy!A235="","",Policy!E235)</f>
        <v/>
      </c>
      <c r="D235" s="18"/>
      <c r="E235" s="19" t="str">
        <f aca="false">IF(A235="","",D235*(F235+H235)/100)</f>
        <v/>
      </c>
      <c r="F235" s="20"/>
      <c r="G235" s="20"/>
      <c r="H235" s="20"/>
      <c r="I235" s="20"/>
      <c r="J235" s="20"/>
      <c r="K235" s="21"/>
      <c r="L235" s="20"/>
      <c r="M235" s="20"/>
      <c r="N235" s="20"/>
      <c r="O235" s="20"/>
    </row>
    <row r="236" customFormat="false" ht="15" hidden="false" customHeight="false" outlineLevel="0" collapsed="false">
      <c r="A236" s="17" t="str">
        <f aca="false">IF(Policy!A236="","",Policy!A236)</f>
        <v/>
      </c>
      <c r="B236" s="17" t="str">
        <f aca="false">IF(Policy!A236="","",Policy!B236)</f>
        <v/>
      </c>
      <c r="C236" s="17" t="str">
        <f aca="false">IF(Policy!A236="","",Policy!E236)</f>
        <v/>
      </c>
      <c r="D236" s="18"/>
      <c r="E236" s="19" t="str">
        <f aca="false">IF(A236="","",D236*(F236+H236)/100)</f>
        <v/>
      </c>
      <c r="F236" s="20"/>
      <c r="G236" s="20"/>
      <c r="H236" s="20"/>
      <c r="I236" s="20"/>
      <c r="J236" s="20"/>
      <c r="K236" s="21"/>
      <c r="L236" s="20"/>
      <c r="M236" s="20"/>
      <c r="N236" s="20"/>
      <c r="O236" s="20"/>
    </row>
    <row r="237" customFormat="false" ht="15" hidden="false" customHeight="false" outlineLevel="0" collapsed="false">
      <c r="A237" s="17" t="str">
        <f aca="false">IF(Policy!A237="","",Policy!A237)</f>
        <v/>
      </c>
      <c r="B237" s="17" t="str">
        <f aca="false">IF(Policy!A237="","",Policy!B237)</f>
        <v/>
      </c>
      <c r="C237" s="17" t="str">
        <f aca="false">IF(Policy!A237="","",Policy!E237)</f>
        <v/>
      </c>
      <c r="D237" s="18"/>
      <c r="E237" s="19" t="str">
        <f aca="false">IF(A237="","",D237*(F237+H237)/100)</f>
        <v/>
      </c>
      <c r="F237" s="20"/>
      <c r="G237" s="20"/>
      <c r="H237" s="20"/>
      <c r="I237" s="20"/>
      <c r="J237" s="20"/>
      <c r="K237" s="21"/>
      <c r="L237" s="20"/>
      <c r="M237" s="20"/>
      <c r="N237" s="20"/>
      <c r="O237" s="20"/>
    </row>
    <row r="238" customFormat="false" ht="15" hidden="false" customHeight="false" outlineLevel="0" collapsed="false">
      <c r="A238" s="17" t="str">
        <f aca="false">IF(Policy!A238="","",Policy!A238)</f>
        <v/>
      </c>
      <c r="B238" s="17" t="str">
        <f aca="false">IF(Policy!A238="","",Policy!B238)</f>
        <v/>
      </c>
      <c r="C238" s="17" t="str">
        <f aca="false">IF(Policy!A238="","",Policy!E238)</f>
        <v/>
      </c>
      <c r="D238" s="18"/>
      <c r="E238" s="19" t="str">
        <f aca="false">IF(A238="","",D238*(F238+H238)/100)</f>
        <v/>
      </c>
      <c r="F238" s="20"/>
      <c r="G238" s="20"/>
      <c r="H238" s="20"/>
      <c r="I238" s="20"/>
      <c r="J238" s="20"/>
      <c r="K238" s="21"/>
      <c r="L238" s="20"/>
      <c r="M238" s="20"/>
      <c r="N238" s="20"/>
      <c r="O238" s="20"/>
    </row>
    <row r="239" customFormat="false" ht="15" hidden="false" customHeight="false" outlineLevel="0" collapsed="false">
      <c r="A239" s="17" t="str">
        <f aca="false">IF(Policy!A239="","",Policy!A239)</f>
        <v/>
      </c>
      <c r="B239" s="17" t="str">
        <f aca="false">IF(Policy!A239="","",Policy!B239)</f>
        <v/>
      </c>
      <c r="C239" s="17" t="str">
        <f aca="false">IF(Policy!A239="","",Policy!E239)</f>
        <v/>
      </c>
      <c r="D239" s="18"/>
      <c r="E239" s="19" t="str">
        <f aca="false">IF(A239="","",D239*(F239+H239)/100)</f>
        <v/>
      </c>
      <c r="F239" s="20"/>
      <c r="G239" s="20"/>
      <c r="H239" s="20"/>
      <c r="I239" s="20"/>
      <c r="J239" s="20"/>
      <c r="K239" s="21"/>
      <c r="L239" s="20"/>
      <c r="M239" s="20"/>
      <c r="N239" s="20"/>
      <c r="O239" s="20"/>
    </row>
    <row r="240" customFormat="false" ht="15" hidden="false" customHeight="false" outlineLevel="0" collapsed="false">
      <c r="A240" s="17" t="str">
        <f aca="false">IF(Policy!A240="","",Policy!A240)</f>
        <v/>
      </c>
      <c r="B240" s="17" t="str">
        <f aca="false">IF(Policy!A240="","",Policy!B240)</f>
        <v/>
      </c>
      <c r="C240" s="17" t="str">
        <f aca="false">IF(Policy!A240="","",Policy!E240)</f>
        <v/>
      </c>
      <c r="D240" s="18"/>
      <c r="E240" s="19" t="str">
        <f aca="false">IF(A240="","",D240*(F240+H240)/100)</f>
        <v/>
      </c>
      <c r="F240" s="20"/>
      <c r="G240" s="20"/>
      <c r="H240" s="20"/>
      <c r="I240" s="20"/>
      <c r="J240" s="20"/>
      <c r="K240" s="21"/>
      <c r="L240" s="20"/>
      <c r="M240" s="20"/>
      <c r="N240" s="20"/>
      <c r="O240" s="20"/>
    </row>
    <row r="241" customFormat="false" ht="15" hidden="false" customHeight="false" outlineLevel="0" collapsed="false">
      <c r="A241" s="17" t="str">
        <f aca="false">IF(Policy!A241="","",Policy!A241)</f>
        <v/>
      </c>
      <c r="B241" s="17" t="str">
        <f aca="false">IF(Policy!A241="","",Policy!B241)</f>
        <v/>
      </c>
      <c r="C241" s="17" t="str">
        <f aca="false">IF(Policy!A241="","",Policy!E241)</f>
        <v/>
      </c>
      <c r="D241" s="18"/>
      <c r="E241" s="19" t="str">
        <f aca="false">IF(A241="","",D241*(F241+H241)/100)</f>
        <v/>
      </c>
      <c r="F241" s="20"/>
      <c r="G241" s="20"/>
      <c r="H241" s="20"/>
      <c r="I241" s="20"/>
      <c r="J241" s="20"/>
      <c r="K241" s="21"/>
      <c r="L241" s="20"/>
      <c r="M241" s="20"/>
      <c r="N241" s="20"/>
      <c r="O241" s="20"/>
    </row>
    <row r="242" customFormat="false" ht="15" hidden="false" customHeight="false" outlineLevel="0" collapsed="false">
      <c r="A242" s="17" t="str">
        <f aca="false">IF(Policy!A242="","",Policy!A242)</f>
        <v/>
      </c>
      <c r="B242" s="17" t="str">
        <f aca="false">IF(Policy!A242="","",Policy!B242)</f>
        <v/>
      </c>
      <c r="C242" s="17" t="str">
        <f aca="false">IF(Policy!A242="","",Policy!E242)</f>
        <v/>
      </c>
      <c r="D242" s="18"/>
      <c r="E242" s="19" t="str">
        <f aca="false">IF(A242="","",D242*(F242+H242)/100)</f>
        <v/>
      </c>
      <c r="F242" s="20"/>
      <c r="G242" s="20"/>
      <c r="H242" s="20"/>
      <c r="I242" s="20"/>
      <c r="J242" s="20"/>
      <c r="K242" s="21"/>
      <c r="L242" s="20"/>
      <c r="M242" s="20"/>
      <c r="N242" s="20"/>
      <c r="O242" s="20"/>
    </row>
    <row r="243" customFormat="false" ht="15" hidden="false" customHeight="false" outlineLevel="0" collapsed="false">
      <c r="A243" s="17" t="str">
        <f aca="false">IF(Policy!A243="","",Policy!A243)</f>
        <v/>
      </c>
      <c r="B243" s="17" t="str">
        <f aca="false">IF(Policy!A243="","",Policy!B243)</f>
        <v/>
      </c>
      <c r="C243" s="17" t="str">
        <f aca="false">IF(Policy!A243="","",Policy!E243)</f>
        <v/>
      </c>
      <c r="D243" s="18"/>
      <c r="E243" s="19" t="str">
        <f aca="false">IF(A243="","",D243*(F243+H243)/100)</f>
        <v/>
      </c>
      <c r="F243" s="20"/>
      <c r="G243" s="20"/>
      <c r="H243" s="20"/>
      <c r="I243" s="20"/>
      <c r="J243" s="20"/>
      <c r="K243" s="21"/>
      <c r="L243" s="20"/>
      <c r="M243" s="20"/>
      <c r="N243" s="20"/>
      <c r="O243" s="20"/>
    </row>
    <row r="244" customFormat="false" ht="15" hidden="false" customHeight="false" outlineLevel="0" collapsed="false">
      <c r="A244" s="17" t="str">
        <f aca="false">IF(Policy!A244="","",Policy!A244)</f>
        <v/>
      </c>
      <c r="B244" s="17" t="str">
        <f aca="false">IF(Policy!A244="","",Policy!B244)</f>
        <v/>
      </c>
      <c r="C244" s="17" t="str">
        <f aca="false">IF(Policy!A244="","",Policy!E244)</f>
        <v/>
      </c>
      <c r="D244" s="18"/>
      <c r="E244" s="19" t="str">
        <f aca="false">IF(A244="","",D244*(F244+H244)/100)</f>
        <v/>
      </c>
      <c r="F244" s="20"/>
      <c r="G244" s="20"/>
      <c r="H244" s="20"/>
      <c r="I244" s="20"/>
      <c r="J244" s="20"/>
      <c r="K244" s="21"/>
      <c r="L244" s="20"/>
      <c r="M244" s="20"/>
      <c r="N244" s="20"/>
      <c r="O244" s="20"/>
    </row>
    <row r="245" customFormat="false" ht="15" hidden="false" customHeight="false" outlineLevel="0" collapsed="false">
      <c r="A245" s="17" t="str">
        <f aca="false">IF(Policy!A245="","",Policy!A245)</f>
        <v/>
      </c>
      <c r="B245" s="17" t="str">
        <f aca="false">IF(Policy!A245="","",Policy!B245)</f>
        <v/>
      </c>
      <c r="C245" s="17" t="str">
        <f aca="false">IF(Policy!A245="","",Policy!E245)</f>
        <v/>
      </c>
      <c r="D245" s="18"/>
      <c r="E245" s="19" t="str">
        <f aca="false">IF(A245="","",D245*(F245+H245)/100)</f>
        <v/>
      </c>
      <c r="F245" s="20"/>
      <c r="G245" s="20"/>
      <c r="H245" s="20"/>
      <c r="I245" s="20"/>
      <c r="J245" s="20"/>
      <c r="K245" s="21"/>
      <c r="L245" s="20"/>
      <c r="M245" s="20"/>
      <c r="N245" s="20"/>
      <c r="O245" s="20"/>
    </row>
    <row r="246" customFormat="false" ht="15" hidden="false" customHeight="false" outlineLevel="0" collapsed="false">
      <c r="A246" s="17" t="str">
        <f aca="false">IF(Policy!A246="","",Policy!A246)</f>
        <v/>
      </c>
      <c r="B246" s="17" t="str">
        <f aca="false">IF(Policy!A246="","",Policy!B246)</f>
        <v/>
      </c>
      <c r="C246" s="17" t="str">
        <f aca="false">IF(Policy!A246="","",Policy!E246)</f>
        <v/>
      </c>
      <c r="D246" s="18"/>
      <c r="E246" s="19" t="str">
        <f aca="false">IF(A246="","",D246*(F246+H246)/100)</f>
        <v/>
      </c>
      <c r="F246" s="20"/>
      <c r="G246" s="20"/>
      <c r="H246" s="20"/>
      <c r="I246" s="20"/>
      <c r="J246" s="20"/>
      <c r="K246" s="21"/>
      <c r="L246" s="20"/>
      <c r="M246" s="20"/>
      <c r="N246" s="20"/>
      <c r="O246" s="20"/>
    </row>
    <row r="247" customFormat="false" ht="15" hidden="false" customHeight="false" outlineLevel="0" collapsed="false">
      <c r="A247" s="17" t="str">
        <f aca="false">IF(Policy!A247="","",Policy!A247)</f>
        <v/>
      </c>
      <c r="B247" s="17" t="str">
        <f aca="false">IF(Policy!A247="","",Policy!B247)</f>
        <v/>
      </c>
      <c r="C247" s="17" t="str">
        <f aca="false">IF(Policy!A247="","",Policy!E247)</f>
        <v/>
      </c>
      <c r="D247" s="18"/>
      <c r="E247" s="19" t="str">
        <f aca="false">IF(A247="","",D247*(F247+H247)/100)</f>
        <v/>
      </c>
      <c r="F247" s="20"/>
      <c r="G247" s="20"/>
      <c r="H247" s="20"/>
      <c r="I247" s="20"/>
      <c r="J247" s="20"/>
      <c r="K247" s="21"/>
      <c r="L247" s="20"/>
      <c r="M247" s="20"/>
      <c r="N247" s="20"/>
      <c r="O247" s="20"/>
    </row>
    <row r="248" customFormat="false" ht="15" hidden="false" customHeight="false" outlineLevel="0" collapsed="false">
      <c r="A248" s="17" t="str">
        <f aca="false">IF(Policy!A248="","",Policy!A248)</f>
        <v/>
      </c>
      <c r="B248" s="17" t="str">
        <f aca="false">IF(Policy!A248="","",Policy!B248)</f>
        <v/>
      </c>
      <c r="C248" s="17" t="str">
        <f aca="false">IF(Policy!A248="","",Policy!E248)</f>
        <v/>
      </c>
      <c r="D248" s="18"/>
      <c r="E248" s="19" t="str">
        <f aca="false">IF(A248="","",D248*(F248+H248)/100)</f>
        <v/>
      </c>
      <c r="F248" s="20"/>
      <c r="G248" s="20"/>
      <c r="H248" s="20"/>
      <c r="I248" s="20"/>
      <c r="J248" s="20"/>
      <c r="K248" s="21"/>
      <c r="L248" s="20"/>
      <c r="M248" s="20"/>
      <c r="N248" s="20"/>
      <c r="O248" s="20"/>
    </row>
    <row r="249" customFormat="false" ht="15" hidden="false" customHeight="false" outlineLevel="0" collapsed="false">
      <c r="A249" s="17" t="str">
        <f aca="false">IF(Policy!A249="","",Policy!A249)</f>
        <v/>
      </c>
      <c r="B249" s="17" t="str">
        <f aca="false">IF(Policy!A249="","",Policy!B249)</f>
        <v/>
      </c>
      <c r="C249" s="17" t="str">
        <f aca="false">IF(Policy!A249="","",Policy!E249)</f>
        <v/>
      </c>
      <c r="D249" s="18"/>
      <c r="E249" s="19" t="str">
        <f aca="false">IF(A249="","",D249*(F249+H249)/100)</f>
        <v/>
      </c>
      <c r="F249" s="20"/>
      <c r="G249" s="20"/>
      <c r="H249" s="20"/>
      <c r="I249" s="20"/>
      <c r="J249" s="20"/>
      <c r="K249" s="21"/>
      <c r="L249" s="20"/>
      <c r="M249" s="20"/>
      <c r="N249" s="20"/>
      <c r="O249" s="20"/>
    </row>
    <row r="250" customFormat="false" ht="15" hidden="false" customHeight="false" outlineLevel="0" collapsed="false">
      <c r="A250" s="17" t="str">
        <f aca="false">IF(Policy!A250="","",Policy!A250)</f>
        <v/>
      </c>
      <c r="B250" s="17" t="str">
        <f aca="false">IF(Policy!A250="","",Policy!B250)</f>
        <v/>
      </c>
      <c r="C250" s="17" t="str">
        <f aca="false">IF(Policy!A250="","",Policy!E250)</f>
        <v/>
      </c>
      <c r="D250" s="18"/>
      <c r="E250" s="19" t="str">
        <f aca="false">IF(A250="","",D250*(F250+H250)/100)</f>
        <v/>
      </c>
      <c r="F250" s="20"/>
      <c r="G250" s="20"/>
      <c r="H250" s="20"/>
      <c r="I250" s="20"/>
      <c r="J250" s="20"/>
      <c r="K250" s="21"/>
      <c r="L250" s="20"/>
      <c r="M250" s="20"/>
      <c r="N250" s="20"/>
      <c r="O250" s="20"/>
    </row>
    <row r="251" customFormat="false" ht="15" hidden="false" customHeight="false" outlineLevel="0" collapsed="false">
      <c r="A251" s="17" t="str">
        <f aca="false">IF(Policy!A251="","",Policy!A251)</f>
        <v/>
      </c>
      <c r="B251" s="17" t="str">
        <f aca="false">IF(Policy!A251="","",Policy!B251)</f>
        <v/>
      </c>
      <c r="C251" s="17" t="str">
        <f aca="false">IF(Policy!A251="","",Policy!E251)</f>
        <v/>
      </c>
      <c r="D251" s="18"/>
      <c r="E251" s="19" t="str">
        <f aca="false">IF(A251="","",D251*(F251+H251)/100)</f>
        <v/>
      </c>
      <c r="F251" s="20"/>
      <c r="G251" s="20"/>
      <c r="H251" s="20"/>
      <c r="I251" s="20"/>
      <c r="J251" s="20"/>
      <c r="K251" s="21"/>
      <c r="L251" s="20"/>
      <c r="M251" s="20"/>
      <c r="N251" s="20"/>
      <c r="O251" s="20"/>
    </row>
    <row r="252" customFormat="false" ht="15" hidden="false" customHeight="false" outlineLevel="0" collapsed="false">
      <c r="A252" s="17" t="str">
        <f aca="false">IF(Policy!A252="","",Policy!A252)</f>
        <v/>
      </c>
      <c r="B252" s="17" t="str">
        <f aca="false">IF(Policy!A252="","",Policy!B252)</f>
        <v/>
      </c>
      <c r="C252" s="17" t="str">
        <f aca="false">IF(Policy!A252="","",Policy!E252)</f>
        <v/>
      </c>
      <c r="D252" s="18"/>
      <c r="E252" s="19" t="str">
        <f aca="false">IF(A252="","",D252*(F252+H252)/100)</f>
        <v/>
      </c>
      <c r="F252" s="20"/>
      <c r="G252" s="20"/>
      <c r="H252" s="20"/>
      <c r="I252" s="20"/>
      <c r="J252" s="20"/>
      <c r="K252" s="21"/>
      <c r="L252" s="20"/>
      <c r="M252" s="20"/>
      <c r="N252" s="20"/>
      <c r="O252" s="20"/>
    </row>
    <row r="253" customFormat="false" ht="15" hidden="false" customHeight="false" outlineLevel="0" collapsed="false">
      <c r="A253" s="17" t="str">
        <f aca="false">IF(Policy!A253="","",Policy!A253)</f>
        <v/>
      </c>
      <c r="B253" s="17" t="str">
        <f aca="false">IF(Policy!A253="","",Policy!B253)</f>
        <v/>
      </c>
      <c r="C253" s="17" t="str">
        <f aca="false">IF(Policy!A253="","",Policy!E253)</f>
        <v/>
      </c>
      <c r="D253" s="18"/>
      <c r="E253" s="19" t="str">
        <f aca="false">IF(A253="","",D253*(F253+H253)/100)</f>
        <v/>
      </c>
      <c r="F253" s="20"/>
      <c r="G253" s="20"/>
      <c r="H253" s="20"/>
      <c r="I253" s="20"/>
      <c r="J253" s="20"/>
      <c r="K253" s="21"/>
      <c r="L253" s="20"/>
      <c r="M253" s="20"/>
      <c r="N253" s="20"/>
      <c r="O253" s="20"/>
    </row>
    <row r="254" customFormat="false" ht="15" hidden="false" customHeight="false" outlineLevel="0" collapsed="false">
      <c r="A254" s="17" t="str">
        <f aca="false">IF(Policy!A254="","",Policy!A254)</f>
        <v/>
      </c>
      <c r="B254" s="17" t="str">
        <f aca="false">IF(Policy!A254="","",Policy!B254)</f>
        <v/>
      </c>
      <c r="C254" s="17" t="str">
        <f aca="false">IF(Policy!A254="","",Policy!E254)</f>
        <v/>
      </c>
      <c r="D254" s="18"/>
      <c r="E254" s="19" t="str">
        <f aca="false">IF(A254="","",D254*(F254+H254)/100)</f>
        <v/>
      </c>
      <c r="F254" s="20"/>
      <c r="G254" s="20"/>
      <c r="H254" s="20"/>
      <c r="I254" s="20"/>
      <c r="J254" s="20"/>
      <c r="K254" s="21"/>
      <c r="L254" s="20"/>
      <c r="M254" s="20"/>
      <c r="N254" s="20"/>
      <c r="O254" s="20"/>
    </row>
    <row r="255" customFormat="false" ht="15" hidden="false" customHeight="false" outlineLevel="0" collapsed="false">
      <c r="A255" s="17" t="str">
        <f aca="false">IF(Policy!A255="","",Policy!A255)</f>
        <v/>
      </c>
      <c r="B255" s="17" t="str">
        <f aca="false">IF(Policy!A255="","",Policy!B255)</f>
        <v/>
      </c>
      <c r="C255" s="17" t="str">
        <f aca="false">IF(Policy!A255="","",Policy!E255)</f>
        <v/>
      </c>
      <c r="D255" s="18"/>
      <c r="E255" s="19" t="str">
        <f aca="false">IF(A255="","",D255*(F255+H255)/100)</f>
        <v/>
      </c>
      <c r="F255" s="20"/>
      <c r="G255" s="20"/>
      <c r="H255" s="20"/>
      <c r="I255" s="20"/>
      <c r="J255" s="20"/>
      <c r="K255" s="21"/>
      <c r="L255" s="20"/>
      <c r="M255" s="20"/>
      <c r="N255" s="20"/>
      <c r="O255" s="20"/>
    </row>
    <row r="256" customFormat="false" ht="15" hidden="false" customHeight="false" outlineLevel="0" collapsed="false">
      <c r="A256" s="17" t="str">
        <f aca="false">IF(Policy!A256="","",Policy!A256)</f>
        <v/>
      </c>
      <c r="B256" s="17" t="str">
        <f aca="false">IF(Policy!A256="","",Policy!B256)</f>
        <v/>
      </c>
      <c r="C256" s="17" t="str">
        <f aca="false">IF(Policy!A256="","",Policy!E256)</f>
        <v/>
      </c>
      <c r="D256" s="18"/>
      <c r="E256" s="19" t="str">
        <f aca="false">IF(A256="","",D256*(F256+H256)/100)</f>
        <v/>
      </c>
      <c r="F256" s="20"/>
      <c r="G256" s="20"/>
      <c r="H256" s="20"/>
      <c r="I256" s="20"/>
      <c r="J256" s="20"/>
      <c r="K256" s="21"/>
      <c r="L256" s="20"/>
      <c r="M256" s="20"/>
      <c r="N256" s="20"/>
      <c r="O256" s="20"/>
    </row>
    <row r="257" customFormat="false" ht="15" hidden="false" customHeight="false" outlineLevel="0" collapsed="false">
      <c r="A257" s="17" t="str">
        <f aca="false">IF(Policy!A257="","",Policy!A257)</f>
        <v/>
      </c>
      <c r="B257" s="17" t="str">
        <f aca="false">IF(Policy!A257="","",Policy!B257)</f>
        <v/>
      </c>
      <c r="C257" s="17" t="str">
        <f aca="false">IF(Policy!A257="","",Policy!E257)</f>
        <v/>
      </c>
      <c r="D257" s="18"/>
      <c r="E257" s="19" t="str">
        <f aca="false">IF(A257="","",D257*(F257+H257)/100)</f>
        <v/>
      </c>
      <c r="F257" s="20"/>
      <c r="G257" s="20"/>
      <c r="H257" s="20"/>
      <c r="I257" s="20"/>
      <c r="J257" s="20"/>
      <c r="K257" s="21"/>
      <c r="L257" s="20"/>
      <c r="M257" s="20"/>
      <c r="N257" s="20"/>
      <c r="O257" s="20"/>
    </row>
    <row r="258" customFormat="false" ht="15" hidden="false" customHeight="false" outlineLevel="0" collapsed="false">
      <c r="A258" s="17" t="str">
        <f aca="false">IF(Policy!A258="","",Policy!A258)</f>
        <v/>
      </c>
      <c r="B258" s="17" t="str">
        <f aca="false">IF(Policy!A258="","",Policy!B258)</f>
        <v/>
      </c>
      <c r="C258" s="17" t="str">
        <f aca="false">IF(Policy!A258="","",Policy!E258)</f>
        <v/>
      </c>
      <c r="D258" s="18"/>
      <c r="E258" s="19" t="str">
        <f aca="false">IF(A258="","",D258*(F258+H258)/100)</f>
        <v/>
      </c>
      <c r="F258" s="20"/>
      <c r="G258" s="20"/>
      <c r="H258" s="20"/>
      <c r="I258" s="20"/>
      <c r="J258" s="20"/>
      <c r="K258" s="21"/>
      <c r="L258" s="20"/>
      <c r="M258" s="20"/>
      <c r="N258" s="20"/>
      <c r="O258" s="20"/>
    </row>
    <row r="259" customFormat="false" ht="15" hidden="false" customHeight="false" outlineLevel="0" collapsed="false">
      <c r="A259" s="17" t="str">
        <f aca="false">IF(Policy!A259="","",Policy!A259)</f>
        <v/>
      </c>
      <c r="B259" s="17" t="str">
        <f aca="false">IF(Policy!A259="","",Policy!B259)</f>
        <v/>
      </c>
      <c r="C259" s="17" t="str">
        <f aca="false">IF(Policy!A259="","",Policy!E259)</f>
        <v/>
      </c>
      <c r="D259" s="18"/>
      <c r="E259" s="19" t="str">
        <f aca="false">IF(A259="","",D259*(F259+H259)/100)</f>
        <v/>
      </c>
      <c r="F259" s="20"/>
      <c r="G259" s="20"/>
      <c r="H259" s="20"/>
      <c r="I259" s="20"/>
      <c r="J259" s="20"/>
      <c r="K259" s="21"/>
      <c r="L259" s="20"/>
      <c r="M259" s="20"/>
      <c r="N259" s="20"/>
      <c r="O259" s="20"/>
    </row>
    <row r="260" customFormat="false" ht="15" hidden="false" customHeight="false" outlineLevel="0" collapsed="false">
      <c r="A260" s="17" t="str">
        <f aca="false">IF(Policy!A260="","",Policy!A260)</f>
        <v/>
      </c>
      <c r="B260" s="17" t="str">
        <f aca="false">IF(Policy!A260="","",Policy!B260)</f>
        <v/>
      </c>
      <c r="C260" s="17" t="str">
        <f aca="false">IF(Policy!A260="","",Policy!E260)</f>
        <v/>
      </c>
      <c r="D260" s="18"/>
      <c r="E260" s="19" t="str">
        <f aca="false">IF(A260="","",D260*(F260+H260)/100)</f>
        <v/>
      </c>
      <c r="F260" s="20"/>
      <c r="G260" s="20"/>
      <c r="H260" s="20"/>
      <c r="I260" s="20"/>
      <c r="J260" s="20"/>
      <c r="K260" s="21"/>
      <c r="L260" s="20"/>
      <c r="M260" s="20"/>
      <c r="N260" s="20"/>
      <c r="O260" s="20"/>
    </row>
    <row r="261" customFormat="false" ht="15" hidden="false" customHeight="false" outlineLevel="0" collapsed="false">
      <c r="A261" s="17" t="str">
        <f aca="false">IF(Policy!A261="","",Policy!A261)</f>
        <v/>
      </c>
      <c r="B261" s="17" t="str">
        <f aca="false">IF(Policy!A261="","",Policy!B261)</f>
        <v/>
      </c>
      <c r="C261" s="17" t="str">
        <f aca="false">IF(Policy!A261="","",Policy!E261)</f>
        <v/>
      </c>
      <c r="D261" s="18"/>
      <c r="E261" s="19" t="str">
        <f aca="false">IF(A261="","",D261*(F261+H261)/100)</f>
        <v/>
      </c>
      <c r="F261" s="20"/>
      <c r="G261" s="20"/>
      <c r="H261" s="20"/>
      <c r="I261" s="20"/>
      <c r="J261" s="20"/>
      <c r="K261" s="21"/>
      <c r="L261" s="20"/>
      <c r="M261" s="20"/>
      <c r="N261" s="20"/>
      <c r="O261" s="20"/>
    </row>
    <row r="262" customFormat="false" ht="15" hidden="false" customHeight="false" outlineLevel="0" collapsed="false">
      <c r="A262" s="17" t="str">
        <f aca="false">IF(Policy!A262="","",Policy!A262)</f>
        <v/>
      </c>
      <c r="B262" s="17" t="str">
        <f aca="false">IF(Policy!A262="","",Policy!B262)</f>
        <v/>
      </c>
      <c r="C262" s="17" t="str">
        <f aca="false">IF(Policy!A262="","",Policy!E262)</f>
        <v/>
      </c>
      <c r="D262" s="18"/>
      <c r="E262" s="19" t="str">
        <f aca="false">IF(A262="","",D262*(F262+H262)/100)</f>
        <v/>
      </c>
      <c r="F262" s="20"/>
      <c r="G262" s="20"/>
      <c r="H262" s="20"/>
      <c r="I262" s="20"/>
      <c r="J262" s="20"/>
      <c r="K262" s="21"/>
      <c r="L262" s="20"/>
      <c r="M262" s="20"/>
      <c r="N262" s="20"/>
      <c r="O262" s="20"/>
    </row>
    <row r="263" customFormat="false" ht="15" hidden="false" customHeight="false" outlineLevel="0" collapsed="false">
      <c r="A263" s="17" t="str">
        <f aca="false">IF(Policy!A263="","",Policy!A263)</f>
        <v/>
      </c>
      <c r="B263" s="17" t="str">
        <f aca="false">IF(Policy!A263="","",Policy!B263)</f>
        <v/>
      </c>
      <c r="C263" s="17" t="str">
        <f aca="false">IF(Policy!A263="","",Policy!E263)</f>
        <v/>
      </c>
      <c r="D263" s="18"/>
      <c r="E263" s="19" t="str">
        <f aca="false">IF(A263="","",D263*(F263+H263)/100)</f>
        <v/>
      </c>
      <c r="F263" s="20"/>
      <c r="G263" s="20"/>
      <c r="H263" s="20"/>
      <c r="I263" s="20"/>
      <c r="J263" s="20"/>
      <c r="K263" s="21"/>
      <c r="L263" s="20"/>
      <c r="M263" s="20"/>
      <c r="N263" s="20"/>
      <c r="O263" s="20"/>
    </row>
    <row r="264" customFormat="false" ht="15" hidden="false" customHeight="false" outlineLevel="0" collapsed="false">
      <c r="A264" s="17" t="str">
        <f aca="false">IF(Policy!A264="","",Policy!A264)</f>
        <v/>
      </c>
      <c r="B264" s="17" t="str">
        <f aca="false">IF(Policy!A264="","",Policy!B264)</f>
        <v/>
      </c>
      <c r="C264" s="17" t="str">
        <f aca="false">IF(Policy!A264="","",Policy!E264)</f>
        <v/>
      </c>
      <c r="D264" s="18"/>
      <c r="E264" s="19" t="str">
        <f aca="false">IF(A264="","",D264*(F264+H264)/100)</f>
        <v/>
      </c>
      <c r="F264" s="20"/>
      <c r="G264" s="20"/>
      <c r="H264" s="20"/>
      <c r="I264" s="20"/>
      <c r="J264" s="20"/>
      <c r="K264" s="21"/>
      <c r="L264" s="20"/>
      <c r="M264" s="20"/>
      <c r="N264" s="20"/>
      <c r="O264" s="20"/>
    </row>
    <row r="265" customFormat="false" ht="15" hidden="false" customHeight="false" outlineLevel="0" collapsed="false">
      <c r="A265" s="17" t="str">
        <f aca="false">IF(Policy!A265="","",Policy!A265)</f>
        <v/>
      </c>
      <c r="B265" s="17" t="str">
        <f aca="false">IF(Policy!A265="","",Policy!B265)</f>
        <v/>
      </c>
      <c r="C265" s="17" t="str">
        <f aca="false">IF(Policy!A265="","",Policy!E265)</f>
        <v/>
      </c>
      <c r="D265" s="18"/>
      <c r="E265" s="19" t="str">
        <f aca="false">IF(A265="","",D265*(F265+H265)/100)</f>
        <v/>
      </c>
      <c r="F265" s="20"/>
      <c r="G265" s="20"/>
      <c r="H265" s="20"/>
      <c r="I265" s="20"/>
      <c r="J265" s="20"/>
      <c r="K265" s="21"/>
      <c r="L265" s="20"/>
      <c r="M265" s="20"/>
      <c r="N265" s="20"/>
      <c r="O265" s="20"/>
    </row>
    <row r="266" customFormat="false" ht="15" hidden="false" customHeight="false" outlineLevel="0" collapsed="false">
      <c r="A266" s="17" t="str">
        <f aca="false">IF(Policy!A266="","",Policy!A266)</f>
        <v/>
      </c>
      <c r="B266" s="17" t="str">
        <f aca="false">IF(Policy!A266="","",Policy!B266)</f>
        <v/>
      </c>
      <c r="C266" s="17" t="str">
        <f aca="false">IF(Policy!A266="","",Policy!E266)</f>
        <v/>
      </c>
      <c r="D266" s="18"/>
      <c r="E266" s="19" t="str">
        <f aca="false">IF(A266="","",D266*(F266+H266)/100)</f>
        <v/>
      </c>
      <c r="F266" s="20"/>
      <c r="G266" s="20"/>
      <c r="H266" s="20"/>
      <c r="I266" s="20"/>
      <c r="J266" s="20"/>
      <c r="K266" s="21"/>
      <c r="L266" s="20"/>
      <c r="M266" s="20"/>
      <c r="N266" s="20"/>
      <c r="O266" s="20"/>
    </row>
    <row r="267" customFormat="false" ht="15" hidden="false" customHeight="false" outlineLevel="0" collapsed="false">
      <c r="A267" s="17" t="str">
        <f aca="false">IF(Policy!A267="","",Policy!A267)</f>
        <v/>
      </c>
      <c r="B267" s="17" t="str">
        <f aca="false">IF(Policy!A267="","",Policy!B267)</f>
        <v/>
      </c>
      <c r="C267" s="17" t="str">
        <f aca="false">IF(Policy!A267="","",Policy!E267)</f>
        <v/>
      </c>
      <c r="D267" s="18"/>
      <c r="E267" s="19" t="str">
        <f aca="false">IF(A267="","",D267*(F267+H267)/100)</f>
        <v/>
      </c>
      <c r="F267" s="20"/>
      <c r="G267" s="20"/>
      <c r="H267" s="20"/>
      <c r="I267" s="20"/>
      <c r="J267" s="20"/>
      <c r="K267" s="21"/>
      <c r="L267" s="20"/>
      <c r="M267" s="20"/>
      <c r="N267" s="20"/>
      <c r="O267" s="20"/>
    </row>
    <row r="268" customFormat="false" ht="15" hidden="false" customHeight="false" outlineLevel="0" collapsed="false">
      <c r="A268" s="17" t="str">
        <f aca="false">IF(Policy!A268="","",Policy!A268)</f>
        <v/>
      </c>
      <c r="B268" s="17" t="str">
        <f aca="false">IF(Policy!A268="","",Policy!B268)</f>
        <v/>
      </c>
      <c r="C268" s="17" t="str">
        <f aca="false">IF(Policy!A268="","",Policy!E268)</f>
        <v/>
      </c>
      <c r="D268" s="18"/>
      <c r="E268" s="19" t="str">
        <f aca="false">IF(A268="","",D268*(F268+H268)/100)</f>
        <v/>
      </c>
      <c r="F268" s="20"/>
      <c r="G268" s="20"/>
      <c r="H268" s="20"/>
      <c r="I268" s="20"/>
      <c r="J268" s="20"/>
      <c r="K268" s="21"/>
      <c r="L268" s="20"/>
      <c r="M268" s="20"/>
      <c r="N268" s="20"/>
      <c r="O268" s="20"/>
    </row>
    <row r="269" customFormat="false" ht="15" hidden="false" customHeight="false" outlineLevel="0" collapsed="false">
      <c r="A269" s="17" t="str">
        <f aca="false">IF(Policy!A269="","",Policy!A269)</f>
        <v/>
      </c>
      <c r="B269" s="17" t="str">
        <f aca="false">IF(Policy!A269="","",Policy!B269)</f>
        <v/>
      </c>
      <c r="C269" s="17" t="str">
        <f aca="false">IF(Policy!A269="","",Policy!E269)</f>
        <v/>
      </c>
      <c r="D269" s="18"/>
      <c r="E269" s="19" t="str">
        <f aca="false">IF(A269="","",D269*(F269+H269)/100)</f>
        <v/>
      </c>
      <c r="F269" s="20"/>
      <c r="G269" s="20"/>
      <c r="H269" s="20"/>
      <c r="I269" s="20"/>
      <c r="J269" s="20"/>
      <c r="K269" s="21"/>
      <c r="L269" s="20"/>
      <c r="M269" s="20"/>
      <c r="N269" s="20"/>
      <c r="O269" s="20"/>
    </row>
    <row r="270" customFormat="false" ht="15" hidden="false" customHeight="false" outlineLevel="0" collapsed="false">
      <c r="A270" s="17" t="str">
        <f aca="false">IF(Policy!A270="","",Policy!A270)</f>
        <v/>
      </c>
      <c r="B270" s="17" t="str">
        <f aca="false">IF(Policy!A270="","",Policy!B270)</f>
        <v/>
      </c>
      <c r="C270" s="17" t="str">
        <f aca="false">IF(Policy!A270="","",Policy!E270)</f>
        <v/>
      </c>
      <c r="D270" s="18"/>
      <c r="E270" s="19" t="str">
        <f aca="false">IF(A270="","",D270*(F270+H270)/100)</f>
        <v/>
      </c>
      <c r="F270" s="20"/>
      <c r="G270" s="20"/>
      <c r="H270" s="20"/>
      <c r="I270" s="20"/>
      <c r="J270" s="20"/>
      <c r="K270" s="21"/>
      <c r="L270" s="20"/>
      <c r="M270" s="20"/>
      <c r="N270" s="20"/>
      <c r="O270" s="20"/>
    </row>
    <row r="271" customFormat="false" ht="15" hidden="false" customHeight="false" outlineLevel="0" collapsed="false">
      <c r="A271" s="17" t="str">
        <f aca="false">IF(Policy!A271="","",Policy!A271)</f>
        <v/>
      </c>
      <c r="B271" s="17" t="str">
        <f aca="false">IF(Policy!A271="","",Policy!B271)</f>
        <v/>
      </c>
      <c r="C271" s="17" t="str">
        <f aca="false">IF(Policy!A271="","",Policy!E271)</f>
        <v/>
      </c>
      <c r="D271" s="18"/>
      <c r="E271" s="19" t="str">
        <f aca="false">IF(A271="","",D271*(F271+H271)/100)</f>
        <v/>
      </c>
      <c r="F271" s="20"/>
      <c r="G271" s="20"/>
      <c r="H271" s="20"/>
      <c r="I271" s="20"/>
      <c r="J271" s="20"/>
      <c r="K271" s="21"/>
      <c r="L271" s="20"/>
      <c r="M271" s="20"/>
      <c r="N271" s="20"/>
      <c r="O271" s="20"/>
    </row>
    <row r="272" customFormat="false" ht="15" hidden="false" customHeight="false" outlineLevel="0" collapsed="false">
      <c r="A272" s="17" t="str">
        <f aca="false">IF(Policy!A272="","",Policy!A272)</f>
        <v/>
      </c>
      <c r="B272" s="17" t="str">
        <f aca="false">IF(Policy!A272="","",Policy!B272)</f>
        <v/>
      </c>
      <c r="C272" s="17" t="str">
        <f aca="false">IF(Policy!A272="","",Policy!E272)</f>
        <v/>
      </c>
      <c r="D272" s="18"/>
      <c r="E272" s="19" t="str">
        <f aca="false">IF(A272="","",D272*(F272+H272)/100)</f>
        <v/>
      </c>
      <c r="F272" s="20"/>
      <c r="G272" s="20"/>
      <c r="H272" s="20"/>
      <c r="I272" s="20"/>
      <c r="J272" s="20"/>
      <c r="K272" s="21"/>
      <c r="L272" s="20"/>
      <c r="M272" s="20"/>
      <c r="N272" s="20"/>
      <c r="O272" s="20"/>
    </row>
    <row r="273" customFormat="false" ht="15" hidden="false" customHeight="false" outlineLevel="0" collapsed="false">
      <c r="A273" s="17" t="str">
        <f aca="false">IF(Policy!A273="","",Policy!A273)</f>
        <v/>
      </c>
      <c r="B273" s="17" t="str">
        <f aca="false">IF(Policy!A273="","",Policy!B273)</f>
        <v/>
      </c>
      <c r="C273" s="17" t="str">
        <f aca="false">IF(Policy!A273="","",Policy!E273)</f>
        <v/>
      </c>
      <c r="D273" s="18"/>
      <c r="E273" s="19" t="str">
        <f aca="false">IF(A273="","",D273*(F273+H273)/100)</f>
        <v/>
      </c>
      <c r="F273" s="20"/>
      <c r="G273" s="20"/>
      <c r="H273" s="20"/>
      <c r="I273" s="20"/>
      <c r="J273" s="20"/>
      <c r="K273" s="21"/>
      <c r="L273" s="20"/>
      <c r="M273" s="20"/>
      <c r="N273" s="20"/>
      <c r="O273" s="20"/>
    </row>
    <row r="274" customFormat="false" ht="15" hidden="false" customHeight="false" outlineLevel="0" collapsed="false">
      <c r="A274" s="17" t="str">
        <f aca="false">IF(Policy!A274="","",Policy!A274)</f>
        <v/>
      </c>
      <c r="B274" s="17" t="str">
        <f aca="false">IF(Policy!A274="","",Policy!B274)</f>
        <v/>
      </c>
      <c r="C274" s="17" t="str">
        <f aca="false">IF(Policy!A274="","",Policy!E274)</f>
        <v/>
      </c>
      <c r="D274" s="18"/>
      <c r="E274" s="19" t="str">
        <f aca="false">IF(A274="","",D274*(F274+H274)/100)</f>
        <v/>
      </c>
      <c r="F274" s="20"/>
      <c r="G274" s="20"/>
      <c r="H274" s="20"/>
      <c r="I274" s="20"/>
      <c r="J274" s="20"/>
      <c r="K274" s="21"/>
      <c r="L274" s="20"/>
      <c r="M274" s="20"/>
      <c r="N274" s="20"/>
      <c r="O274" s="20"/>
    </row>
    <row r="275" customFormat="false" ht="15" hidden="false" customHeight="false" outlineLevel="0" collapsed="false">
      <c r="A275" s="17" t="str">
        <f aca="false">IF(Policy!A275="","",Policy!A275)</f>
        <v/>
      </c>
      <c r="B275" s="17" t="str">
        <f aca="false">IF(Policy!A275="","",Policy!B275)</f>
        <v/>
      </c>
      <c r="C275" s="17" t="str">
        <f aca="false">IF(Policy!A275="","",Policy!E275)</f>
        <v/>
      </c>
      <c r="D275" s="18"/>
      <c r="E275" s="19" t="str">
        <f aca="false">IF(A275="","",D275*(F275+H275)/100)</f>
        <v/>
      </c>
      <c r="F275" s="20"/>
      <c r="G275" s="20"/>
      <c r="H275" s="20"/>
      <c r="I275" s="20"/>
      <c r="J275" s="20"/>
      <c r="K275" s="21"/>
      <c r="L275" s="20"/>
      <c r="M275" s="20"/>
      <c r="N275" s="20"/>
      <c r="O275" s="20"/>
    </row>
    <row r="276" customFormat="false" ht="15" hidden="false" customHeight="false" outlineLevel="0" collapsed="false">
      <c r="A276" s="17" t="str">
        <f aca="false">IF(Policy!A276="","",Policy!A276)</f>
        <v/>
      </c>
      <c r="B276" s="17" t="str">
        <f aca="false">IF(Policy!A276="","",Policy!B276)</f>
        <v/>
      </c>
      <c r="C276" s="17" t="str">
        <f aca="false">IF(Policy!A276="","",Policy!E276)</f>
        <v/>
      </c>
      <c r="D276" s="18"/>
      <c r="E276" s="19" t="str">
        <f aca="false">IF(A276="","",D276*(F276+H276)/100)</f>
        <v/>
      </c>
      <c r="F276" s="20"/>
      <c r="G276" s="20"/>
      <c r="H276" s="20"/>
      <c r="I276" s="20"/>
      <c r="J276" s="20"/>
      <c r="K276" s="21"/>
      <c r="L276" s="20"/>
      <c r="M276" s="20"/>
      <c r="N276" s="20"/>
      <c r="O276" s="20"/>
    </row>
    <row r="277" customFormat="false" ht="15" hidden="false" customHeight="false" outlineLevel="0" collapsed="false">
      <c r="A277" s="17" t="str">
        <f aca="false">IF(Policy!A277="","",Policy!A277)</f>
        <v/>
      </c>
      <c r="B277" s="17" t="str">
        <f aca="false">IF(Policy!A277="","",Policy!B277)</f>
        <v/>
      </c>
      <c r="C277" s="17" t="str">
        <f aca="false">IF(Policy!A277="","",Policy!E277)</f>
        <v/>
      </c>
      <c r="D277" s="18"/>
      <c r="E277" s="19" t="str">
        <f aca="false">IF(A277="","",D277*(F277+H277)/100)</f>
        <v/>
      </c>
      <c r="F277" s="20"/>
      <c r="G277" s="20"/>
      <c r="H277" s="20"/>
      <c r="I277" s="20"/>
      <c r="J277" s="20"/>
      <c r="K277" s="21"/>
      <c r="L277" s="20"/>
      <c r="M277" s="20"/>
      <c r="N277" s="20"/>
      <c r="O277" s="20"/>
    </row>
    <row r="278" customFormat="false" ht="15" hidden="false" customHeight="false" outlineLevel="0" collapsed="false">
      <c r="A278" s="17" t="str">
        <f aca="false">IF(Policy!A278="","",Policy!A278)</f>
        <v/>
      </c>
      <c r="B278" s="17" t="str">
        <f aca="false">IF(Policy!A278="","",Policy!B278)</f>
        <v/>
      </c>
      <c r="C278" s="17" t="str">
        <f aca="false">IF(Policy!A278="","",Policy!E278)</f>
        <v/>
      </c>
      <c r="D278" s="18"/>
      <c r="E278" s="19" t="str">
        <f aca="false">IF(A278="","",D278*(F278+H278)/100)</f>
        <v/>
      </c>
      <c r="F278" s="20"/>
      <c r="G278" s="20"/>
      <c r="H278" s="20"/>
      <c r="I278" s="20"/>
      <c r="J278" s="20"/>
      <c r="K278" s="21"/>
      <c r="L278" s="20"/>
      <c r="M278" s="20"/>
      <c r="N278" s="20"/>
      <c r="O278" s="20"/>
    </row>
    <row r="279" customFormat="false" ht="15" hidden="false" customHeight="false" outlineLevel="0" collapsed="false">
      <c r="A279" s="17" t="str">
        <f aca="false">IF(Policy!A279="","",Policy!A279)</f>
        <v/>
      </c>
      <c r="B279" s="17" t="str">
        <f aca="false">IF(Policy!A279="","",Policy!B279)</f>
        <v/>
      </c>
      <c r="C279" s="17" t="str">
        <f aca="false">IF(Policy!A279="","",Policy!E279)</f>
        <v/>
      </c>
      <c r="D279" s="18"/>
      <c r="E279" s="19" t="str">
        <f aca="false">IF(A279="","",D279*(F279+H279)/100)</f>
        <v/>
      </c>
      <c r="F279" s="20"/>
      <c r="G279" s="20"/>
      <c r="H279" s="20"/>
      <c r="I279" s="20"/>
      <c r="J279" s="20"/>
      <c r="K279" s="21"/>
      <c r="L279" s="20"/>
      <c r="M279" s="20"/>
      <c r="N279" s="20"/>
      <c r="O279" s="20"/>
    </row>
    <row r="280" customFormat="false" ht="15" hidden="false" customHeight="false" outlineLevel="0" collapsed="false">
      <c r="A280" s="17" t="str">
        <f aca="false">IF(Policy!A280="","",Policy!A280)</f>
        <v/>
      </c>
      <c r="B280" s="17" t="str">
        <f aca="false">IF(Policy!A280="","",Policy!B280)</f>
        <v/>
      </c>
      <c r="C280" s="17" t="str">
        <f aca="false">IF(Policy!A280="","",Policy!E280)</f>
        <v/>
      </c>
      <c r="D280" s="18"/>
      <c r="E280" s="19" t="str">
        <f aca="false">IF(A280="","",D280*(F280+H280)/100)</f>
        <v/>
      </c>
      <c r="F280" s="20"/>
      <c r="G280" s="20"/>
      <c r="H280" s="20"/>
      <c r="I280" s="20"/>
      <c r="J280" s="20"/>
      <c r="K280" s="21"/>
      <c r="L280" s="20"/>
      <c r="M280" s="20"/>
      <c r="N280" s="20"/>
      <c r="O280" s="20"/>
    </row>
    <row r="281" customFormat="false" ht="15" hidden="false" customHeight="false" outlineLevel="0" collapsed="false">
      <c r="A281" s="17" t="str">
        <f aca="false">IF(Policy!A281="","",Policy!A281)</f>
        <v/>
      </c>
      <c r="B281" s="17" t="str">
        <f aca="false">IF(Policy!A281="","",Policy!B281)</f>
        <v/>
      </c>
      <c r="C281" s="17" t="str">
        <f aca="false">IF(Policy!A281="","",Policy!E281)</f>
        <v/>
      </c>
      <c r="D281" s="18"/>
      <c r="E281" s="19" t="str">
        <f aca="false">IF(A281="","",D281*(F281+H281)/100)</f>
        <v/>
      </c>
      <c r="F281" s="20"/>
      <c r="G281" s="20"/>
      <c r="H281" s="20"/>
      <c r="I281" s="20"/>
      <c r="J281" s="20"/>
      <c r="K281" s="21"/>
      <c r="L281" s="20"/>
      <c r="M281" s="20"/>
      <c r="N281" s="20"/>
      <c r="O281" s="20"/>
    </row>
    <row r="282" customFormat="false" ht="15" hidden="false" customHeight="false" outlineLevel="0" collapsed="false">
      <c r="A282" s="17" t="str">
        <f aca="false">IF(Policy!A282="","",Policy!A282)</f>
        <v/>
      </c>
      <c r="B282" s="17" t="str">
        <f aca="false">IF(Policy!A282="","",Policy!B282)</f>
        <v/>
      </c>
      <c r="C282" s="17" t="str">
        <f aca="false">IF(Policy!A282="","",Policy!E282)</f>
        <v/>
      </c>
      <c r="D282" s="18"/>
      <c r="E282" s="19" t="str">
        <f aca="false">IF(A282="","",D282*(F282+H282)/100)</f>
        <v/>
      </c>
      <c r="F282" s="20"/>
      <c r="G282" s="20"/>
      <c r="H282" s="20"/>
      <c r="I282" s="20"/>
      <c r="J282" s="20"/>
      <c r="K282" s="21"/>
      <c r="L282" s="20"/>
      <c r="M282" s="20"/>
      <c r="N282" s="20"/>
      <c r="O282" s="20"/>
    </row>
    <row r="283" customFormat="false" ht="15" hidden="false" customHeight="false" outlineLevel="0" collapsed="false">
      <c r="A283" s="17" t="str">
        <f aca="false">IF(Policy!A283="","",Policy!A283)</f>
        <v/>
      </c>
      <c r="B283" s="17" t="str">
        <f aca="false">IF(Policy!A283="","",Policy!B283)</f>
        <v/>
      </c>
      <c r="C283" s="17" t="str">
        <f aca="false">IF(Policy!A283="","",Policy!E283)</f>
        <v/>
      </c>
      <c r="D283" s="18"/>
      <c r="E283" s="19" t="str">
        <f aca="false">IF(A283="","",D283*(F283+H283)/100)</f>
        <v/>
      </c>
      <c r="F283" s="20"/>
      <c r="G283" s="20"/>
      <c r="H283" s="20"/>
      <c r="I283" s="20"/>
      <c r="J283" s="20"/>
      <c r="K283" s="21"/>
      <c r="L283" s="20"/>
      <c r="M283" s="20"/>
      <c r="N283" s="20"/>
      <c r="O283" s="20"/>
    </row>
    <row r="284" customFormat="false" ht="15" hidden="false" customHeight="false" outlineLevel="0" collapsed="false">
      <c r="A284" s="17" t="str">
        <f aca="false">IF(Policy!A284="","",Policy!A284)</f>
        <v/>
      </c>
      <c r="B284" s="17" t="str">
        <f aca="false">IF(Policy!A284="","",Policy!B284)</f>
        <v/>
      </c>
      <c r="C284" s="17" t="str">
        <f aca="false">IF(Policy!A284="","",Policy!E284)</f>
        <v/>
      </c>
      <c r="D284" s="18"/>
      <c r="E284" s="19" t="str">
        <f aca="false">IF(A284="","",D284*(F284+H284)/100)</f>
        <v/>
      </c>
      <c r="F284" s="20"/>
      <c r="G284" s="20"/>
      <c r="H284" s="20"/>
      <c r="I284" s="20"/>
      <c r="J284" s="20"/>
      <c r="K284" s="21"/>
      <c r="L284" s="20"/>
      <c r="M284" s="20"/>
      <c r="N284" s="20"/>
      <c r="O284" s="20"/>
    </row>
    <row r="285" customFormat="false" ht="15" hidden="false" customHeight="false" outlineLevel="0" collapsed="false">
      <c r="A285" s="17" t="str">
        <f aca="false">IF(Policy!A285="","",Policy!A285)</f>
        <v/>
      </c>
      <c r="B285" s="17" t="str">
        <f aca="false">IF(Policy!A285="","",Policy!B285)</f>
        <v/>
      </c>
      <c r="C285" s="17" t="str">
        <f aca="false">IF(Policy!A285="","",Policy!E285)</f>
        <v/>
      </c>
      <c r="D285" s="18"/>
      <c r="E285" s="19" t="str">
        <f aca="false">IF(A285="","",D285*(F285+H285)/100)</f>
        <v/>
      </c>
      <c r="F285" s="20"/>
      <c r="G285" s="20"/>
      <c r="H285" s="20"/>
      <c r="I285" s="20"/>
      <c r="J285" s="20"/>
      <c r="K285" s="21"/>
      <c r="L285" s="20"/>
      <c r="M285" s="20"/>
      <c r="N285" s="20"/>
      <c r="O285" s="20"/>
    </row>
    <row r="286" customFormat="false" ht="15" hidden="false" customHeight="false" outlineLevel="0" collapsed="false">
      <c r="A286" s="17" t="str">
        <f aca="false">IF(Policy!A286="","",Policy!A286)</f>
        <v/>
      </c>
      <c r="B286" s="17" t="str">
        <f aca="false">IF(Policy!A286="","",Policy!B286)</f>
        <v/>
      </c>
      <c r="C286" s="17" t="str">
        <f aca="false">IF(Policy!A286="","",Policy!E286)</f>
        <v/>
      </c>
      <c r="D286" s="18"/>
      <c r="E286" s="19" t="str">
        <f aca="false">IF(A286="","",D286*(F286+H286)/100)</f>
        <v/>
      </c>
      <c r="F286" s="20"/>
      <c r="G286" s="20"/>
      <c r="H286" s="20"/>
      <c r="I286" s="20"/>
      <c r="J286" s="20"/>
      <c r="K286" s="21"/>
      <c r="L286" s="20"/>
      <c r="M286" s="20"/>
      <c r="N286" s="20"/>
      <c r="O286" s="20"/>
    </row>
    <row r="287" customFormat="false" ht="15" hidden="false" customHeight="false" outlineLevel="0" collapsed="false">
      <c r="A287" s="17" t="str">
        <f aca="false">IF(Policy!A287="","",Policy!A287)</f>
        <v/>
      </c>
      <c r="B287" s="17" t="str">
        <f aca="false">IF(Policy!A287="","",Policy!B287)</f>
        <v/>
      </c>
      <c r="C287" s="17" t="str">
        <f aca="false">IF(Policy!A287="","",Policy!E287)</f>
        <v/>
      </c>
      <c r="D287" s="18"/>
      <c r="E287" s="19" t="str">
        <f aca="false">IF(A287="","",D287*(F287+H287)/100)</f>
        <v/>
      </c>
      <c r="F287" s="20"/>
      <c r="G287" s="20"/>
      <c r="H287" s="20"/>
      <c r="I287" s="20"/>
      <c r="J287" s="20"/>
      <c r="K287" s="21"/>
      <c r="L287" s="20"/>
      <c r="M287" s="20"/>
      <c r="N287" s="20"/>
      <c r="O287" s="20"/>
    </row>
    <row r="288" customFormat="false" ht="15" hidden="false" customHeight="false" outlineLevel="0" collapsed="false">
      <c r="A288" s="17" t="str">
        <f aca="false">IF(Policy!A288="","",Policy!A288)</f>
        <v/>
      </c>
      <c r="B288" s="17" t="str">
        <f aca="false">IF(Policy!A288="","",Policy!B288)</f>
        <v/>
      </c>
      <c r="C288" s="17" t="str">
        <f aca="false">IF(Policy!A288="","",Policy!E288)</f>
        <v/>
      </c>
      <c r="D288" s="18"/>
      <c r="E288" s="19" t="str">
        <f aca="false">IF(A288="","",D288*(F288+H288)/100)</f>
        <v/>
      </c>
      <c r="F288" s="20"/>
      <c r="G288" s="20"/>
      <c r="H288" s="20"/>
      <c r="I288" s="20"/>
      <c r="J288" s="20"/>
      <c r="K288" s="21"/>
      <c r="L288" s="20"/>
      <c r="M288" s="20"/>
      <c r="N288" s="20"/>
      <c r="O288" s="20"/>
    </row>
    <row r="289" customFormat="false" ht="15" hidden="false" customHeight="false" outlineLevel="0" collapsed="false">
      <c r="A289" s="17" t="str">
        <f aca="false">IF(Policy!A289="","",Policy!A289)</f>
        <v/>
      </c>
      <c r="B289" s="17" t="str">
        <f aca="false">IF(Policy!A289="","",Policy!B289)</f>
        <v/>
      </c>
      <c r="C289" s="17" t="str">
        <f aca="false">IF(Policy!A289="","",Policy!E289)</f>
        <v/>
      </c>
      <c r="D289" s="18"/>
      <c r="E289" s="19" t="str">
        <f aca="false">IF(A289="","",D289*(F289+H289)/100)</f>
        <v/>
      </c>
      <c r="F289" s="20"/>
      <c r="G289" s="20"/>
      <c r="H289" s="20"/>
      <c r="I289" s="20"/>
      <c r="J289" s="20"/>
      <c r="K289" s="21"/>
      <c r="L289" s="20"/>
      <c r="M289" s="20"/>
      <c r="N289" s="20"/>
      <c r="O289" s="20"/>
    </row>
    <row r="290" customFormat="false" ht="15" hidden="false" customHeight="false" outlineLevel="0" collapsed="false">
      <c r="A290" s="17" t="str">
        <f aca="false">IF(Policy!A290="","",Policy!A290)</f>
        <v/>
      </c>
      <c r="B290" s="17" t="str">
        <f aca="false">IF(Policy!A290="","",Policy!B290)</f>
        <v/>
      </c>
      <c r="C290" s="17" t="str">
        <f aca="false">IF(Policy!A290="","",Policy!E290)</f>
        <v/>
      </c>
      <c r="D290" s="18"/>
      <c r="E290" s="19" t="str">
        <f aca="false">IF(A290="","",D290*(F290+H290)/100)</f>
        <v/>
      </c>
      <c r="F290" s="20"/>
      <c r="G290" s="20"/>
      <c r="H290" s="20"/>
      <c r="I290" s="20"/>
      <c r="J290" s="20"/>
      <c r="K290" s="21"/>
      <c r="L290" s="20"/>
      <c r="M290" s="20"/>
      <c r="N290" s="20"/>
      <c r="O290" s="20"/>
    </row>
    <row r="291" customFormat="false" ht="15" hidden="false" customHeight="false" outlineLevel="0" collapsed="false">
      <c r="A291" s="17" t="str">
        <f aca="false">IF(Policy!A291="","",Policy!A291)</f>
        <v/>
      </c>
      <c r="B291" s="17" t="str">
        <f aca="false">IF(Policy!A291="","",Policy!B291)</f>
        <v/>
      </c>
      <c r="C291" s="17" t="str">
        <f aca="false">IF(Policy!A291="","",Policy!E291)</f>
        <v/>
      </c>
      <c r="D291" s="18"/>
      <c r="E291" s="19" t="str">
        <f aca="false">IF(A291="","",D291*(F291+H291)/100)</f>
        <v/>
      </c>
      <c r="F291" s="20"/>
      <c r="G291" s="20"/>
      <c r="H291" s="20"/>
      <c r="I291" s="20"/>
      <c r="J291" s="20"/>
      <c r="K291" s="21"/>
      <c r="L291" s="20"/>
      <c r="M291" s="20"/>
      <c r="N291" s="20"/>
      <c r="O291" s="20"/>
    </row>
    <row r="292" customFormat="false" ht="15" hidden="false" customHeight="false" outlineLevel="0" collapsed="false">
      <c r="A292" s="17" t="str">
        <f aca="false">IF(Policy!A292="","",Policy!A292)</f>
        <v/>
      </c>
      <c r="B292" s="17" t="str">
        <f aca="false">IF(Policy!A292="","",Policy!B292)</f>
        <v/>
      </c>
      <c r="C292" s="17" t="str">
        <f aca="false">IF(Policy!A292="","",Policy!E292)</f>
        <v/>
      </c>
      <c r="D292" s="18"/>
      <c r="E292" s="19" t="str">
        <f aca="false">IF(A292="","",D292*(F292+H292)/100)</f>
        <v/>
      </c>
      <c r="F292" s="20"/>
      <c r="G292" s="20"/>
      <c r="H292" s="20"/>
      <c r="I292" s="20"/>
      <c r="J292" s="20"/>
      <c r="K292" s="21"/>
      <c r="L292" s="20"/>
      <c r="M292" s="20"/>
      <c r="N292" s="20"/>
      <c r="O292" s="20"/>
    </row>
    <row r="293" customFormat="false" ht="15" hidden="false" customHeight="false" outlineLevel="0" collapsed="false">
      <c r="A293" s="17" t="str">
        <f aca="false">IF(Policy!A293="","",Policy!A293)</f>
        <v/>
      </c>
      <c r="B293" s="17" t="str">
        <f aca="false">IF(Policy!A293="","",Policy!B293)</f>
        <v/>
      </c>
      <c r="C293" s="17" t="str">
        <f aca="false">IF(Policy!A293="","",Policy!E293)</f>
        <v/>
      </c>
      <c r="D293" s="18"/>
      <c r="E293" s="19" t="str">
        <f aca="false">IF(A293="","",D293*(F293+H293)/100)</f>
        <v/>
      </c>
      <c r="F293" s="20"/>
      <c r="G293" s="20"/>
      <c r="H293" s="20"/>
      <c r="I293" s="20"/>
      <c r="J293" s="20"/>
      <c r="K293" s="21"/>
      <c r="L293" s="20"/>
      <c r="M293" s="20"/>
      <c r="N293" s="20"/>
      <c r="O293" s="20"/>
    </row>
    <row r="294" customFormat="false" ht="15" hidden="false" customHeight="false" outlineLevel="0" collapsed="false">
      <c r="A294" s="17" t="str">
        <f aca="false">IF(Policy!A294="","",Policy!A294)</f>
        <v/>
      </c>
      <c r="B294" s="17" t="str">
        <f aca="false">IF(Policy!A294="","",Policy!B294)</f>
        <v/>
      </c>
      <c r="C294" s="17" t="str">
        <f aca="false">IF(Policy!A294="","",Policy!E294)</f>
        <v/>
      </c>
      <c r="D294" s="18"/>
      <c r="E294" s="19" t="str">
        <f aca="false">IF(A294="","",D294*(F294+H294)/100)</f>
        <v/>
      </c>
      <c r="F294" s="20"/>
      <c r="G294" s="20"/>
      <c r="H294" s="20"/>
      <c r="I294" s="20"/>
      <c r="J294" s="20"/>
      <c r="K294" s="21"/>
      <c r="L294" s="20"/>
      <c r="M294" s="20"/>
      <c r="N294" s="20"/>
      <c r="O294" s="20"/>
    </row>
    <row r="295" customFormat="false" ht="15" hidden="false" customHeight="false" outlineLevel="0" collapsed="false">
      <c r="A295" s="17" t="str">
        <f aca="false">IF(Policy!A295="","",Policy!A295)</f>
        <v/>
      </c>
      <c r="B295" s="17" t="str">
        <f aca="false">IF(Policy!A295="","",Policy!B295)</f>
        <v/>
      </c>
      <c r="C295" s="17" t="str">
        <f aca="false">IF(Policy!A295="","",Policy!E295)</f>
        <v/>
      </c>
      <c r="D295" s="18"/>
      <c r="E295" s="19" t="str">
        <f aca="false">IF(A295="","",D295*(F295+H295)/100)</f>
        <v/>
      </c>
      <c r="F295" s="20"/>
      <c r="G295" s="20"/>
      <c r="H295" s="20"/>
      <c r="I295" s="20"/>
      <c r="J295" s="20"/>
      <c r="K295" s="21"/>
      <c r="L295" s="20"/>
      <c r="M295" s="20"/>
      <c r="N295" s="20"/>
      <c r="O295" s="20"/>
    </row>
    <row r="296" customFormat="false" ht="15" hidden="false" customHeight="false" outlineLevel="0" collapsed="false">
      <c r="A296" s="17" t="str">
        <f aca="false">IF(Policy!A296="","",Policy!A296)</f>
        <v/>
      </c>
      <c r="B296" s="17" t="str">
        <f aca="false">IF(Policy!A296="","",Policy!B296)</f>
        <v/>
      </c>
      <c r="C296" s="17" t="str">
        <f aca="false">IF(Policy!A296="","",Policy!E296)</f>
        <v/>
      </c>
      <c r="D296" s="18"/>
      <c r="E296" s="19" t="str">
        <f aca="false">IF(A296="","",D296*(F296+H296)/100)</f>
        <v/>
      </c>
      <c r="F296" s="20"/>
      <c r="G296" s="20"/>
      <c r="H296" s="20"/>
      <c r="I296" s="20"/>
      <c r="J296" s="20"/>
      <c r="K296" s="21"/>
      <c r="L296" s="20"/>
      <c r="M296" s="20"/>
      <c r="N296" s="20"/>
      <c r="O296" s="20"/>
    </row>
    <row r="297" customFormat="false" ht="15" hidden="false" customHeight="false" outlineLevel="0" collapsed="false">
      <c r="A297" s="17" t="str">
        <f aca="false">IF(Policy!A297="","",Policy!A297)</f>
        <v/>
      </c>
      <c r="B297" s="17" t="str">
        <f aca="false">IF(Policy!A297="","",Policy!B297)</f>
        <v/>
      </c>
      <c r="C297" s="17" t="str">
        <f aca="false">IF(Policy!A297="","",Policy!E297)</f>
        <v/>
      </c>
      <c r="D297" s="18"/>
      <c r="E297" s="19" t="str">
        <f aca="false">IF(A297="","",D297*(F297+H297)/100)</f>
        <v/>
      </c>
      <c r="F297" s="20"/>
      <c r="G297" s="20"/>
      <c r="H297" s="20"/>
      <c r="I297" s="20"/>
      <c r="J297" s="20"/>
      <c r="K297" s="21"/>
      <c r="L297" s="20"/>
      <c r="M297" s="20"/>
      <c r="N297" s="20"/>
      <c r="O297" s="20"/>
    </row>
    <row r="298" customFormat="false" ht="15" hidden="false" customHeight="false" outlineLevel="0" collapsed="false">
      <c r="A298" s="17" t="str">
        <f aca="false">IF(Policy!A298="","",Policy!A298)</f>
        <v/>
      </c>
      <c r="B298" s="17" t="str">
        <f aca="false">IF(Policy!A298="","",Policy!B298)</f>
        <v/>
      </c>
      <c r="C298" s="17" t="str">
        <f aca="false">IF(Policy!A298="","",Policy!E298)</f>
        <v/>
      </c>
      <c r="D298" s="18"/>
      <c r="E298" s="19" t="str">
        <f aca="false">IF(A298="","",D298*(F298+H298)/100)</f>
        <v/>
      </c>
      <c r="F298" s="20"/>
      <c r="G298" s="20"/>
      <c r="H298" s="20"/>
      <c r="I298" s="20"/>
      <c r="J298" s="20"/>
      <c r="K298" s="21"/>
      <c r="L298" s="20"/>
      <c r="M298" s="20"/>
      <c r="N298" s="20"/>
      <c r="O298" s="20"/>
    </row>
    <row r="299" customFormat="false" ht="15" hidden="false" customHeight="false" outlineLevel="0" collapsed="false">
      <c r="A299" s="17" t="str">
        <f aca="false">IF(Policy!A299="","",Policy!A299)</f>
        <v/>
      </c>
      <c r="B299" s="17" t="str">
        <f aca="false">IF(Policy!A299="","",Policy!B299)</f>
        <v/>
      </c>
      <c r="C299" s="17" t="str">
        <f aca="false">IF(Policy!A299="","",Policy!E299)</f>
        <v/>
      </c>
      <c r="D299" s="18"/>
      <c r="E299" s="19" t="str">
        <f aca="false">IF(A299="","",D299*(F299+H299)/100)</f>
        <v/>
      </c>
      <c r="F299" s="20"/>
      <c r="G299" s="20"/>
      <c r="H299" s="20"/>
      <c r="I299" s="20"/>
      <c r="J299" s="20"/>
      <c r="K299" s="21"/>
      <c r="L299" s="20"/>
      <c r="M299" s="20"/>
      <c r="N299" s="20"/>
      <c r="O299" s="20"/>
    </row>
    <row r="300" customFormat="false" ht="15" hidden="false" customHeight="false" outlineLevel="0" collapsed="false">
      <c r="A300" s="17" t="str">
        <f aca="false">IF(Policy!A300="","",Policy!A300)</f>
        <v/>
      </c>
      <c r="B300" s="17" t="str">
        <f aca="false">IF(Policy!A300="","",Policy!B300)</f>
        <v/>
      </c>
      <c r="C300" s="17" t="str">
        <f aca="false">IF(Policy!A300="","",Policy!E300)</f>
        <v/>
      </c>
      <c r="D300" s="18"/>
      <c r="E300" s="19" t="str">
        <f aca="false">IF(A300="","",D300*(F300+H300)/100)</f>
        <v/>
      </c>
      <c r="F300" s="20"/>
      <c r="G300" s="20"/>
      <c r="H300" s="20"/>
      <c r="I300" s="20"/>
      <c r="J300" s="20"/>
      <c r="K300" s="21"/>
      <c r="L300" s="20"/>
      <c r="M300" s="20"/>
      <c r="N300" s="20"/>
      <c r="O300" s="20"/>
    </row>
    <row r="301" customFormat="false" ht="15" hidden="false" customHeight="false" outlineLevel="0" collapsed="false">
      <c r="A301" s="17" t="str">
        <f aca="false">IF(Policy!A301="","",Policy!A301)</f>
        <v/>
      </c>
      <c r="B301" s="17" t="str">
        <f aca="false">IF(Policy!A301="","",Policy!B301)</f>
        <v/>
      </c>
      <c r="C301" s="17" t="str">
        <f aca="false">IF(Policy!A301="","",Policy!E301)</f>
        <v/>
      </c>
      <c r="D301" s="18"/>
      <c r="E301" s="19" t="str">
        <f aca="false">IF(A301="","",D301*(F301+H301)/100)</f>
        <v/>
      </c>
      <c r="F301" s="20"/>
      <c r="G301" s="20"/>
      <c r="H301" s="20"/>
      <c r="I301" s="20"/>
      <c r="J301" s="20"/>
      <c r="K301" s="21"/>
      <c r="L301" s="20"/>
      <c r="M301" s="20"/>
      <c r="N301" s="20"/>
      <c r="O301" s="20"/>
    </row>
  </sheetData>
  <autoFilter ref="A1:O301"/>
  <conditionalFormatting sqref="D2:D301">
    <cfRule type="expression" priority="2" aboveAverage="0" equalAverage="0" bottom="0" percent="0" rank="0" text="" dxfId="7">
      <formula>AND(Policy!$J2="Bound",OR(D2="",D2=0))</formula>
    </cfRule>
  </conditionalFormatting>
  <conditionalFormatting sqref="L2:L301">
    <cfRule type="expression" priority="3" aboveAverage="0" equalAverage="0" bottom="0" percent="0" rank="0" text="" dxfId="9">
      <formula>AND(K2&gt;0,L2/K2&gt;500000000)</formula>
    </cfRule>
  </conditionalFormatting>
  <dataValidations count="3">
    <dataValidation allowBlank="true" error="Tỷ lệ PVI từ 0 đến 100 (%). Ví dụ 0,5 nghĩa là 0,5%." errorStyle="stop" errorTitle="Số không hợp lệ" operator="between" showDropDown="false" showErrorMessage="true" showInputMessage="false" sqref="D2:D301" type="decimal">
      <formula1>0</formula1>
      <formula2>100</formula2>
    </dataValidation>
    <dataValidation allowBlank="true" error="Nhập số tiền USD ≥ 0." errorStyle="stop" errorTitle="Số không hợp lệ" operator="between" showDropDown="false" showErrorMessage="true" showInputMessage="false" sqref="F2:J301 L2:O301" type="decimal">
      <formula1>0</formula1>
      <formula2>1000000000000</formula2>
    </dataValidation>
    <dataValidation allowBlank="true" error="Số tàu là số nguyên từ 0 đến 3.000. Kiểm tra không đảo cột với AFV." errorStyle="stop" errorTitle="Số không hợp lệ" operator="between" showDropDown="false" showErrorMessage="true" showInputMessage="false" sqref="K2:K301" type="whole">
      <formula1>0</formula1>
      <formula2>3000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6" min="4" style="0" width="14"/>
    <col collapsed="false" customWidth="true" hidden="false" outlineLevel="0" max="10" min="7" style="0" width="15"/>
    <col collapsed="false" customWidth="true" hidden="false" outlineLevel="0" max="16" min="11" style="0" width="14"/>
    <col collapsed="false" customWidth="true" hidden="false" outlineLevel="0" max="17" min="17" style="0" width="16"/>
    <col collapsed="false" customWidth="true" hidden="false" outlineLevel="0" max="23" min="18" style="0" width="14"/>
  </cols>
  <sheetData>
    <row r="1" customFormat="false" ht="36" hidden="false" customHeight="true" outlineLevel="0" collapsed="false">
      <c r="A1" s="13" t="s">
        <v>40</v>
      </c>
      <c r="B1" s="13" t="s">
        <v>41</v>
      </c>
      <c r="C1" s="13" t="s">
        <v>44</v>
      </c>
      <c r="D1" s="13" t="s">
        <v>46</v>
      </c>
      <c r="E1" s="13" t="s">
        <v>47</v>
      </c>
      <c r="F1" s="13" t="s">
        <v>82</v>
      </c>
      <c r="G1" s="12" t="s">
        <v>94</v>
      </c>
      <c r="H1" s="13" t="s">
        <v>95</v>
      </c>
      <c r="I1" s="13" t="s">
        <v>96</v>
      </c>
      <c r="J1" s="13" t="s">
        <v>97</v>
      </c>
      <c r="K1" s="12" t="s">
        <v>98</v>
      </c>
      <c r="L1" s="12" t="s">
        <v>99</v>
      </c>
      <c r="M1" s="13" t="s">
        <v>100</v>
      </c>
      <c r="N1" s="12" t="s">
        <v>101</v>
      </c>
      <c r="O1" s="12" t="s">
        <v>102</v>
      </c>
      <c r="P1" s="12" t="s">
        <v>103</v>
      </c>
      <c r="Q1" s="13" t="s">
        <v>104</v>
      </c>
      <c r="R1" s="12" t="s">
        <v>105</v>
      </c>
      <c r="S1" s="13" t="s">
        <v>106</v>
      </c>
      <c r="T1" s="13" t="s">
        <v>107</v>
      </c>
      <c r="U1" s="13" t="s">
        <v>108</v>
      </c>
      <c r="V1" s="13" t="s">
        <v>109</v>
      </c>
      <c r="W1" s="12" t="s">
        <v>110</v>
      </c>
    </row>
    <row r="2" customFormat="false" ht="15" hidden="false" customHeight="false" outlineLevel="0" collapsed="false">
      <c r="A2" s="17" t="str">
        <f aca="false">IF(Policy!A2="","",Policy!A2)</f>
        <v>B0000EXAMPLE01</v>
      </c>
      <c r="B2" s="17" t="str">
        <f aca="false">IF(Policy!A2="","",Policy!B2)</f>
        <v>AJG</v>
      </c>
      <c r="C2" s="17" t="str">
        <f aca="false">IF(Policy!A2="","",Policy!E2)</f>
        <v>VÍ DỤ – xoá dòng này</v>
      </c>
      <c r="D2" s="17" t="str">
        <f aca="false">IF(Policy!A2="","",Policy!G2)</f>
        <v>Asia Pacific RIM</v>
      </c>
      <c r="E2" s="17" t="str">
        <f aca="false">IF(Policy!A2="","",Policy!H2)</f>
        <v>Vietnam</v>
      </c>
      <c r="F2" s="22" t="n">
        <f aca="false">IF(Policy!A2="","",Risk!D2)</f>
        <v>0.5</v>
      </c>
      <c r="G2" s="23" t="n">
        <v>2000000</v>
      </c>
      <c r="H2" s="24" t="n">
        <f aca="false">IF(A2="","",G2*(1-M2/100))</f>
        <v>1500000</v>
      </c>
      <c r="I2" s="24" t="n">
        <f aca="false">IF(A2="","",G2*F2/100)</f>
        <v>10000</v>
      </c>
      <c r="J2" s="24" t="n">
        <f aca="false">IF(A2="","",I2*(1-M2/100))</f>
        <v>7500</v>
      </c>
      <c r="K2" s="25" t="n">
        <v>21.5</v>
      </c>
      <c r="L2" s="25" t="n">
        <v>3.5</v>
      </c>
      <c r="M2" s="26" t="n">
        <f aca="false">IF(A2="","",K2+L2)</f>
        <v>25</v>
      </c>
      <c r="N2" s="25" t="n">
        <v>0</v>
      </c>
      <c r="O2" s="23" t="n">
        <v>0</v>
      </c>
      <c r="P2" s="23" t="n">
        <v>0</v>
      </c>
      <c r="Q2" s="24" t="n">
        <f aca="false">IF(A2="","",J2*(1-N2/100)-O2-P2)</f>
        <v>7500</v>
      </c>
      <c r="R2" s="25"/>
      <c r="S2" s="17" t="str">
        <f aca="false">IF(Policy!A2="","",Policy!U2)</f>
        <v>A1</v>
      </c>
      <c r="T2" s="17" t="n">
        <f aca="false">IF(OR(A2="",Policy!L2=""),"",MONTH(Policy!L2))</f>
        <v>10</v>
      </c>
      <c r="U2" s="17" t="n">
        <f aca="false">IF(OR(A2="",Policy!L2=""),"",YEAR(Policy!L2))</f>
        <v>2026</v>
      </c>
      <c r="V2" s="17" t="str">
        <f aca="false">IF(Policy!A2="","",Policy!J2)</f>
        <v>Offered</v>
      </c>
      <c r="W2" s="14" t="s">
        <v>111</v>
      </c>
    </row>
    <row r="3" customFormat="false" ht="15" hidden="false" customHeight="false" outlineLevel="0" collapsed="false">
      <c r="A3" s="17" t="str">
        <f aca="false">IF(Policy!A3="","",Policy!A3)</f>
        <v/>
      </c>
      <c r="B3" s="17" t="str">
        <f aca="false">IF(Policy!A3="","",Policy!B3)</f>
        <v/>
      </c>
      <c r="C3" s="17" t="str">
        <f aca="false">IF(Policy!A3="","",Policy!E3)</f>
        <v/>
      </c>
      <c r="D3" s="17" t="str">
        <f aca="false">IF(Policy!A3="","",Policy!G3)</f>
        <v/>
      </c>
      <c r="E3" s="17" t="str">
        <f aca="false">IF(Policy!A3="","",Policy!H3)</f>
        <v/>
      </c>
      <c r="F3" s="22" t="str">
        <f aca="false">IF(Policy!A3="","",Risk!D3)</f>
        <v/>
      </c>
      <c r="G3" s="23"/>
      <c r="H3" s="24" t="str">
        <f aca="false">IF(A3="","",G3*(1-M3/100))</f>
        <v/>
      </c>
      <c r="I3" s="24" t="str">
        <f aca="false">IF(A3="","",G3*F3/100)</f>
        <v/>
      </c>
      <c r="J3" s="24" t="str">
        <f aca="false">IF(A3="","",I3*(1-M3/100))</f>
        <v/>
      </c>
      <c r="K3" s="25"/>
      <c r="L3" s="25"/>
      <c r="M3" s="26" t="str">
        <f aca="false">IF(A3="","",K3+L3)</f>
        <v/>
      </c>
      <c r="N3" s="25"/>
      <c r="O3" s="23"/>
      <c r="P3" s="23"/>
      <c r="Q3" s="24" t="str">
        <f aca="false">IF(A3="","",J3*(1-N3/100)-O3-P3)</f>
        <v/>
      </c>
      <c r="R3" s="25"/>
      <c r="S3" s="17" t="str">
        <f aca="false">IF(Policy!A3="","",Policy!U3)</f>
        <v/>
      </c>
      <c r="T3" s="17" t="str">
        <f aca="false">IF(OR(A3="",Policy!L3=""),"",MONTH(Policy!L3))</f>
        <v/>
      </c>
      <c r="U3" s="17" t="str">
        <f aca="false">IF(OR(A3="",Policy!L3=""),"",YEAR(Policy!L3))</f>
        <v/>
      </c>
      <c r="V3" s="17" t="str">
        <f aca="false">IF(Policy!A3="","",Policy!J3)</f>
        <v/>
      </c>
      <c r="W3" s="14"/>
    </row>
    <row r="4" customFormat="false" ht="15" hidden="false" customHeight="false" outlineLevel="0" collapsed="false">
      <c r="A4" s="17" t="str">
        <f aca="false">IF(Policy!A4="","",Policy!A4)</f>
        <v/>
      </c>
      <c r="B4" s="17" t="str">
        <f aca="false">IF(Policy!A4="","",Policy!B4)</f>
        <v/>
      </c>
      <c r="C4" s="17" t="str">
        <f aca="false">IF(Policy!A4="","",Policy!E4)</f>
        <v/>
      </c>
      <c r="D4" s="17" t="str">
        <f aca="false">IF(Policy!A4="","",Policy!G4)</f>
        <v/>
      </c>
      <c r="E4" s="17" t="str">
        <f aca="false">IF(Policy!A4="","",Policy!H4)</f>
        <v/>
      </c>
      <c r="F4" s="22" t="str">
        <f aca="false">IF(Policy!A4="","",Risk!D4)</f>
        <v/>
      </c>
      <c r="G4" s="23"/>
      <c r="H4" s="24" t="str">
        <f aca="false">IF(A4="","",G4*(1-M4/100))</f>
        <v/>
      </c>
      <c r="I4" s="24" t="str">
        <f aca="false">IF(A4="","",G4*F4/100)</f>
        <v/>
      </c>
      <c r="J4" s="24" t="str">
        <f aca="false">IF(A4="","",I4*(1-M4/100))</f>
        <v/>
      </c>
      <c r="K4" s="25"/>
      <c r="L4" s="25"/>
      <c r="M4" s="26" t="str">
        <f aca="false">IF(A4="","",K4+L4)</f>
        <v/>
      </c>
      <c r="N4" s="25"/>
      <c r="O4" s="23"/>
      <c r="P4" s="23"/>
      <c r="Q4" s="24" t="str">
        <f aca="false">IF(A4="","",J4*(1-N4/100)-O4-P4)</f>
        <v/>
      </c>
      <c r="R4" s="25"/>
      <c r="S4" s="17" t="str">
        <f aca="false">IF(Policy!A4="","",Policy!U4)</f>
        <v/>
      </c>
      <c r="T4" s="17" t="str">
        <f aca="false">IF(OR(A4="",Policy!L4=""),"",MONTH(Policy!L4))</f>
        <v/>
      </c>
      <c r="U4" s="17" t="str">
        <f aca="false">IF(OR(A4="",Policy!L4=""),"",YEAR(Policy!L4))</f>
        <v/>
      </c>
      <c r="V4" s="17" t="str">
        <f aca="false">IF(Policy!A4="","",Policy!J4)</f>
        <v/>
      </c>
      <c r="W4" s="14"/>
    </row>
    <row r="5" customFormat="false" ht="15" hidden="false" customHeight="false" outlineLevel="0" collapsed="false">
      <c r="A5" s="17" t="str">
        <f aca="false">IF(Policy!A5="","",Policy!A5)</f>
        <v/>
      </c>
      <c r="B5" s="17" t="str">
        <f aca="false">IF(Policy!A5="","",Policy!B5)</f>
        <v/>
      </c>
      <c r="C5" s="17" t="str">
        <f aca="false">IF(Policy!A5="","",Policy!E5)</f>
        <v/>
      </c>
      <c r="D5" s="17" t="str">
        <f aca="false">IF(Policy!A5="","",Policy!G5)</f>
        <v/>
      </c>
      <c r="E5" s="17" t="str">
        <f aca="false">IF(Policy!A5="","",Policy!H5)</f>
        <v/>
      </c>
      <c r="F5" s="22" t="str">
        <f aca="false">IF(Policy!A5="","",Risk!D5)</f>
        <v/>
      </c>
      <c r="G5" s="23"/>
      <c r="H5" s="24" t="str">
        <f aca="false">IF(A5="","",G5*(1-M5/100))</f>
        <v/>
      </c>
      <c r="I5" s="24" t="str">
        <f aca="false">IF(A5="","",G5*F5/100)</f>
        <v/>
      </c>
      <c r="J5" s="24" t="str">
        <f aca="false">IF(A5="","",I5*(1-M5/100))</f>
        <v/>
      </c>
      <c r="K5" s="25"/>
      <c r="L5" s="25"/>
      <c r="M5" s="26" t="str">
        <f aca="false">IF(A5="","",K5+L5)</f>
        <v/>
      </c>
      <c r="N5" s="25"/>
      <c r="O5" s="23"/>
      <c r="P5" s="23"/>
      <c r="Q5" s="24" t="str">
        <f aca="false">IF(A5="","",J5*(1-N5/100)-O5-P5)</f>
        <v/>
      </c>
      <c r="R5" s="25"/>
      <c r="S5" s="17" t="str">
        <f aca="false">IF(Policy!A5="","",Policy!U5)</f>
        <v/>
      </c>
      <c r="T5" s="17" t="str">
        <f aca="false">IF(OR(A5="",Policy!L5=""),"",MONTH(Policy!L5))</f>
        <v/>
      </c>
      <c r="U5" s="17" t="str">
        <f aca="false">IF(OR(A5="",Policy!L5=""),"",YEAR(Policy!L5))</f>
        <v/>
      </c>
      <c r="V5" s="17" t="str">
        <f aca="false">IF(Policy!A5="","",Policy!J5)</f>
        <v/>
      </c>
      <c r="W5" s="14"/>
    </row>
    <row r="6" customFormat="false" ht="15" hidden="false" customHeight="false" outlineLevel="0" collapsed="false">
      <c r="A6" s="17" t="str">
        <f aca="false">IF(Policy!A6="","",Policy!A6)</f>
        <v/>
      </c>
      <c r="B6" s="17" t="str">
        <f aca="false">IF(Policy!A6="","",Policy!B6)</f>
        <v/>
      </c>
      <c r="C6" s="17" t="str">
        <f aca="false">IF(Policy!A6="","",Policy!E6)</f>
        <v/>
      </c>
      <c r="D6" s="17" t="str">
        <f aca="false">IF(Policy!A6="","",Policy!G6)</f>
        <v/>
      </c>
      <c r="E6" s="17" t="str">
        <f aca="false">IF(Policy!A6="","",Policy!H6)</f>
        <v/>
      </c>
      <c r="F6" s="22" t="str">
        <f aca="false">IF(Policy!A6="","",Risk!D6)</f>
        <v/>
      </c>
      <c r="G6" s="23"/>
      <c r="H6" s="24" t="str">
        <f aca="false">IF(A6="","",G6*(1-M6/100))</f>
        <v/>
      </c>
      <c r="I6" s="24" t="str">
        <f aca="false">IF(A6="","",G6*F6/100)</f>
        <v/>
      </c>
      <c r="J6" s="24" t="str">
        <f aca="false">IF(A6="","",I6*(1-M6/100))</f>
        <v/>
      </c>
      <c r="K6" s="25"/>
      <c r="L6" s="25"/>
      <c r="M6" s="26" t="str">
        <f aca="false">IF(A6="","",K6+L6)</f>
        <v/>
      </c>
      <c r="N6" s="25"/>
      <c r="O6" s="23"/>
      <c r="P6" s="23"/>
      <c r="Q6" s="24" t="str">
        <f aca="false">IF(A6="","",J6*(1-N6/100)-O6-P6)</f>
        <v/>
      </c>
      <c r="R6" s="25"/>
      <c r="S6" s="17" t="str">
        <f aca="false">IF(Policy!A6="","",Policy!U6)</f>
        <v/>
      </c>
      <c r="T6" s="17" t="str">
        <f aca="false">IF(OR(A6="",Policy!L6=""),"",MONTH(Policy!L6))</f>
        <v/>
      </c>
      <c r="U6" s="17" t="str">
        <f aca="false">IF(OR(A6="",Policy!L6=""),"",YEAR(Policy!L6))</f>
        <v/>
      </c>
      <c r="V6" s="17" t="str">
        <f aca="false">IF(Policy!A6="","",Policy!J6)</f>
        <v/>
      </c>
      <c r="W6" s="14"/>
    </row>
    <row r="7" customFormat="false" ht="15" hidden="false" customHeight="false" outlineLevel="0" collapsed="false">
      <c r="A7" s="17" t="str">
        <f aca="false">IF(Policy!A7="","",Policy!A7)</f>
        <v/>
      </c>
      <c r="B7" s="17" t="str">
        <f aca="false">IF(Policy!A7="","",Policy!B7)</f>
        <v/>
      </c>
      <c r="C7" s="17" t="str">
        <f aca="false">IF(Policy!A7="","",Policy!E7)</f>
        <v/>
      </c>
      <c r="D7" s="17" t="str">
        <f aca="false">IF(Policy!A7="","",Policy!G7)</f>
        <v/>
      </c>
      <c r="E7" s="17" t="str">
        <f aca="false">IF(Policy!A7="","",Policy!H7)</f>
        <v/>
      </c>
      <c r="F7" s="22" t="str">
        <f aca="false">IF(Policy!A7="","",Risk!D7)</f>
        <v/>
      </c>
      <c r="G7" s="23"/>
      <c r="H7" s="24" t="str">
        <f aca="false">IF(A7="","",G7*(1-M7/100))</f>
        <v/>
      </c>
      <c r="I7" s="24" t="str">
        <f aca="false">IF(A7="","",G7*F7/100)</f>
        <v/>
      </c>
      <c r="J7" s="24" t="str">
        <f aca="false">IF(A7="","",I7*(1-M7/100))</f>
        <v/>
      </c>
      <c r="K7" s="25"/>
      <c r="L7" s="25"/>
      <c r="M7" s="26" t="str">
        <f aca="false">IF(A7="","",K7+L7)</f>
        <v/>
      </c>
      <c r="N7" s="25"/>
      <c r="O7" s="23"/>
      <c r="P7" s="23"/>
      <c r="Q7" s="24" t="str">
        <f aca="false">IF(A7="","",J7*(1-N7/100)-O7-P7)</f>
        <v/>
      </c>
      <c r="R7" s="25"/>
      <c r="S7" s="17" t="str">
        <f aca="false">IF(Policy!A7="","",Policy!U7)</f>
        <v/>
      </c>
      <c r="T7" s="17" t="str">
        <f aca="false">IF(OR(A7="",Policy!L7=""),"",MONTH(Policy!L7))</f>
        <v/>
      </c>
      <c r="U7" s="17" t="str">
        <f aca="false">IF(OR(A7="",Policy!L7=""),"",YEAR(Policy!L7))</f>
        <v/>
      </c>
      <c r="V7" s="17" t="str">
        <f aca="false">IF(Policy!A7="","",Policy!J7)</f>
        <v/>
      </c>
      <c r="W7" s="14"/>
    </row>
    <row r="8" customFormat="false" ht="15" hidden="false" customHeight="false" outlineLevel="0" collapsed="false">
      <c r="A8" s="17" t="str">
        <f aca="false">IF(Policy!A8="","",Policy!A8)</f>
        <v/>
      </c>
      <c r="B8" s="17" t="str">
        <f aca="false">IF(Policy!A8="","",Policy!B8)</f>
        <v/>
      </c>
      <c r="C8" s="17" t="str">
        <f aca="false">IF(Policy!A8="","",Policy!E8)</f>
        <v/>
      </c>
      <c r="D8" s="17" t="str">
        <f aca="false">IF(Policy!A8="","",Policy!G8)</f>
        <v/>
      </c>
      <c r="E8" s="17" t="str">
        <f aca="false">IF(Policy!A8="","",Policy!H8)</f>
        <v/>
      </c>
      <c r="F8" s="22" t="str">
        <f aca="false">IF(Policy!A8="","",Risk!D8)</f>
        <v/>
      </c>
      <c r="G8" s="23"/>
      <c r="H8" s="24" t="str">
        <f aca="false">IF(A8="","",G8*(1-M8/100))</f>
        <v/>
      </c>
      <c r="I8" s="24" t="str">
        <f aca="false">IF(A8="","",G8*F8/100)</f>
        <v/>
      </c>
      <c r="J8" s="24" t="str">
        <f aca="false">IF(A8="","",I8*(1-M8/100))</f>
        <v/>
      </c>
      <c r="K8" s="25"/>
      <c r="L8" s="25"/>
      <c r="M8" s="26" t="str">
        <f aca="false">IF(A8="","",K8+L8)</f>
        <v/>
      </c>
      <c r="N8" s="25"/>
      <c r="O8" s="23"/>
      <c r="P8" s="23"/>
      <c r="Q8" s="24" t="str">
        <f aca="false">IF(A8="","",J8*(1-N8/100)-O8-P8)</f>
        <v/>
      </c>
      <c r="R8" s="25"/>
      <c r="S8" s="17" t="str">
        <f aca="false">IF(Policy!A8="","",Policy!U8)</f>
        <v/>
      </c>
      <c r="T8" s="17" t="str">
        <f aca="false">IF(OR(A8="",Policy!L8=""),"",MONTH(Policy!L8))</f>
        <v/>
      </c>
      <c r="U8" s="17" t="str">
        <f aca="false">IF(OR(A8="",Policy!L8=""),"",YEAR(Policy!L8))</f>
        <v/>
      </c>
      <c r="V8" s="17" t="str">
        <f aca="false">IF(Policy!A8="","",Policy!J8)</f>
        <v/>
      </c>
      <c r="W8" s="14"/>
    </row>
    <row r="9" customFormat="false" ht="15" hidden="false" customHeight="false" outlineLevel="0" collapsed="false">
      <c r="A9" s="17" t="str">
        <f aca="false">IF(Policy!A9="","",Policy!A9)</f>
        <v/>
      </c>
      <c r="B9" s="17" t="str">
        <f aca="false">IF(Policy!A9="","",Policy!B9)</f>
        <v/>
      </c>
      <c r="C9" s="17" t="str">
        <f aca="false">IF(Policy!A9="","",Policy!E9)</f>
        <v/>
      </c>
      <c r="D9" s="17" t="str">
        <f aca="false">IF(Policy!A9="","",Policy!G9)</f>
        <v/>
      </c>
      <c r="E9" s="17" t="str">
        <f aca="false">IF(Policy!A9="","",Policy!H9)</f>
        <v/>
      </c>
      <c r="F9" s="22" t="str">
        <f aca="false">IF(Policy!A9="","",Risk!D9)</f>
        <v/>
      </c>
      <c r="G9" s="23"/>
      <c r="H9" s="24" t="str">
        <f aca="false">IF(A9="","",G9*(1-M9/100))</f>
        <v/>
      </c>
      <c r="I9" s="24" t="str">
        <f aca="false">IF(A9="","",G9*F9/100)</f>
        <v/>
      </c>
      <c r="J9" s="24" t="str">
        <f aca="false">IF(A9="","",I9*(1-M9/100))</f>
        <v/>
      </c>
      <c r="K9" s="25"/>
      <c r="L9" s="25"/>
      <c r="M9" s="26" t="str">
        <f aca="false">IF(A9="","",K9+L9)</f>
        <v/>
      </c>
      <c r="N9" s="25"/>
      <c r="O9" s="23"/>
      <c r="P9" s="23"/>
      <c r="Q9" s="24" t="str">
        <f aca="false">IF(A9="","",J9*(1-N9/100)-O9-P9)</f>
        <v/>
      </c>
      <c r="R9" s="25"/>
      <c r="S9" s="17" t="str">
        <f aca="false">IF(Policy!A9="","",Policy!U9)</f>
        <v/>
      </c>
      <c r="T9" s="17" t="str">
        <f aca="false">IF(OR(A9="",Policy!L9=""),"",MONTH(Policy!L9))</f>
        <v/>
      </c>
      <c r="U9" s="17" t="str">
        <f aca="false">IF(OR(A9="",Policy!L9=""),"",YEAR(Policy!L9))</f>
        <v/>
      </c>
      <c r="V9" s="17" t="str">
        <f aca="false">IF(Policy!A9="","",Policy!J9)</f>
        <v/>
      </c>
      <c r="W9" s="14"/>
    </row>
    <row r="10" customFormat="false" ht="15" hidden="false" customHeight="false" outlineLevel="0" collapsed="false">
      <c r="A10" s="17" t="str">
        <f aca="false">IF(Policy!A10="","",Policy!A10)</f>
        <v/>
      </c>
      <c r="B10" s="17" t="str">
        <f aca="false">IF(Policy!A10="","",Policy!B10)</f>
        <v/>
      </c>
      <c r="C10" s="17" t="str">
        <f aca="false">IF(Policy!A10="","",Policy!E10)</f>
        <v/>
      </c>
      <c r="D10" s="17" t="str">
        <f aca="false">IF(Policy!A10="","",Policy!G10)</f>
        <v/>
      </c>
      <c r="E10" s="17" t="str">
        <f aca="false">IF(Policy!A10="","",Policy!H10)</f>
        <v/>
      </c>
      <c r="F10" s="22" t="str">
        <f aca="false">IF(Policy!A10="","",Risk!D10)</f>
        <v/>
      </c>
      <c r="G10" s="23"/>
      <c r="H10" s="24" t="str">
        <f aca="false">IF(A10="","",G10*(1-M10/100))</f>
        <v/>
      </c>
      <c r="I10" s="24" t="str">
        <f aca="false">IF(A10="","",G10*F10/100)</f>
        <v/>
      </c>
      <c r="J10" s="24" t="str">
        <f aca="false">IF(A10="","",I10*(1-M10/100))</f>
        <v/>
      </c>
      <c r="K10" s="25"/>
      <c r="L10" s="25"/>
      <c r="M10" s="26" t="str">
        <f aca="false">IF(A10="","",K10+L10)</f>
        <v/>
      </c>
      <c r="N10" s="25"/>
      <c r="O10" s="23"/>
      <c r="P10" s="23"/>
      <c r="Q10" s="24" t="str">
        <f aca="false">IF(A10="","",J10*(1-N10/100)-O10-P10)</f>
        <v/>
      </c>
      <c r="R10" s="25"/>
      <c r="S10" s="17" t="str">
        <f aca="false">IF(Policy!A10="","",Policy!U10)</f>
        <v/>
      </c>
      <c r="T10" s="17" t="str">
        <f aca="false">IF(OR(A10="",Policy!L10=""),"",MONTH(Policy!L10))</f>
        <v/>
      </c>
      <c r="U10" s="17" t="str">
        <f aca="false">IF(OR(A10="",Policy!L10=""),"",YEAR(Policy!L10))</f>
        <v/>
      </c>
      <c r="V10" s="17" t="str">
        <f aca="false">IF(Policy!A10="","",Policy!J10)</f>
        <v/>
      </c>
      <c r="W10" s="14"/>
    </row>
    <row r="11" customFormat="false" ht="15" hidden="false" customHeight="false" outlineLevel="0" collapsed="false">
      <c r="A11" s="17" t="str">
        <f aca="false">IF(Policy!A11="","",Policy!A11)</f>
        <v/>
      </c>
      <c r="B11" s="17" t="str">
        <f aca="false">IF(Policy!A11="","",Policy!B11)</f>
        <v/>
      </c>
      <c r="C11" s="17" t="str">
        <f aca="false">IF(Policy!A11="","",Policy!E11)</f>
        <v/>
      </c>
      <c r="D11" s="17" t="str">
        <f aca="false">IF(Policy!A11="","",Policy!G11)</f>
        <v/>
      </c>
      <c r="E11" s="17" t="str">
        <f aca="false">IF(Policy!A11="","",Policy!H11)</f>
        <v/>
      </c>
      <c r="F11" s="22" t="str">
        <f aca="false">IF(Policy!A11="","",Risk!D11)</f>
        <v/>
      </c>
      <c r="G11" s="23"/>
      <c r="H11" s="24" t="str">
        <f aca="false">IF(A11="","",G11*(1-M11/100))</f>
        <v/>
      </c>
      <c r="I11" s="24" t="str">
        <f aca="false">IF(A11="","",G11*F11/100)</f>
        <v/>
      </c>
      <c r="J11" s="24" t="str">
        <f aca="false">IF(A11="","",I11*(1-M11/100))</f>
        <v/>
      </c>
      <c r="K11" s="25"/>
      <c r="L11" s="25"/>
      <c r="M11" s="26" t="str">
        <f aca="false">IF(A11="","",K11+L11)</f>
        <v/>
      </c>
      <c r="N11" s="25"/>
      <c r="O11" s="23"/>
      <c r="P11" s="23"/>
      <c r="Q11" s="24" t="str">
        <f aca="false">IF(A11="","",J11*(1-N11/100)-O11-P11)</f>
        <v/>
      </c>
      <c r="R11" s="25"/>
      <c r="S11" s="17" t="str">
        <f aca="false">IF(Policy!A11="","",Policy!U11)</f>
        <v/>
      </c>
      <c r="T11" s="17" t="str">
        <f aca="false">IF(OR(A11="",Policy!L11=""),"",MONTH(Policy!L11))</f>
        <v/>
      </c>
      <c r="U11" s="17" t="str">
        <f aca="false">IF(OR(A11="",Policy!L11=""),"",YEAR(Policy!L11))</f>
        <v/>
      </c>
      <c r="V11" s="17" t="str">
        <f aca="false">IF(Policy!A11="","",Policy!J11)</f>
        <v/>
      </c>
      <c r="W11" s="14"/>
    </row>
    <row r="12" customFormat="false" ht="15" hidden="false" customHeight="false" outlineLevel="0" collapsed="false">
      <c r="A12" s="17" t="str">
        <f aca="false">IF(Policy!A12="","",Policy!A12)</f>
        <v/>
      </c>
      <c r="B12" s="17" t="str">
        <f aca="false">IF(Policy!A12="","",Policy!B12)</f>
        <v/>
      </c>
      <c r="C12" s="17" t="str">
        <f aca="false">IF(Policy!A12="","",Policy!E12)</f>
        <v/>
      </c>
      <c r="D12" s="17" t="str">
        <f aca="false">IF(Policy!A12="","",Policy!G12)</f>
        <v/>
      </c>
      <c r="E12" s="17" t="str">
        <f aca="false">IF(Policy!A12="","",Policy!H12)</f>
        <v/>
      </c>
      <c r="F12" s="22" t="str">
        <f aca="false">IF(Policy!A12="","",Risk!D12)</f>
        <v/>
      </c>
      <c r="G12" s="23"/>
      <c r="H12" s="24" t="str">
        <f aca="false">IF(A12="","",G12*(1-M12/100))</f>
        <v/>
      </c>
      <c r="I12" s="24" t="str">
        <f aca="false">IF(A12="","",G12*F12/100)</f>
        <v/>
      </c>
      <c r="J12" s="24" t="str">
        <f aca="false">IF(A12="","",I12*(1-M12/100))</f>
        <v/>
      </c>
      <c r="K12" s="25"/>
      <c r="L12" s="25"/>
      <c r="M12" s="26" t="str">
        <f aca="false">IF(A12="","",K12+L12)</f>
        <v/>
      </c>
      <c r="N12" s="25"/>
      <c r="O12" s="23"/>
      <c r="P12" s="23"/>
      <c r="Q12" s="24" t="str">
        <f aca="false">IF(A12="","",J12*(1-N12/100)-O12-P12)</f>
        <v/>
      </c>
      <c r="R12" s="25"/>
      <c r="S12" s="17" t="str">
        <f aca="false">IF(Policy!A12="","",Policy!U12)</f>
        <v/>
      </c>
      <c r="T12" s="17" t="str">
        <f aca="false">IF(OR(A12="",Policy!L12=""),"",MONTH(Policy!L12))</f>
        <v/>
      </c>
      <c r="U12" s="17" t="str">
        <f aca="false">IF(OR(A12="",Policy!L12=""),"",YEAR(Policy!L12))</f>
        <v/>
      </c>
      <c r="V12" s="17" t="str">
        <f aca="false">IF(Policy!A12="","",Policy!J12)</f>
        <v/>
      </c>
      <c r="W12" s="14"/>
    </row>
    <row r="13" customFormat="false" ht="15" hidden="false" customHeight="false" outlineLevel="0" collapsed="false">
      <c r="A13" s="17" t="str">
        <f aca="false">IF(Policy!A13="","",Policy!A13)</f>
        <v/>
      </c>
      <c r="B13" s="17" t="str">
        <f aca="false">IF(Policy!A13="","",Policy!B13)</f>
        <v/>
      </c>
      <c r="C13" s="17" t="str">
        <f aca="false">IF(Policy!A13="","",Policy!E13)</f>
        <v/>
      </c>
      <c r="D13" s="17" t="str">
        <f aca="false">IF(Policy!A13="","",Policy!G13)</f>
        <v/>
      </c>
      <c r="E13" s="17" t="str">
        <f aca="false">IF(Policy!A13="","",Policy!H13)</f>
        <v/>
      </c>
      <c r="F13" s="22" t="str">
        <f aca="false">IF(Policy!A13="","",Risk!D13)</f>
        <v/>
      </c>
      <c r="G13" s="23"/>
      <c r="H13" s="24" t="str">
        <f aca="false">IF(A13="","",G13*(1-M13/100))</f>
        <v/>
      </c>
      <c r="I13" s="24" t="str">
        <f aca="false">IF(A13="","",G13*F13/100)</f>
        <v/>
      </c>
      <c r="J13" s="24" t="str">
        <f aca="false">IF(A13="","",I13*(1-M13/100))</f>
        <v/>
      </c>
      <c r="K13" s="25"/>
      <c r="L13" s="25"/>
      <c r="M13" s="26" t="str">
        <f aca="false">IF(A13="","",K13+L13)</f>
        <v/>
      </c>
      <c r="N13" s="25"/>
      <c r="O13" s="23"/>
      <c r="P13" s="23"/>
      <c r="Q13" s="24" t="str">
        <f aca="false">IF(A13="","",J13*(1-N13/100)-O13-P13)</f>
        <v/>
      </c>
      <c r="R13" s="25"/>
      <c r="S13" s="17" t="str">
        <f aca="false">IF(Policy!A13="","",Policy!U13)</f>
        <v/>
      </c>
      <c r="T13" s="17" t="str">
        <f aca="false">IF(OR(A13="",Policy!L13=""),"",MONTH(Policy!L13))</f>
        <v/>
      </c>
      <c r="U13" s="17" t="str">
        <f aca="false">IF(OR(A13="",Policy!L13=""),"",YEAR(Policy!L13))</f>
        <v/>
      </c>
      <c r="V13" s="17" t="str">
        <f aca="false">IF(Policy!A13="","",Policy!J13)</f>
        <v/>
      </c>
      <c r="W13" s="14"/>
    </row>
    <row r="14" customFormat="false" ht="15" hidden="false" customHeight="false" outlineLevel="0" collapsed="false">
      <c r="A14" s="17" t="str">
        <f aca="false">IF(Policy!A14="","",Policy!A14)</f>
        <v/>
      </c>
      <c r="B14" s="17" t="str">
        <f aca="false">IF(Policy!A14="","",Policy!B14)</f>
        <v/>
      </c>
      <c r="C14" s="17" t="str">
        <f aca="false">IF(Policy!A14="","",Policy!E14)</f>
        <v/>
      </c>
      <c r="D14" s="17" t="str">
        <f aca="false">IF(Policy!A14="","",Policy!G14)</f>
        <v/>
      </c>
      <c r="E14" s="17" t="str">
        <f aca="false">IF(Policy!A14="","",Policy!H14)</f>
        <v/>
      </c>
      <c r="F14" s="22" t="str">
        <f aca="false">IF(Policy!A14="","",Risk!D14)</f>
        <v/>
      </c>
      <c r="G14" s="23"/>
      <c r="H14" s="24" t="str">
        <f aca="false">IF(A14="","",G14*(1-M14/100))</f>
        <v/>
      </c>
      <c r="I14" s="24" t="str">
        <f aca="false">IF(A14="","",G14*F14/100)</f>
        <v/>
      </c>
      <c r="J14" s="24" t="str">
        <f aca="false">IF(A14="","",I14*(1-M14/100))</f>
        <v/>
      </c>
      <c r="K14" s="25"/>
      <c r="L14" s="25"/>
      <c r="M14" s="26" t="str">
        <f aca="false">IF(A14="","",K14+L14)</f>
        <v/>
      </c>
      <c r="N14" s="25"/>
      <c r="O14" s="23"/>
      <c r="P14" s="23"/>
      <c r="Q14" s="24" t="str">
        <f aca="false">IF(A14="","",J14*(1-N14/100)-O14-P14)</f>
        <v/>
      </c>
      <c r="R14" s="25"/>
      <c r="S14" s="17" t="str">
        <f aca="false">IF(Policy!A14="","",Policy!U14)</f>
        <v/>
      </c>
      <c r="T14" s="17" t="str">
        <f aca="false">IF(OR(A14="",Policy!L14=""),"",MONTH(Policy!L14))</f>
        <v/>
      </c>
      <c r="U14" s="17" t="str">
        <f aca="false">IF(OR(A14="",Policy!L14=""),"",YEAR(Policy!L14))</f>
        <v/>
      </c>
      <c r="V14" s="17" t="str">
        <f aca="false">IF(Policy!A14="","",Policy!J14)</f>
        <v/>
      </c>
      <c r="W14" s="14"/>
    </row>
    <row r="15" customFormat="false" ht="15" hidden="false" customHeight="false" outlineLevel="0" collapsed="false">
      <c r="A15" s="17" t="str">
        <f aca="false">IF(Policy!A15="","",Policy!A15)</f>
        <v/>
      </c>
      <c r="B15" s="17" t="str">
        <f aca="false">IF(Policy!A15="","",Policy!B15)</f>
        <v/>
      </c>
      <c r="C15" s="17" t="str">
        <f aca="false">IF(Policy!A15="","",Policy!E15)</f>
        <v/>
      </c>
      <c r="D15" s="17" t="str">
        <f aca="false">IF(Policy!A15="","",Policy!G15)</f>
        <v/>
      </c>
      <c r="E15" s="17" t="str">
        <f aca="false">IF(Policy!A15="","",Policy!H15)</f>
        <v/>
      </c>
      <c r="F15" s="22" t="str">
        <f aca="false">IF(Policy!A15="","",Risk!D15)</f>
        <v/>
      </c>
      <c r="G15" s="23"/>
      <c r="H15" s="24" t="str">
        <f aca="false">IF(A15="","",G15*(1-M15/100))</f>
        <v/>
      </c>
      <c r="I15" s="24" t="str">
        <f aca="false">IF(A15="","",G15*F15/100)</f>
        <v/>
      </c>
      <c r="J15" s="24" t="str">
        <f aca="false">IF(A15="","",I15*(1-M15/100))</f>
        <v/>
      </c>
      <c r="K15" s="25"/>
      <c r="L15" s="25"/>
      <c r="M15" s="26" t="str">
        <f aca="false">IF(A15="","",K15+L15)</f>
        <v/>
      </c>
      <c r="N15" s="25"/>
      <c r="O15" s="23"/>
      <c r="P15" s="23"/>
      <c r="Q15" s="24" t="str">
        <f aca="false">IF(A15="","",J15*(1-N15/100)-O15-P15)</f>
        <v/>
      </c>
      <c r="R15" s="25"/>
      <c r="S15" s="17" t="str">
        <f aca="false">IF(Policy!A15="","",Policy!U15)</f>
        <v/>
      </c>
      <c r="T15" s="17" t="str">
        <f aca="false">IF(OR(A15="",Policy!L15=""),"",MONTH(Policy!L15))</f>
        <v/>
      </c>
      <c r="U15" s="17" t="str">
        <f aca="false">IF(OR(A15="",Policy!L15=""),"",YEAR(Policy!L15))</f>
        <v/>
      </c>
      <c r="V15" s="17" t="str">
        <f aca="false">IF(Policy!A15="","",Policy!J15)</f>
        <v/>
      </c>
      <c r="W15" s="14"/>
    </row>
    <row r="16" customFormat="false" ht="15" hidden="false" customHeight="false" outlineLevel="0" collapsed="false">
      <c r="A16" s="17" t="str">
        <f aca="false">IF(Policy!A16="","",Policy!A16)</f>
        <v/>
      </c>
      <c r="B16" s="17" t="str">
        <f aca="false">IF(Policy!A16="","",Policy!B16)</f>
        <v/>
      </c>
      <c r="C16" s="17" t="str">
        <f aca="false">IF(Policy!A16="","",Policy!E16)</f>
        <v/>
      </c>
      <c r="D16" s="17" t="str">
        <f aca="false">IF(Policy!A16="","",Policy!G16)</f>
        <v/>
      </c>
      <c r="E16" s="17" t="str">
        <f aca="false">IF(Policy!A16="","",Policy!H16)</f>
        <v/>
      </c>
      <c r="F16" s="22" t="str">
        <f aca="false">IF(Policy!A16="","",Risk!D16)</f>
        <v/>
      </c>
      <c r="G16" s="23"/>
      <c r="H16" s="24" t="str">
        <f aca="false">IF(A16="","",G16*(1-M16/100))</f>
        <v/>
      </c>
      <c r="I16" s="24" t="str">
        <f aca="false">IF(A16="","",G16*F16/100)</f>
        <v/>
      </c>
      <c r="J16" s="24" t="str">
        <f aca="false">IF(A16="","",I16*(1-M16/100))</f>
        <v/>
      </c>
      <c r="K16" s="25"/>
      <c r="L16" s="25"/>
      <c r="M16" s="26" t="str">
        <f aca="false">IF(A16="","",K16+L16)</f>
        <v/>
      </c>
      <c r="N16" s="25"/>
      <c r="O16" s="23"/>
      <c r="P16" s="23"/>
      <c r="Q16" s="24" t="str">
        <f aca="false">IF(A16="","",J16*(1-N16/100)-O16-P16)</f>
        <v/>
      </c>
      <c r="R16" s="25"/>
      <c r="S16" s="17" t="str">
        <f aca="false">IF(Policy!A16="","",Policy!U16)</f>
        <v/>
      </c>
      <c r="T16" s="17" t="str">
        <f aca="false">IF(OR(A16="",Policy!L16=""),"",MONTH(Policy!L16))</f>
        <v/>
      </c>
      <c r="U16" s="17" t="str">
        <f aca="false">IF(OR(A16="",Policy!L16=""),"",YEAR(Policy!L16))</f>
        <v/>
      </c>
      <c r="V16" s="17" t="str">
        <f aca="false">IF(Policy!A16="","",Policy!J16)</f>
        <v/>
      </c>
      <c r="W16" s="14"/>
    </row>
    <row r="17" customFormat="false" ht="15" hidden="false" customHeight="false" outlineLevel="0" collapsed="false">
      <c r="A17" s="17" t="str">
        <f aca="false">IF(Policy!A17="","",Policy!A17)</f>
        <v/>
      </c>
      <c r="B17" s="17" t="str">
        <f aca="false">IF(Policy!A17="","",Policy!B17)</f>
        <v/>
      </c>
      <c r="C17" s="17" t="str">
        <f aca="false">IF(Policy!A17="","",Policy!E17)</f>
        <v/>
      </c>
      <c r="D17" s="17" t="str">
        <f aca="false">IF(Policy!A17="","",Policy!G17)</f>
        <v/>
      </c>
      <c r="E17" s="17" t="str">
        <f aca="false">IF(Policy!A17="","",Policy!H17)</f>
        <v/>
      </c>
      <c r="F17" s="22" t="str">
        <f aca="false">IF(Policy!A17="","",Risk!D17)</f>
        <v/>
      </c>
      <c r="G17" s="23"/>
      <c r="H17" s="24" t="str">
        <f aca="false">IF(A17="","",G17*(1-M17/100))</f>
        <v/>
      </c>
      <c r="I17" s="24" t="str">
        <f aca="false">IF(A17="","",G17*F17/100)</f>
        <v/>
      </c>
      <c r="J17" s="24" t="str">
        <f aca="false">IF(A17="","",I17*(1-M17/100))</f>
        <v/>
      </c>
      <c r="K17" s="25"/>
      <c r="L17" s="25"/>
      <c r="M17" s="26" t="str">
        <f aca="false">IF(A17="","",K17+L17)</f>
        <v/>
      </c>
      <c r="N17" s="25"/>
      <c r="O17" s="23"/>
      <c r="P17" s="23"/>
      <c r="Q17" s="24" t="str">
        <f aca="false">IF(A17="","",J17*(1-N17/100)-O17-P17)</f>
        <v/>
      </c>
      <c r="R17" s="25"/>
      <c r="S17" s="17" t="str">
        <f aca="false">IF(Policy!A17="","",Policy!U17)</f>
        <v/>
      </c>
      <c r="T17" s="17" t="str">
        <f aca="false">IF(OR(A17="",Policy!L17=""),"",MONTH(Policy!L17))</f>
        <v/>
      </c>
      <c r="U17" s="17" t="str">
        <f aca="false">IF(OR(A17="",Policy!L17=""),"",YEAR(Policy!L17))</f>
        <v/>
      </c>
      <c r="V17" s="17" t="str">
        <f aca="false">IF(Policy!A17="","",Policy!J17)</f>
        <v/>
      </c>
      <c r="W17" s="14"/>
    </row>
    <row r="18" customFormat="false" ht="15" hidden="false" customHeight="false" outlineLevel="0" collapsed="false">
      <c r="A18" s="17" t="str">
        <f aca="false">IF(Policy!A18="","",Policy!A18)</f>
        <v/>
      </c>
      <c r="B18" s="17" t="str">
        <f aca="false">IF(Policy!A18="","",Policy!B18)</f>
        <v/>
      </c>
      <c r="C18" s="17" t="str">
        <f aca="false">IF(Policy!A18="","",Policy!E18)</f>
        <v/>
      </c>
      <c r="D18" s="17" t="str">
        <f aca="false">IF(Policy!A18="","",Policy!G18)</f>
        <v/>
      </c>
      <c r="E18" s="17" t="str">
        <f aca="false">IF(Policy!A18="","",Policy!H18)</f>
        <v/>
      </c>
      <c r="F18" s="22" t="str">
        <f aca="false">IF(Policy!A18="","",Risk!D18)</f>
        <v/>
      </c>
      <c r="G18" s="23"/>
      <c r="H18" s="24" t="str">
        <f aca="false">IF(A18="","",G18*(1-M18/100))</f>
        <v/>
      </c>
      <c r="I18" s="24" t="str">
        <f aca="false">IF(A18="","",G18*F18/100)</f>
        <v/>
      </c>
      <c r="J18" s="24" t="str">
        <f aca="false">IF(A18="","",I18*(1-M18/100))</f>
        <v/>
      </c>
      <c r="K18" s="25"/>
      <c r="L18" s="25"/>
      <c r="M18" s="26" t="str">
        <f aca="false">IF(A18="","",K18+L18)</f>
        <v/>
      </c>
      <c r="N18" s="25"/>
      <c r="O18" s="23"/>
      <c r="P18" s="23"/>
      <c r="Q18" s="24" t="str">
        <f aca="false">IF(A18="","",J18*(1-N18/100)-O18-P18)</f>
        <v/>
      </c>
      <c r="R18" s="25"/>
      <c r="S18" s="17" t="str">
        <f aca="false">IF(Policy!A18="","",Policy!U18)</f>
        <v/>
      </c>
      <c r="T18" s="17" t="str">
        <f aca="false">IF(OR(A18="",Policy!L18=""),"",MONTH(Policy!L18))</f>
        <v/>
      </c>
      <c r="U18" s="17" t="str">
        <f aca="false">IF(OR(A18="",Policy!L18=""),"",YEAR(Policy!L18))</f>
        <v/>
      </c>
      <c r="V18" s="17" t="str">
        <f aca="false">IF(Policy!A18="","",Policy!J18)</f>
        <v/>
      </c>
      <c r="W18" s="14"/>
    </row>
    <row r="19" customFormat="false" ht="15" hidden="false" customHeight="false" outlineLevel="0" collapsed="false">
      <c r="A19" s="17" t="str">
        <f aca="false">IF(Policy!A19="","",Policy!A19)</f>
        <v/>
      </c>
      <c r="B19" s="17" t="str">
        <f aca="false">IF(Policy!A19="","",Policy!B19)</f>
        <v/>
      </c>
      <c r="C19" s="17" t="str">
        <f aca="false">IF(Policy!A19="","",Policy!E19)</f>
        <v/>
      </c>
      <c r="D19" s="17" t="str">
        <f aca="false">IF(Policy!A19="","",Policy!G19)</f>
        <v/>
      </c>
      <c r="E19" s="17" t="str">
        <f aca="false">IF(Policy!A19="","",Policy!H19)</f>
        <v/>
      </c>
      <c r="F19" s="22" t="str">
        <f aca="false">IF(Policy!A19="","",Risk!D19)</f>
        <v/>
      </c>
      <c r="G19" s="23"/>
      <c r="H19" s="24" t="str">
        <f aca="false">IF(A19="","",G19*(1-M19/100))</f>
        <v/>
      </c>
      <c r="I19" s="24" t="str">
        <f aca="false">IF(A19="","",G19*F19/100)</f>
        <v/>
      </c>
      <c r="J19" s="24" t="str">
        <f aca="false">IF(A19="","",I19*(1-M19/100))</f>
        <v/>
      </c>
      <c r="K19" s="25"/>
      <c r="L19" s="25"/>
      <c r="M19" s="26" t="str">
        <f aca="false">IF(A19="","",K19+L19)</f>
        <v/>
      </c>
      <c r="N19" s="25"/>
      <c r="O19" s="23"/>
      <c r="P19" s="23"/>
      <c r="Q19" s="24" t="str">
        <f aca="false">IF(A19="","",J19*(1-N19/100)-O19-P19)</f>
        <v/>
      </c>
      <c r="R19" s="25"/>
      <c r="S19" s="17" t="str">
        <f aca="false">IF(Policy!A19="","",Policy!U19)</f>
        <v/>
      </c>
      <c r="T19" s="17" t="str">
        <f aca="false">IF(OR(A19="",Policy!L19=""),"",MONTH(Policy!L19))</f>
        <v/>
      </c>
      <c r="U19" s="17" t="str">
        <f aca="false">IF(OR(A19="",Policy!L19=""),"",YEAR(Policy!L19))</f>
        <v/>
      </c>
      <c r="V19" s="17" t="str">
        <f aca="false">IF(Policy!A19="","",Policy!J19)</f>
        <v/>
      </c>
      <c r="W19" s="14"/>
    </row>
    <row r="20" customFormat="false" ht="15" hidden="false" customHeight="false" outlineLevel="0" collapsed="false">
      <c r="A20" s="17" t="str">
        <f aca="false">IF(Policy!A20="","",Policy!A20)</f>
        <v/>
      </c>
      <c r="B20" s="17" t="str">
        <f aca="false">IF(Policy!A20="","",Policy!B20)</f>
        <v/>
      </c>
      <c r="C20" s="17" t="str">
        <f aca="false">IF(Policy!A20="","",Policy!E20)</f>
        <v/>
      </c>
      <c r="D20" s="17" t="str">
        <f aca="false">IF(Policy!A20="","",Policy!G20)</f>
        <v/>
      </c>
      <c r="E20" s="17" t="str">
        <f aca="false">IF(Policy!A20="","",Policy!H20)</f>
        <v/>
      </c>
      <c r="F20" s="22" t="str">
        <f aca="false">IF(Policy!A20="","",Risk!D20)</f>
        <v/>
      </c>
      <c r="G20" s="23"/>
      <c r="H20" s="24" t="str">
        <f aca="false">IF(A20="","",G20*(1-M20/100))</f>
        <v/>
      </c>
      <c r="I20" s="24" t="str">
        <f aca="false">IF(A20="","",G20*F20/100)</f>
        <v/>
      </c>
      <c r="J20" s="24" t="str">
        <f aca="false">IF(A20="","",I20*(1-M20/100))</f>
        <v/>
      </c>
      <c r="K20" s="25"/>
      <c r="L20" s="25"/>
      <c r="M20" s="26" t="str">
        <f aca="false">IF(A20="","",K20+L20)</f>
        <v/>
      </c>
      <c r="N20" s="25"/>
      <c r="O20" s="23"/>
      <c r="P20" s="23"/>
      <c r="Q20" s="24" t="str">
        <f aca="false">IF(A20="","",J20*(1-N20/100)-O20-P20)</f>
        <v/>
      </c>
      <c r="R20" s="25"/>
      <c r="S20" s="17" t="str">
        <f aca="false">IF(Policy!A20="","",Policy!U20)</f>
        <v/>
      </c>
      <c r="T20" s="17" t="str">
        <f aca="false">IF(OR(A20="",Policy!L20=""),"",MONTH(Policy!L20))</f>
        <v/>
      </c>
      <c r="U20" s="17" t="str">
        <f aca="false">IF(OR(A20="",Policy!L20=""),"",YEAR(Policy!L20))</f>
        <v/>
      </c>
      <c r="V20" s="17" t="str">
        <f aca="false">IF(Policy!A20="","",Policy!J20)</f>
        <v/>
      </c>
      <c r="W20" s="14"/>
    </row>
    <row r="21" customFormat="false" ht="15" hidden="false" customHeight="false" outlineLevel="0" collapsed="false">
      <c r="A21" s="17" t="str">
        <f aca="false">IF(Policy!A21="","",Policy!A21)</f>
        <v/>
      </c>
      <c r="B21" s="17" t="str">
        <f aca="false">IF(Policy!A21="","",Policy!B21)</f>
        <v/>
      </c>
      <c r="C21" s="17" t="str">
        <f aca="false">IF(Policy!A21="","",Policy!E21)</f>
        <v/>
      </c>
      <c r="D21" s="17" t="str">
        <f aca="false">IF(Policy!A21="","",Policy!G21)</f>
        <v/>
      </c>
      <c r="E21" s="17" t="str">
        <f aca="false">IF(Policy!A21="","",Policy!H21)</f>
        <v/>
      </c>
      <c r="F21" s="22" t="str">
        <f aca="false">IF(Policy!A21="","",Risk!D21)</f>
        <v/>
      </c>
      <c r="G21" s="23"/>
      <c r="H21" s="24" t="str">
        <f aca="false">IF(A21="","",G21*(1-M21/100))</f>
        <v/>
      </c>
      <c r="I21" s="24" t="str">
        <f aca="false">IF(A21="","",G21*F21/100)</f>
        <v/>
      </c>
      <c r="J21" s="24" t="str">
        <f aca="false">IF(A21="","",I21*(1-M21/100))</f>
        <v/>
      </c>
      <c r="K21" s="25"/>
      <c r="L21" s="25"/>
      <c r="M21" s="26" t="str">
        <f aca="false">IF(A21="","",K21+L21)</f>
        <v/>
      </c>
      <c r="N21" s="25"/>
      <c r="O21" s="23"/>
      <c r="P21" s="23"/>
      <c r="Q21" s="24" t="str">
        <f aca="false">IF(A21="","",J21*(1-N21/100)-O21-P21)</f>
        <v/>
      </c>
      <c r="R21" s="25"/>
      <c r="S21" s="17" t="str">
        <f aca="false">IF(Policy!A21="","",Policy!U21)</f>
        <v/>
      </c>
      <c r="T21" s="17" t="str">
        <f aca="false">IF(OR(A21="",Policy!L21=""),"",MONTH(Policy!L21))</f>
        <v/>
      </c>
      <c r="U21" s="17" t="str">
        <f aca="false">IF(OR(A21="",Policy!L21=""),"",YEAR(Policy!L21))</f>
        <v/>
      </c>
      <c r="V21" s="17" t="str">
        <f aca="false">IF(Policy!A21="","",Policy!J21)</f>
        <v/>
      </c>
      <c r="W21" s="14"/>
    </row>
    <row r="22" customFormat="false" ht="15" hidden="false" customHeight="false" outlineLevel="0" collapsed="false">
      <c r="A22" s="17" t="str">
        <f aca="false">IF(Policy!A22="","",Policy!A22)</f>
        <v/>
      </c>
      <c r="B22" s="17" t="str">
        <f aca="false">IF(Policy!A22="","",Policy!B22)</f>
        <v/>
      </c>
      <c r="C22" s="17" t="str">
        <f aca="false">IF(Policy!A22="","",Policy!E22)</f>
        <v/>
      </c>
      <c r="D22" s="17" t="str">
        <f aca="false">IF(Policy!A22="","",Policy!G22)</f>
        <v/>
      </c>
      <c r="E22" s="17" t="str">
        <f aca="false">IF(Policy!A22="","",Policy!H22)</f>
        <v/>
      </c>
      <c r="F22" s="22" t="str">
        <f aca="false">IF(Policy!A22="","",Risk!D22)</f>
        <v/>
      </c>
      <c r="G22" s="23"/>
      <c r="H22" s="24" t="str">
        <f aca="false">IF(A22="","",G22*(1-M22/100))</f>
        <v/>
      </c>
      <c r="I22" s="24" t="str">
        <f aca="false">IF(A22="","",G22*F22/100)</f>
        <v/>
      </c>
      <c r="J22" s="24" t="str">
        <f aca="false">IF(A22="","",I22*(1-M22/100))</f>
        <v/>
      </c>
      <c r="K22" s="25"/>
      <c r="L22" s="25"/>
      <c r="M22" s="26" t="str">
        <f aca="false">IF(A22="","",K22+L22)</f>
        <v/>
      </c>
      <c r="N22" s="25"/>
      <c r="O22" s="23"/>
      <c r="P22" s="23"/>
      <c r="Q22" s="24" t="str">
        <f aca="false">IF(A22="","",J22*(1-N22/100)-O22-P22)</f>
        <v/>
      </c>
      <c r="R22" s="25"/>
      <c r="S22" s="17" t="str">
        <f aca="false">IF(Policy!A22="","",Policy!U22)</f>
        <v/>
      </c>
      <c r="T22" s="17" t="str">
        <f aca="false">IF(OR(A22="",Policy!L22=""),"",MONTH(Policy!L22))</f>
        <v/>
      </c>
      <c r="U22" s="17" t="str">
        <f aca="false">IF(OR(A22="",Policy!L22=""),"",YEAR(Policy!L22))</f>
        <v/>
      </c>
      <c r="V22" s="17" t="str">
        <f aca="false">IF(Policy!A22="","",Policy!J22)</f>
        <v/>
      </c>
      <c r="W22" s="14"/>
    </row>
    <row r="23" customFormat="false" ht="15" hidden="false" customHeight="false" outlineLevel="0" collapsed="false">
      <c r="A23" s="17" t="str">
        <f aca="false">IF(Policy!A23="","",Policy!A23)</f>
        <v/>
      </c>
      <c r="B23" s="17" t="str">
        <f aca="false">IF(Policy!A23="","",Policy!B23)</f>
        <v/>
      </c>
      <c r="C23" s="17" t="str">
        <f aca="false">IF(Policy!A23="","",Policy!E23)</f>
        <v/>
      </c>
      <c r="D23" s="17" t="str">
        <f aca="false">IF(Policy!A23="","",Policy!G23)</f>
        <v/>
      </c>
      <c r="E23" s="17" t="str">
        <f aca="false">IF(Policy!A23="","",Policy!H23)</f>
        <v/>
      </c>
      <c r="F23" s="22" t="str">
        <f aca="false">IF(Policy!A23="","",Risk!D23)</f>
        <v/>
      </c>
      <c r="G23" s="23"/>
      <c r="H23" s="24" t="str">
        <f aca="false">IF(A23="","",G23*(1-M23/100))</f>
        <v/>
      </c>
      <c r="I23" s="24" t="str">
        <f aca="false">IF(A23="","",G23*F23/100)</f>
        <v/>
      </c>
      <c r="J23" s="24" t="str">
        <f aca="false">IF(A23="","",I23*(1-M23/100))</f>
        <v/>
      </c>
      <c r="K23" s="25"/>
      <c r="L23" s="25"/>
      <c r="M23" s="26" t="str">
        <f aca="false">IF(A23="","",K23+L23)</f>
        <v/>
      </c>
      <c r="N23" s="25"/>
      <c r="O23" s="23"/>
      <c r="P23" s="23"/>
      <c r="Q23" s="24" t="str">
        <f aca="false">IF(A23="","",J23*(1-N23/100)-O23-P23)</f>
        <v/>
      </c>
      <c r="R23" s="25"/>
      <c r="S23" s="17" t="str">
        <f aca="false">IF(Policy!A23="","",Policy!U23)</f>
        <v/>
      </c>
      <c r="T23" s="17" t="str">
        <f aca="false">IF(OR(A23="",Policy!L23=""),"",MONTH(Policy!L23))</f>
        <v/>
      </c>
      <c r="U23" s="17" t="str">
        <f aca="false">IF(OR(A23="",Policy!L23=""),"",YEAR(Policy!L23))</f>
        <v/>
      </c>
      <c r="V23" s="17" t="str">
        <f aca="false">IF(Policy!A23="","",Policy!J23)</f>
        <v/>
      </c>
      <c r="W23" s="14"/>
    </row>
    <row r="24" customFormat="false" ht="15" hidden="false" customHeight="false" outlineLevel="0" collapsed="false">
      <c r="A24" s="17" t="str">
        <f aca="false">IF(Policy!A24="","",Policy!A24)</f>
        <v/>
      </c>
      <c r="B24" s="17" t="str">
        <f aca="false">IF(Policy!A24="","",Policy!B24)</f>
        <v/>
      </c>
      <c r="C24" s="17" t="str">
        <f aca="false">IF(Policy!A24="","",Policy!E24)</f>
        <v/>
      </c>
      <c r="D24" s="17" t="str">
        <f aca="false">IF(Policy!A24="","",Policy!G24)</f>
        <v/>
      </c>
      <c r="E24" s="17" t="str">
        <f aca="false">IF(Policy!A24="","",Policy!H24)</f>
        <v/>
      </c>
      <c r="F24" s="22" t="str">
        <f aca="false">IF(Policy!A24="","",Risk!D24)</f>
        <v/>
      </c>
      <c r="G24" s="23"/>
      <c r="H24" s="24" t="str">
        <f aca="false">IF(A24="","",G24*(1-M24/100))</f>
        <v/>
      </c>
      <c r="I24" s="24" t="str">
        <f aca="false">IF(A24="","",G24*F24/100)</f>
        <v/>
      </c>
      <c r="J24" s="24" t="str">
        <f aca="false">IF(A24="","",I24*(1-M24/100))</f>
        <v/>
      </c>
      <c r="K24" s="25"/>
      <c r="L24" s="25"/>
      <c r="M24" s="26" t="str">
        <f aca="false">IF(A24="","",K24+L24)</f>
        <v/>
      </c>
      <c r="N24" s="25"/>
      <c r="O24" s="23"/>
      <c r="P24" s="23"/>
      <c r="Q24" s="24" t="str">
        <f aca="false">IF(A24="","",J24*(1-N24/100)-O24-P24)</f>
        <v/>
      </c>
      <c r="R24" s="25"/>
      <c r="S24" s="17" t="str">
        <f aca="false">IF(Policy!A24="","",Policy!U24)</f>
        <v/>
      </c>
      <c r="T24" s="17" t="str">
        <f aca="false">IF(OR(A24="",Policy!L24=""),"",MONTH(Policy!L24))</f>
        <v/>
      </c>
      <c r="U24" s="17" t="str">
        <f aca="false">IF(OR(A24="",Policy!L24=""),"",YEAR(Policy!L24))</f>
        <v/>
      </c>
      <c r="V24" s="17" t="str">
        <f aca="false">IF(Policy!A24="","",Policy!J24)</f>
        <v/>
      </c>
      <c r="W24" s="14"/>
    </row>
    <row r="25" customFormat="false" ht="15" hidden="false" customHeight="false" outlineLevel="0" collapsed="false">
      <c r="A25" s="17" t="str">
        <f aca="false">IF(Policy!A25="","",Policy!A25)</f>
        <v/>
      </c>
      <c r="B25" s="17" t="str">
        <f aca="false">IF(Policy!A25="","",Policy!B25)</f>
        <v/>
      </c>
      <c r="C25" s="17" t="str">
        <f aca="false">IF(Policy!A25="","",Policy!E25)</f>
        <v/>
      </c>
      <c r="D25" s="17" t="str">
        <f aca="false">IF(Policy!A25="","",Policy!G25)</f>
        <v/>
      </c>
      <c r="E25" s="17" t="str">
        <f aca="false">IF(Policy!A25="","",Policy!H25)</f>
        <v/>
      </c>
      <c r="F25" s="22" t="str">
        <f aca="false">IF(Policy!A25="","",Risk!D25)</f>
        <v/>
      </c>
      <c r="G25" s="23"/>
      <c r="H25" s="24" t="str">
        <f aca="false">IF(A25="","",G25*(1-M25/100))</f>
        <v/>
      </c>
      <c r="I25" s="24" t="str">
        <f aca="false">IF(A25="","",G25*F25/100)</f>
        <v/>
      </c>
      <c r="J25" s="24" t="str">
        <f aca="false">IF(A25="","",I25*(1-M25/100))</f>
        <v/>
      </c>
      <c r="K25" s="25"/>
      <c r="L25" s="25"/>
      <c r="M25" s="26" t="str">
        <f aca="false">IF(A25="","",K25+L25)</f>
        <v/>
      </c>
      <c r="N25" s="25"/>
      <c r="O25" s="23"/>
      <c r="P25" s="23"/>
      <c r="Q25" s="24" t="str">
        <f aca="false">IF(A25="","",J25*(1-N25/100)-O25-P25)</f>
        <v/>
      </c>
      <c r="R25" s="25"/>
      <c r="S25" s="17" t="str">
        <f aca="false">IF(Policy!A25="","",Policy!U25)</f>
        <v/>
      </c>
      <c r="T25" s="17" t="str">
        <f aca="false">IF(OR(A25="",Policy!L25=""),"",MONTH(Policy!L25))</f>
        <v/>
      </c>
      <c r="U25" s="17" t="str">
        <f aca="false">IF(OR(A25="",Policy!L25=""),"",YEAR(Policy!L25))</f>
        <v/>
      </c>
      <c r="V25" s="17" t="str">
        <f aca="false">IF(Policy!A25="","",Policy!J25)</f>
        <v/>
      </c>
      <c r="W25" s="14"/>
    </row>
    <row r="26" customFormat="false" ht="15" hidden="false" customHeight="false" outlineLevel="0" collapsed="false">
      <c r="A26" s="17" t="str">
        <f aca="false">IF(Policy!A26="","",Policy!A26)</f>
        <v/>
      </c>
      <c r="B26" s="17" t="str">
        <f aca="false">IF(Policy!A26="","",Policy!B26)</f>
        <v/>
      </c>
      <c r="C26" s="17" t="str">
        <f aca="false">IF(Policy!A26="","",Policy!E26)</f>
        <v/>
      </c>
      <c r="D26" s="17" t="str">
        <f aca="false">IF(Policy!A26="","",Policy!G26)</f>
        <v/>
      </c>
      <c r="E26" s="17" t="str">
        <f aca="false">IF(Policy!A26="","",Policy!H26)</f>
        <v/>
      </c>
      <c r="F26" s="22" t="str">
        <f aca="false">IF(Policy!A26="","",Risk!D26)</f>
        <v/>
      </c>
      <c r="G26" s="23"/>
      <c r="H26" s="24" t="str">
        <f aca="false">IF(A26="","",G26*(1-M26/100))</f>
        <v/>
      </c>
      <c r="I26" s="24" t="str">
        <f aca="false">IF(A26="","",G26*F26/100)</f>
        <v/>
      </c>
      <c r="J26" s="24" t="str">
        <f aca="false">IF(A26="","",I26*(1-M26/100))</f>
        <v/>
      </c>
      <c r="K26" s="25"/>
      <c r="L26" s="25"/>
      <c r="M26" s="26" t="str">
        <f aca="false">IF(A26="","",K26+L26)</f>
        <v/>
      </c>
      <c r="N26" s="25"/>
      <c r="O26" s="23"/>
      <c r="P26" s="23"/>
      <c r="Q26" s="24" t="str">
        <f aca="false">IF(A26="","",J26*(1-N26/100)-O26-P26)</f>
        <v/>
      </c>
      <c r="R26" s="25"/>
      <c r="S26" s="17" t="str">
        <f aca="false">IF(Policy!A26="","",Policy!U26)</f>
        <v/>
      </c>
      <c r="T26" s="17" t="str">
        <f aca="false">IF(OR(A26="",Policy!L26=""),"",MONTH(Policy!L26))</f>
        <v/>
      </c>
      <c r="U26" s="17" t="str">
        <f aca="false">IF(OR(A26="",Policy!L26=""),"",YEAR(Policy!L26))</f>
        <v/>
      </c>
      <c r="V26" s="17" t="str">
        <f aca="false">IF(Policy!A26="","",Policy!J26)</f>
        <v/>
      </c>
      <c r="W26" s="14"/>
    </row>
    <row r="27" customFormat="false" ht="15" hidden="false" customHeight="false" outlineLevel="0" collapsed="false">
      <c r="A27" s="17" t="str">
        <f aca="false">IF(Policy!A27="","",Policy!A27)</f>
        <v/>
      </c>
      <c r="B27" s="17" t="str">
        <f aca="false">IF(Policy!A27="","",Policy!B27)</f>
        <v/>
      </c>
      <c r="C27" s="17" t="str">
        <f aca="false">IF(Policy!A27="","",Policy!E27)</f>
        <v/>
      </c>
      <c r="D27" s="17" t="str">
        <f aca="false">IF(Policy!A27="","",Policy!G27)</f>
        <v/>
      </c>
      <c r="E27" s="17" t="str">
        <f aca="false">IF(Policy!A27="","",Policy!H27)</f>
        <v/>
      </c>
      <c r="F27" s="22" t="str">
        <f aca="false">IF(Policy!A27="","",Risk!D27)</f>
        <v/>
      </c>
      <c r="G27" s="23"/>
      <c r="H27" s="24" t="str">
        <f aca="false">IF(A27="","",G27*(1-M27/100))</f>
        <v/>
      </c>
      <c r="I27" s="24" t="str">
        <f aca="false">IF(A27="","",G27*F27/100)</f>
        <v/>
      </c>
      <c r="J27" s="24" t="str">
        <f aca="false">IF(A27="","",I27*(1-M27/100))</f>
        <v/>
      </c>
      <c r="K27" s="25"/>
      <c r="L27" s="25"/>
      <c r="M27" s="26" t="str">
        <f aca="false">IF(A27="","",K27+L27)</f>
        <v/>
      </c>
      <c r="N27" s="25"/>
      <c r="O27" s="23"/>
      <c r="P27" s="23"/>
      <c r="Q27" s="24" t="str">
        <f aca="false">IF(A27="","",J27*(1-N27/100)-O27-P27)</f>
        <v/>
      </c>
      <c r="R27" s="25"/>
      <c r="S27" s="17" t="str">
        <f aca="false">IF(Policy!A27="","",Policy!U27)</f>
        <v/>
      </c>
      <c r="T27" s="17" t="str">
        <f aca="false">IF(OR(A27="",Policy!L27=""),"",MONTH(Policy!L27))</f>
        <v/>
      </c>
      <c r="U27" s="17" t="str">
        <f aca="false">IF(OR(A27="",Policy!L27=""),"",YEAR(Policy!L27))</f>
        <v/>
      </c>
      <c r="V27" s="17" t="str">
        <f aca="false">IF(Policy!A27="","",Policy!J27)</f>
        <v/>
      </c>
      <c r="W27" s="14"/>
    </row>
    <row r="28" customFormat="false" ht="15" hidden="false" customHeight="false" outlineLevel="0" collapsed="false">
      <c r="A28" s="17" t="str">
        <f aca="false">IF(Policy!A28="","",Policy!A28)</f>
        <v/>
      </c>
      <c r="B28" s="17" t="str">
        <f aca="false">IF(Policy!A28="","",Policy!B28)</f>
        <v/>
      </c>
      <c r="C28" s="17" t="str">
        <f aca="false">IF(Policy!A28="","",Policy!E28)</f>
        <v/>
      </c>
      <c r="D28" s="17" t="str">
        <f aca="false">IF(Policy!A28="","",Policy!G28)</f>
        <v/>
      </c>
      <c r="E28" s="17" t="str">
        <f aca="false">IF(Policy!A28="","",Policy!H28)</f>
        <v/>
      </c>
      <c r="F28" s="22" t="str">
        <f aca="false">IF(Policy!A28="","",Risk!D28)</f>
        <v/>
      </c>
      <c r="G28" s="23"/>
      <c r="H28" s="24" t="str">
        <f aca="false">IF(A28="","",G28*(1-M28/100))</f>
        <v/>
      </c>
      <c r="I28" s="24" t="str">
        <f aca="false">IF(A28="","",G28*F28/100)</f>
        <v/>
      </c>
      <c r="J28" s="24" t="str">
        <f aca="false">IF(A28="","",I28*(1-M28/100))</f>
        <v/>
      </c>
      <c r="K28" s="25"/>
      <c r="L28" s="25"/>
      <c r="M28" s="26" t="str">
        <f aca="false">IF(A28="","",K28+L28)</f>
        <v/>
      </c>
      <c r="N28" s="25"/>
      <c r="O28" s="23"/>
      <c r="P28" s="23"/>
      <c r="Q28" s="24" t="str">
        <f aca="false">IF(A28="","",J28*(1-N28/100)-O28-P28)</f>
        <v/>
      </c>
      <c r="R28" s="25"/>
      <c r="S28" s="17" t="str">
        <f aca="false">IF(Policy!A28="","",Policy!U28)</f>
        <v/>
      </c>
      <c r="T28" s="17" t="str">
        <f aca="false">IF(OR(A28="",Policy!L28=""),"",MONTH(Policy!L28))</f>
        <v/>
      </c>
      <c r="U28" s="17" t="str">
        <f aca="false">IF(OR(A28="",Policy!L28=""),"",YEAR(Policy!L28))</f>
        <v/>
      </c>
      <c r="V28" s="17" t="str">
        <f aca="false">IF(Policy!A28="","",Policy!J28)</f>
        <v/>
      </c>
      <c r="W28" s="14"/>
    </row>
    <row r="29" customFormat="false" ht="15" hidden="false" customHeight="false" outlineLevel="0" collapsed="false">
      <c r="A29" s="17" t="str">
        <f aca="false">IF(Policy!A29="","",Policy!A29)</f>
        <v/>
      </c>
      <c r="B29" s="17" t="str">
        <f aca="false">IF(Policy!A29="","",Policy!B29)</f>
        <v/>
      </c>
      <c r="C29" s="17" t="str">
        <f aca="false">IF(Policy!A29="","",Policy!E29)</f>
        <v/>
      </c>
      <c r="D29" s="17" t="str">
        <f aca="false">IF(Policy!A29="","",Policy!G29)</f>
        <v/>
      </c>
      <c r="E29" s="17" t="str">
        <f aca="false">IF(Policy!A29="","",Policy!H29)</f>
        <v/>
      </c>
      <c r="F29" s="22" t="str">
        <f aca="false">IF(Policy!A29="","",Risk!D29)</f>
        <v/>
      </c>
      <c r="G29" s="23"/>
      <c r="H29" s="24" t="str">
        <f aca="false">IF(A29="","",G29*(1-M29/100))</f>
        <v/>
      </c>
      <c r="I29" s="24" t="str">
        <f aca="false">IF(A29="","",G29*F29/100)</f>
        <v/>
      </c>
      <c r="J29" s="24" t="str">
        <f aca="false">IF(A29="","",I29*(1-M29/100))</f>
        <v/>
      </c>
      <c r="K29" s="25"/>
      <c r="L29" s="25"/>
      <c r="M29" s="26" t="str">
        <f aca="false">IF(A29="","",K29+L29)</f>
        <v/>
      </c>
      <c r="N29" s="25"/>
      <c r="O29" s="23"/>
      <c r="P29" s="23"/>
      <c r="Q29" s="24" t="str">
        <f aca="false">IF(A29="","",J29*(1-N29/100)-O29-P29)</f>
        <v/>
      </c>
      <c r="R29" s="25"/>
      <c r="S29" s="17" t="str">
        <f aca="false">IF(Policy!A29="","",Policy!U29)</f>
        <v/>
      </c>
      <c r="T29" s="17" t="str">
        <f aca="false">IF(OR(A29="",Policy!L29=""),"",MONTH(Policy!L29))</f>
        <v/>
      </c>
      <c r="U29" s="17" t="str">
        <f aca="false">IF(OR(A29="",Policy!L29=""),"",YEAR(Policy!L29))</f>
        <v/>
      </c>
      <c r="V29" s="17" t="str">
        <f aca="false">IF(Policy!A29="","",Policy!J29)</f>
        <v/>
      </c>
      <c r="W29" s="14"/>
    </row>
    <row r="30" customFormat="false" ht="15" hidden="false" customHeight="false" outlineLevel="0" collapsed="false">
      <c r="A30" s="17" t="str">
        <f aca="false">IF(Policy!A30="","",Policy!A30)</f>
        <v/>
      </c>
      <c r="B30" s="17" t="str">
        <f aca="false">IF(Policy!A30="","",Policy!B30)</f>
        <v/>
      </c>
      <c r="C30" s="17" t="str">
        <f aca="false">IF(Policy!A30="","",Policy!E30)</f>
        <v/>
      </c>
      <c r="D30" s="17" t="str">
        <f aca="false">IF(Policy!A30="","",Policy!G30)</f>
        <v/>
      </c>
      <c r="E30" s="17" t="str">
        <f aca="false">IF(Policy!A30="","",Policy!H30)</f>
        <v/>
      </c>
      <c r="F30" s="22" t="str">
        <f aca="false">IF(Policy!A30="","",Risk!D30)</f>
        <v/>
      </c>
      <c r="G30" s="23"/>
      <c r="H30" s="24" t="str">
        <f aca="false">IF(A30="","",G30*(1-M30/100))</f>
        <v/>
      </c>
      <c r="I30" s="24" t="str">
        <f aca="false">IF(A30="","",G30*F30/100)</f>
        <v/>
      </c>
      <c r="J30" s="24" t="str">
        <f aca="false">IF(A30="","",I30*(1-M30/100))</f>
        <v/>
      </c>
      <c r="K30" s="25"/>
      <c r="L30" s="25"/>
      <c r="M30" s="26" t="str">
        <f aca="false">IF(A30="","",K30+L30)</f>
        <v/>
      </c>
      <c r="N30" s="25"/>
      <c r="O30" s="23"/>
      <c r="P30" s="23"/>
      <c r="Q30" s="24" t="str">
        <f aca="false">IF(A30="","",J30*(1-N30/100)-O30-P30)</f>
        <v/>
      </c>
      <c r="R30" s="25"/>
      <c r="S30" s="17" t="str">
        <f aca="false">IF(Policy!A30="","",Policy!U30)</f>
        <v/>
      </c>
      <c r="T30" s="17" t="str">
        <f aca="false">IF(OR(A30="",Policy!L30=""),"",MONTH(Policy!L30))</f>
        <v/>
      </c>
      <c r="U30" s="17" t="str">
        <f aca="false">IF(OR(A30="",Policy!L30=""),"",YEAR(Policy!L30))</f>
        <v/>
      </c>
      <c r="V30" s="17" t="str">
        <f aca="false">IF(Policy!A30="","",Policy!J30)</f>
        <v/>
      </c>
      <c r="W30" s="14"/>
    </row>
    <row r="31" customFormat="false" ht="15" hidden="false" customHeight="false" outlineLevel="0" collapsed="false">
      <c r="A31" s="17" t="str">
        <f aca="false">IF(Policy!A31="","",Policy!A31)</f>
        <v/>
      </c>
      <c r="B31" s="17" t="str">
        <f aca="false">IF(Policy!A31="","",Policy!B31)</f>
        <v/>
      </c>
      <c r="C31" s="17" t="str">
        <f aca="false">IF(Policy!A31="","",Policy!E31)</f>
        <v/>
      </c>
      <c r="D31" s="17" t="str">
        <f aca="false">IF(Policy!A31="","",Policy!G31)</f>
        <v/>
      </c>
      <c r="E31" s="17" t="str">
        <f aca="false">IF(Policy!A31="","",Policy!H31)</f>
        <v/>
      </c>
      <c r="F31" s="22" t="str">
        <f aca="false">IF(Policy!A31="","",Risk!D31)</f>
        <v/>
      </c>
      <c r="G31" s="23"/>
      <c r="H31" s="24" t="str">
        <f aca="false">IF(A31="","",G31*(1-M31/100))</f>
        <v/>
      </c>
      <c r="I31" s="24" t="str">
        <f aca="false">IF(A31="","",G31*F31/100)</f>
        <v/>
      </c>
      <c r="J31" s="24" t="str">
        <f aca="false">IF(A31="","",I31*(1-M31/100))</f>
        <v/>
      </c>
      <c r="K31" s="25"/>
      <c r="L31" s="25"/>
      <c r="M31" s="26" t="str">
        <f aca="false">IF(A31="","",K31+L31)</f>
        <v/>
      </c>
      <c r="N31" s="25"/>
      <c r="O31" s="23"/>
      <c r="P31" s="23"/>
      <c r="Q31" s="24" t="str">
        <f aca="false">IF(A31="","",J31*(1-N31/100)-O31-P31)</f>
        <v/>
      </c>
      <c r="R31" s="25"/>
      <c r="S31" s="17" t="str">
        <f aca="false">IF(Policy!A31="","",Policy!U31)</f>
        <v/>
      </c>
      <c r="T31" s="17" t="str">
        <f aca="false">IF(OR(A31="",Policy!L31=""),"",MONTH(Policy!L31))</f>
        <v/>
      </c>
      <c r="U31" s="17" t="str">
        <f aca="false">IF(OR(A31="",Policy!L31=""),"",YEAR(Policy!L31))</f>
        <v/>
      </c>
      <c r="V31" s="17" t="str">
        <f aca="false">IF(Policy!A31="","",Policy!J31)</f>
        <v/>
      </c>
      <c r="W31" s="14"/>
    </row>
    <row r="32" customFormat="false" ht="15" hidden="false" customHeight="false" outlineLevel="0" collapsed="false">
      <c r="A32" s="17" t="str">
        <f aca="false">IF(Policy!A32="","",Policy!A32)</f>
        <v/>
      </c>
      <c r="B32" s="17" t="str">
        <f aca="false">IF(Policy!A32="","",Policy!B32)</f>
        <v/>
      </c>
      <c r="C32" s="17" t="str">
        <f aca="false">IF(Policy!A32="","",Policy!E32)</f>
        <v/>
      </c>
      <c r="D32" s="17" t="str">
        <f aca="false">IF(Policy!A32="","",Policy!G32)</f>
        <v/>
      </c>
      <c r="E32" s="17" t="str">
        <f aca="false">IF(Policy!A32="","",Policy!H32)</f>
        <v/>
      </c>
      <c r="F32" s="22" t="str">
        <f aca="false">IF(Policy!A32="","",Risk!D32)</f>
        <v/>
      </c>
      <c r="G32" s="23"/>
      <c r="H32" s="24" t="str">
        <f aca="false">IF(A32="","",G32*(1-M32/100))</f>
        <v/>
      </c>
      <c r="I32" s="24" t="str">
        <f aca="false">IF(A32="","",G32*F32/100)</f>
        <v/>
      </c>
      <c r="J32" s="24" t="str">
        <f aca="false">IF(A32="","",I32*(1-M32/100))</f>
        <v/>
      </c>
      <c r="K32" s="25"/>
      <c r="L32" s="25"/>
      <c r="M32" s="26" t="str">
        <f aca="false">IF(A32="","",K32+L32)</f>
        <v/>
      </c>
      <c r="N32" s="25"/>
      <c r="O32" s="23"/>
      <c r="P32" s="23"/>
      <c r="Q32" s="24" t="str">
        <f aca="false">IF(A32="","",J32*(1-N32/100)-O32-P32)</f>
        <v/>
      </c>
      <c r="R32" s="25"/>
      <c r="S32" s="17" t="str">
        <f aca="false">IF(Policy!A32="","",Policy!U32)</f>
        <v/>
      </c>
      <c r="T32" s="17" t="str">
        <f aca="false">IF(OR(A32="",Policy!L32=""),"",MONTH(Policy!L32))</f>
        <v/>
      </c>
      <c r="U32" s="17" t="str">
        <f aca="false">IF(OR(A32="",Policy!L32=""),"",YEAR(Policy!L32))</f>
        <v/>
      </c>
      <c r="V32" s="17" t="str">
        <f aca="false">IF(Policy!A32="","",Policy!J32)</f>
        <v/>
      </c>
      <c r="W32" s="14"/>
    </row>
    <row r="33" customFormat="false" ht="15" hidden="false" customHeight="false" outlineLevel="0" collapsed="false">
      <c r="A33" s="17" t="str">
        <f aca="false">IF(Policy!A33="","",Policy!A33)</f>
        <v/>
      </c>
      <c r="B33" s="17" t="str">
        <f aca="false">IF(Policy!A33="","",Policy!B33)</f>
        <v/>
      </c>
      <c r="C33" s="17" t="str">
        <f aca="false">IF(Policy!A33="","",Policy!E33)</f>
        <v/>
      </c>
      <c r="D33" s="17" t="str">
        <f aca="false">IF(Policy!A33="","",Policy!G33)</f>
        <v/>
      </c>
      <c r="E33" s="17" t="str">
        <f aca="false">IF(Policy!A33="","",Policy!H33)</f>
        <v/>
      </c>
      <c r="F33" s="22" t="str">
        <f aca="false">IF(Policy!A33="","",Risk!D33)</f>
        <v/>
      </c>
      <c r="G33" s="23"/>
      <c r="H33" s="24" t="str">
        <f aca="false">IF(A33="","",G33*(1-M33/100))</f>
        <v/>
      </c>
      <c r="I33" s="24" t="str">
        <f aca="false">IF(A33="","",G33*F33/100)</f>
        <v/>
      </c>
      <c r="J33" s="24" t="str">
        <f aca="false">IF(A33="","",I33*(1-M33/100))</f>
        <v/>
      </c>
      <c r="K33" s="25"/>
      <c r="L33" s="25"/>
      <c r="M33" s="26" t="str">
        <f aca="false">IF(A33="","",K33+L33)</f>
        <v/>
      </c>
      <c r="N33" s="25"/>
      <c r="O33" s="23"/>
      <c r="P33" s="23"/>
      <c r="Q33" s="24" t="str">
        <f aca="false">IF(A33="","",J33*(1-N33/100)-O33-P33)</f>
        <v/>
      </c>
      <c r="R33" s="25"/>
      <c r="S33" s="17" t="str">
        <f aca="false">IF(Policy!A33="","",Policy!U33)</f>
        <v/>
      </c>
      <c r="T33" s="17" t="str">
        <f aca="false">IF(OR(A33="",Policy!L33=""),"",MONTH(Policy!L33))</f>
        <v/>
      </c>
      <c r="U33" s="17" t="str">
        <f aca="false">IF(OR(A33="",Policy!L33=""),"",YEAR(Policy!L33))</f>
        <v/>
      </c>
      <c r="V33" s="17" t="str">
        <f aca="false">IF(Policy!A33="","",Policy!J33)</f>
        <v/>
      </c>
      <c r="W33" s="14"/>
    </row>
    <row r="34" customFormat="false" ht="15" hidden="false" customHeight="false" outlineLevel="0" collapsed="false">
      <c r="A34" s="17" t="str">
        <f aca="false">IF(Policy!A34="","",Policy!A34)</f>
        <v/>
      </c>
      <c r="B34" s="17" t="str">
        <f aca="false">IF(Policy!A34="","",Policy!B34)</f>
        <v/>
      </c>
      <c r="C34" s="17" t="str">
        <f aca="false">IF(Policy!A34="","",Policy!E34)</f>
        <v/>
      </c>
      <c r="D34" s="17" t="str">
        <f aca="false">IF(Policy!A34="","",Policy!G34)</f>
        <v/>
      </c>
      <c r="E34" s="17" t="str">
        <f aca="false">IF(Policy!A34="","",Policy!H34)</f>
        <v/>
      </c>
      <c r="F34" s="22" t="str">
        <f aca="false">IF(Policy!A34="","",Risk!D34)</f>
        <v/>
      </c>
      <c r="G34" s="23"/>
      <c r="H34" s="24" t="str">
        <f aca="false">IF(A34="","",G34*(1-M34/100))</f>
        <v/>
      </c>
      <c r="I34" s="24" t="str">
        <f aca="false">IF(A34="","",G34*F34/100)</f>
        <v/>
      </c>
      <c r="J34" s="24" t="str">
        <f aca="false">IF(A34="","",I34*(1-M34/100))</f>
        <v/>
      </c>
      <c r="K34" s="25"/>
      <c r="L34" s="25"/>
      <c r="M34" s="26" t="str">
        <f aca="false">IF(A34="","",K34+L34)</f>
        <v/>
      </c>
      <c r="N34" s="25"/>
      <c r="O34" s="23"/>
      <c r="P34" s="23"/>
      <c r="Q34" s="24" t="str">
        <f aca="false">IF(A34="","",J34*(1-N34/100)-O34-P34)</f>
        <v/>
      </c>
      <c r="R34" s="25"/>
      <c r="S34" s="17" t="str">
        <f aca="false">IF(Policy!A34="","",Policy!U34)</f>
        <v/>
      </c>
      <c r="T34" s="17" t="str">
        <f aca="false">IF(OR(A34="",Policy!L34=""),"",MONTH(Policy!L34))</f>
        <v/>
      </c>
      <c r="U34" s="17" t="str">
        <f aca="false">IF(OR(A34="",Policy!L34=""),"",YEAR(Policy!L34))</f>
        <v/>
      </c>
      <c r="V34" s="17" t="str">
        <f aca="false">IF(Policy!A34="","",Policy!J34)</f>
        <v/>
      </c>
      <c r="W34" s="14"/>
    </row>
    <row r="35" customFormat="false" ht="15" hidden="false" customHeight="false" outlineLevel="0" collapsed="false">
      <c r="A35" s="17" t="str">
        <f aca="false">IF(Policy!A35="","",Policy!A35)</f>
        <v/>
      </c>
      <c r="B35" s="17" t="str">
        <f aca="false">IF(Policy!A35="","",Policy!B35)</f>
        <v/>
      </c>
      <c r="C35" s="17" t="str">
        <f aca="false">IF(Policy!A35="","",Policy!E35)</f>
        <v/>
      </c>
      <c r="D35" s="17" t="str">
        <f aca="false">IF(Policy!A35="","",Policy!G35)</f>
        <v/>
      </c>
      <c r="E35" s="17" t="str">
        <f aca="false">IF(Policy!A35="","",Policy!H35)</f>
        <v/>
      </c>
      <c r="F35" s="22" t="str">
        <f aca="false">IF(Policy!A35="","",Risk!D35)</f>
        <v/>
      </c>
      <c r="G35" s="23"/>
      <c r="H35" s="24" t="str">
        <f aca="false">IF(A35="","",G35*(1-M35/100))</f>
        <v/>
      </c>
      <c r="I35" s="24" t="str">
        <f aca="false">IF(A35="","",G35*F35/100)</f>
        <v/>
      </c>
      <c r="J35" s="24" t="str">
        <f aca="false">IF(A35="","",I35*(1-M35/100))</f>
        <v/>
      </c>
      <c r="K35" s="25"/>
      <c r="L35" s="25"/>
      <c r="M35" s="26" t="str">
        <f aca="false">IF(A35="","",K35+L35)</f>
        <v/>
      </c>
      <c r="N35" s="25"/>
      <c r="O35" s="23"/>
      <c r="P35" s="23"/>
      <c r="Q35" s="24" t="str">
        <f aca="false">IF(A35="","",J35*(1-N35/100)-O35-P35)</f>
        <v/>
      </c>
      <c r="R35" s="25"/>
      <c r="S35" s="17" t="str">
        <f aca="false">IF(Policy!A35="","",Policy!U35)</f>
        <v/>
      </c>
      <c r="T35" s="17" t="str">
        <f aca="false">IF(OR(A35="",Policy!L35=""),"",MONTH(Policy!L35))</f>
        <v/>
      </c>
      <c r="U35" s="17" t="str">
        <f aca="false">IF(OR(A35="",Policy!L35=""),"",YEAR(Policy!L35))</f>
        <v/>
      </c>
      <c r="V35" s="17" t="str">
        <f aca="false">IF(Policy!A35="","",Policy!J35)</f>
        <v/>
      </c>
      <c r="W35" s="14"/>
    </row>
    <row r="36" customFormat="false" ht="15" hidden="false" customHeight="false" outlineLevel="0" collapsed="false">
      <c r="A36" s="17" t="str">
        <f aca="false">IF(Policy!A36="","",Policy!A36)</f>
        <v/>
      </c>
      <c r="B36" s="17" t="str">
        <f aca="false">IF(Policy!A36="","",Policy!B36)</f>
        <v/>
      </c>
      <c r="C36" s="17" t="str">
        <f aca="false">IF(Policy!A36="","",Policy!E36)</f>
        <v/>
      </c>
      <c r="D36" s="17" t="str">
        <f aca="false">IF(Policy!A36="","",Policy!G36)</f>
        <v/>
      </c>
      <c r="E36" s="17" t="str">
        <f aca="false">IF(Policy!A36="","",Policy!H36)</f>
        <v/>
      </c>
      <c r="F36" s="22" t="str">
        <f aca="false">IF(Policy!A36="","",Risk!D36)</f>
        <v/>
      </c>
      <c r="G36" s="23"/>
      <c r="H36" s="24" t="str">
        <f aca="false">IF(A36="","",G36*(1-M36/100))</f>
        <v/>
      </c>
      <c r="I36" s="24" t="str">
        <f aca="false">IF(A36="","",G36*F36/100)</f>
        <v/>
      </c>
      <c r="J36" s="24" t="str">
        <f aca="false">IF(A36="","",I36*(1-M36/100))</f>
        <v/>
      </c>
      <c r="K36" s="25"/>
      <c r="L36" s="25"/>
      <c r="M36" s="26" t="str">
        <f aca="false">IF(A36="","",K36+L36)</f>
        <v/>
      </c>
      <c r="N36" s="25"/>
      <c r="O36" s="23"/>
      <c r="P36" s="23"/>
      <c r="Q36" s="24" t="str">
        <f aca="false">IF(A36="","",J36*(1-N36/100)-O36-P36)</f>
        <v/>
      </c>
      <c r="R36" s="25"/>
      <c r="S36" s="17" t="str">
        <f aca="false">IF(Policy!A36="","",Policy!U36)</f>
        <v/>
      </c>
      <c r="T36" s="17" t="str">
        <f aca="false">IF(OR(A36="",Policy!L36=""),"",MONTH(Policy!L36))</f>
        <v/>
      </c>
      <c r="U36" s="17" t="str">
        <f aca="false">IF(OR(A36="",Policy!L36=""),"",YEAR(Policy!L36))</f>
        <v/>
      </c>
      <c r="V36" s="17" t="str">
        <f aca="false">IF(Policy!A36="","",Policy!J36)</f>
        <v/>
      </c>
      <c r="W36" s="14"/>
    </row>
    <row r="37" customFormat="false" ht="15" hidden="false" customHeight="false" outlineLevel="0" collapsed="false">
      <c r="A37" s="17" t="str">
        <f aca="false">IF(Policy!A37="","",Policy!A37)</f>
        <v/>
      </c>
      <c r="B37" s="17" t="str">
        <f aca="false">IF(Policy!A37="","",Policy!B37)</f>
        <v/>
      </c>
      <c r="C37" s="17" t="str">
        <f aca="false">IF(Policy!A37="","",Policy!E37)</f>
        <v/>
      </c>
      <c r="D37" s="17" t="str">
        <f aca="false">IF(Policy!A37="","",Policy!G37)</f>
        <v/>
      </c>
      <c r="E37" s="17" t="str">
        <f aca="false">IF(Policy!A37="","",Policy!H37)</f>
        <v/>
      </c>
      <c r="F37" s="22" t="str">
        <f aca="false">IF(Policy!A37="","",Risk!D37)</f>
        <v/>
      </c>
      <c r="G37" s="23"/>
      <c r="H37" s="24" t="str">
        <f aca="false">IF(A37="","",G37*(1-M37/100))</f>
        <v/>
      </c>
      <c r="I37" s="24" t="str">
        <f aca="false">IF(A37="","",G37*F37/100)</f>
        <v/>
      </c>
      <c r="J37" s="24" t="str">
        <f aca="false">IF(A37="","",I37*(1-M37/100))</f>
        <v/>
      </c>
      <c r="K37" s="25"/>
      <c r="L37" s="25"/>
      <c r="M37" s="26" t="str">
        <f aca="false">IF(A37="","",K37+L37)</f>
        <v/>
      </c>
      <c r="N37" s="25"/>
      <c r="O37" s="23"/>
      <c r="P37" s="23"/>
      <c r="Q37" s="24" t="str">
        <f aca="false">IF(A37="","",J37*(1-N37/100)-O37-P37)</f>
        <v/>
      </c>
      <c r="R37" s="25"/>
      <c r="S37" s="17" t="str">
        <f aca="false">IF(Policy!A37="","",Policy!U37)</f>
        <v/>
      </c>
      <c r="T37" s="17" t="str">
        <f aca="false">IF(OR(A37="",Policy!L37=""),"",MONTH(Policy!L37))</f>
        <v/>
      </c>
      <c r="U37" s="17" t="str">
        <f aca="false">IF(OR(A37="",Policy!L37=""),"",YEAR(Policy!L37))</f>
        <v/>
      </c>
      <c r="V37" s="17" t="str">
        <f aca="false">IF(Policy!A37="","",Policy!J37)</f>
        <v/>
      </c>
      <c r="W37" s="14"/>
    </row>
    <row r="38" customFormat="false" ht="15" hidden="false" customHeight="false" outlineLevel="0" collapsed="false">
      <c r="A38" s="17" t="str">
        <f aca="false">IF(Policy!A38="","",Policy!A38)</f>
        <v/>
      </c>
      <c r="B38" s="17" t="str">
        <f aca="false">IF(Policy!A38="","",Policy!B38)</f>
        <v/>
      </c>
      <c r="C38" s="17" t="str">
        <f aca="false">IF(Policy!A38="","",Policy!E38)</f>
        <v/>
      </c>
      <c r="D38" s="17" t="str">
        <f aca="false">IF(Policy!A38="","",Policy!G38)</f>
        <v/>
      </c>
      <c r="E38" s="17" t="str">
        <f aca="false">IF(Policy!A38="","",Policy!H38)</f>
        <v/>
      </c>
      <c r="F38" s="22" t="str">
        <f aca="false">IF(Policy!A38="","",Risk!D38)</f>
        <v/>
      </c>
      <c r="G38" s="23"/>
      <c r="H38" s="24" t="str">
        <f aca="false">IF(A38="","",G38*(1-M38/100))</f>
        <v/>
      </c>
      <c r="I38" s="24" t="str">
        <f aca="false">IF(A38="","",G38*F38/100)</f>
        <v/>
      </c>
      <c r="J38" s="24" t="str">
        <f aca="false">IF(A38="","",I38*(1-M38/100))</f>
        <v/>
      </c>
      <c r="K38" s="25"/>
      <c r="L38" s="25"/>
      <c r="M38" s="26" t="str">
        <f aca="false">IF(A38="","",K38+L38)</f>
        <v/>
      </c>
      <c r="N38" s="25"/>
      <c r="O38" s="23"/>
      <c r="P38" s="23"/>
      <c r="Q38" s="24" t="str">
        <f aca="false">IF(A38="","",J38*(1-N38/100)-O38-P38)</f>
        <v/>
      </c>
      <c r="R38" s="25"/>
      <c r="S38" s="17" t="str">
        <f aca="false">IF(Policy!A38="","",Policy!U38)</f>
        <v/>
      </c>
      <c r="T38" s="17" t="str">
        <f aca="false">IF(OR(A38="",Policy!L38=""),"",MONTH(Policy!L38))</f>
        <v/>
      </c>
      <c r="U38" s="17" t="str">
        <f aca="false">IF(OR(A38="",Policy!L38=""),"",YEAR(Policy!L38))</f>
        <v/>
      </c>
      <c r="V38" s="17" t="str">
        <f aca="false">IF(Policy!A38="","",Policy!J38)</f>
        <v/>
      </c>
      <c r="W38" s="14"/>
    </row>
    <row r="39" customFormat="false" ht="15" hidden="false" customHeight="false" outlineLevel="0" collapsed="false">
      <c r="A39" s="17" t="str">
        <f aca="false">IF(Policy!A39="","",Policy!A39)</f>
        <v/>
      </c>
      <c r="B39" s="17" t="str">
        <f aca="false">IF(Policy!A39="","",Policy!B39)</f>
        <v/>
      </c>
      <c r="C39" s="17" t="str">
        <f aca="false">IF(Policy!A39="","",Policy!E39)</f>
        <v/>
      </c>
      <c r="D39" s="17" t="str">
        <f aca="false">IF(Policy!A39="","",Policy!G39)</f>
        <v/>
      </c>
      <c r="E39" s="17" t="str">
        <f aca="false">IF(Policy!A39="","",Policy!H39)</f>
        <v/>
      </c>
      <c r="F39" s="22" t="str">
        <f aca="false">IF(Policy!A39="","",Risk!D39)</f>
        <v/>
      </c>
      <c r="G39" s="23"/>
      <c r="H39" s="24" t="str">
        <f aca="false">IF(A39="","",G39*(1-M39/100))</f>
        <v/>
      </c>
      <c r="I39" s="24" t="str">
        <f aca="false">IF(A39="","",G39*F39/100)</f>
        <v/>
      </c>
      <c r="J39" s="24" t="str">
        <f aca="false">IF(A39="","",I39*(1-M39/100))</f>
        <v/>
      </c>
      <c r="K39" s="25"/>
      <c r="L39" s="25"/>
      <c r="M39" s="26" t="str">
        <f aca="false">IF(A39="","",K39+L39)</f>
        <v/>
      </c>
      <c r="N39" s="25"/>
      <c r="O39" s="23"/>
      <c r="P39" s="23"/>
      <c r="Q39" s="24" t="str">
        <f aca="false">IF(A39="","",J39*(1-N39/100)-O39-P39)</f>
        <v/>
      </c>
      <c r="R39" s="25"/>
      <c r="S39" s="17" t="str">
        <f aca="false">IF(Policy!A39="","",Policy!U39)</f>
        <v/>
      </c>
      <c r="T39" s="17" t="str">
        <f aca="false">IF(OR(A39="",Policy!L39=""),"",MONTH(Policy!L39))</f>
        <v/>
      </c>
      <c r="U39" s="17" t="str">
        <f aca="false">IF(OR(A39="",Policy!L39=""),"",YEAR(Policy!L39))</f>
        <v/>
      </c>
      <c r="V39" s="17" t="str">
        <f aca="false">IF(Policy!A39="","",Policy!J39)</f>
        <v/>
      </c>
      <c r="W39" s="14"/>
    </row>
    <row r="40" customFormat="false" ht="15" hidden="false" customHeight="false" outlineLevel="0" collapsed="false">
      <c r="A40" s="17" t="str">
        <f aca="false">IF(Policy!A40="","",Policy!A40)</f>
        <v/>
      </c>
      <c r="B40" s="17" t="str">
        <f aca="false">IF(Policy!A40="","",Policy!B40)</f>
        <v/>
      </c>
      <c r="C40" s="17" t="str">
        <f aca="false">IF(Policy!A40="","",Policy!E40)</f>
        <v/>
      </c>
      <c r="D40" s="17" t="str">
        <f aca="false">IF(Policy!A40="","",Policy!G40)</f>
        <v/>
      </c>
      <c r="E40" s="17" t="str">
        <f aca="false">IF(Policy!A40="","",Policy!H40)</f>
        <v/>
      </c>
      <c r="F40" s="22" t="str">
        <f aca="false">IF(Policy!A40="","",Risk!D40)</f>
        <v/>
      </c>
      <c r="G40" s="23"/>
      <c r="H40" s="24" t="str">
        <f aca="false">IF(A40="","",G40*(1-M40/100))</f>
        <v/>
      </c>
      <c r="I40" s="24" t="str">
        <f aca="false">IF(A40="","",G40*F40/100)</f>
        <v/>
      </c>
      <c r="J40" s="24" t="str">
        <f aca="false">IF(A40="","",I40*(1-M40/100))</f>
        <v/>
      </c>
      <c r="K40" s="25"/>
      <c r="L40" s="25"/>
      <c r="M40" s="26" t="str">
        <f aca="false">IF(A40="","",K40+L40)</f>
        <v/>
      </c>
      <c r="N40" s="25"/>
      <c r="O40" s="23"/>
      <c r="P40" s="23"/>
      <c r="Q40" s="24" t="str">
        <f aca="false">IF(A40="","",J40*(1-N40/100)-O40-P40)</f>
        <v/>
      </c>
      <c r="R40" s="25"/>
      <c r="S40" s="17" t="str">
        <f aca="false">IF(Policy!A40="","",Policy!U40)</f>
        <v/>
      </c>
      <c r="T40" s="17" t="str">
        <f aca="false">IF(OR(A40="",Policy!L40=""),"",MONTH(Policy!L40))</f>
        <v/>
      </c>
      <c r="U40" s="17" t="str">
        <f aca="false">IF(OR(A40="",Policy!L40=""),"",YEAR(Policy!L40))</f>
        <v/>
      </c>
      <c r="V40" s="17" t="str">
        <f aca="false">IF(Policy!A40="","",Policy!J40)</f>
        <v/>
      </c>
      <c r="W40" s="14"/>
    </row>
    <row r="41" customFormat="false" ht="15" hidden="false" customHeight="false" outlineLevel="0" collapsed="false">
      <c r="A41" s="17" t="str">
        <f aca="false">IF(Policy!A41="","",Policy!A41)</f>
        <v/>
      </c>
      <c r="B41" s="17" t="str">
        <f aca="false">IF(Policy!A41="","",Policy!B41)</f>
        <v/>
      </c>
      <c r="C41" s="17" t="str">
        <f aca="false">IF(Policy!A41="","",Policy!E41)</f>
        <v/>
      </c>
      <c r="D41" s="17" t="str">
        <f aca="false">IF(Policy!A41="","",Policy!G41)</f>
        <v/>
      </c>
      <c r="E41" s="17" t="str">
        <f aca="false">IF(Policy!A41="","",Policy!H41)</f>
        <v/>
      </c>
      <c r="F41" s="22" t="str">
        <f aca="false">IF(Policy!A41="","",Risk!D41)</f>
        <v/>
      </c>
      <c r="G41" s="23"/>
      <c r="H41" s="24" t="str">
        <f aca="false">IF(A41="","",G41*(1-M41/100))</f>
        <v/>
      </c>
      <c r="I41" s="24" t="str">
        <f aca="false">IF(A41="","",G41*F41/100)</f>
        <v/>
      </c>
      <c r="J41" s="24" t="str">
        <f aca="false">IF(A41="","",I41*(1-M41/100))</f>
        <v/>
      </c>
      <c r="K41" s="25"/>
      <c r="L41" s="25"/>
      <c r="M41" s="26" t="str">
        <f aca="false">IF(A41="","",K41+L41)</f>
        <v/>
      </c>
      <c r="N41" s="25"/>
      <c r="O41" s="23"/>
      <c r="P41" s="23"/>
      <c r="Q41" s="24" t="str">
        <f aca="false">IF(A41="","",J41*(1-N41/100)-O41-P41)</f>
        <v/>
      </c>
      <c r="R41" s="25"/>
      <c r="S41" s="17" t="str">
        <f aca="false">IF(Policy!A41="","",Policy!U41)</f>
        <v/>
      </c>
      <c r="T41" s="17" t="str">
        <f aca="false">IF(OR(A41="",Policy!L41=""),"",MONTH(Policy!L41))</f>
        <v/>
      </c>
      <c r="U41" s="17" t="str">
        <f aca="false">IF(OR(A41="",Policy!L41=""),"",YEAR(Policy!L41))</f>
        <v/>
      </c>
      <c r="V41" s="17" t="str">
        <f aca="false">IF(Policy!A41="","",Policy!J41)</f>
        <v/>
      </c>
      <c r="W41" s="14"/>
    </row>
    <row r="42" customFormat="false" ht="15" hidden="false" customHeight="false" outlineLevel="0" collapsed="false">
      <c r="A42" s="17" t="str">
        <f aca="false">IF(Policy!A42="","",Policy!A42)</f>
        <v/>
      </c>
      <c r="B42" s="17" t="str">
        <f aca="false">IF(Policy!A42="","",Policy!B42)</f>
        <v/>
      </c>
      <c r="C42" s="17" t="str">
        <f aca="false">IF(Policy!A42="","",Policy!E42)</f>
        <v/>
      </c>
      <c r="D42" s="17" t="str">
        <f aca="false">IF(Policy!A42="","",Policy!G42)</f>
        <v/>
      </c>
      <c r="E42" s="17" t="str">
        <f aca="false">IF(Policy!A42="","",Policy!H42)</f>
        <v/>
      </c>
      <c r="F42" s="22" t="str">
        <f aca="false">IF(Policy!A42="","",Risk!D42)</f>
        <v/>
      </c>
      <c r="G42" s="23"/>
      <c r="H42" s="24" t="str">
        <f aca="false">IF(A42="","",G42*(1-M42/100))</f>
        <v/>
      </c>
      <c r="I42" s="24" t="str">
        <f aca="false">IF(A42="","",G42*F42/100)</f>
        <v/>
      </c>
      <c r="J42" s="24" t="str">
        <f aca="false">IF(A42="","",I42*(1-M42/100))</f>
        <v/>
      </c>
      <c r="K42" s="25"/>
      <c r="L42" s="25"/>
      <c r="M42" s="26" t="str">
        <f aca="false">IF(A42="","",K42+L42)</f>
        <v/>
      </c>
      <c r="N42" s="25"/>
      <c r="O42" s="23"/>
      <c r="P42" s="23"/>
      <c r="Q42" s="24" t="str">
        <f aca="false">IF(A42="","",J42*(1-N42/100)-O42-P42)</f>
        <v/>
      </c>
      <c r="R42" s="25"/>
      <c r="S42" s="17" t="str">
        <f aca="false">IF(Policy!A42="","",Policy!U42)</f>
        <v/>
      </c>
      <c r="T42" s="17" t="str">
        <f aca="false">IF(OR(A42="",Policy!L42=""),"",MONTH(Policy!L42))</f>
        <v/>
      </c>
      <c r="U42" s="17" t="str">
        <f aca="false">IF(OR(A42="",Policy!L42=""),"",YEAR(Policy!L42))</f>
        <v/>
      </c>
      <c r="V42" s="17" t="str">
        <f aca="false">IF(Policy!A42="","",Policy!J42)</f>
        <v/>
      </c>
      <c r="W42" s="14"/>
    </row>
    <row r="43" customFormat="false" ht="15" hidden="false" customHeight="false" outlineLevel="0" collapsed="false">
      <c r="A43" s="17" t="str">
        <f aca="false">IF(Policy!A43="","",Policy!A43)</f>
        <v/>
      </c>
      <c r="B43" s="17" t="str">
        <f aca="false">IF(Policy!A43="","",Policy!B43)</f>
        <v/>
      </c>
      <c r="C43" s="17" t="str">
        <f aca="false">IF(Policy!A43="","",Policy!E43)</f>
        <v/>
      </c>
      <c r="D43" s="17" t="str">
        <f aca="false">IF(Policy!A43="","",Policy!G43)</f>
        <v/>
      </c>
      <c r="E43" s="17" t="str">
        <f aca="false">IF(Policy!A43="","",Policy!H43)</f>
        <v/>
      </c>
      <c r="F43" s="22" t="str">
        <f aca="false">IF(Policy!A43="","",Risk!D43)</f>
        <v/>
      </c>
      <c r="G43" s="23"/>
      <c r="H43" s="24" t="str">
        <f aca="false">IF(A43="","",G43*(1-M43/100))</f>
        <v/>
      </c>
      <c r="I43" s="24" t="str">
        <f aca="false">IF(A43="","",G43*F43/100)</f>
        <v/>
      </c>
      <c r="J43" s="24" t="str">
        <f aca="false">IF(A43="","",I43*(1-M43/100))</f>
        <v/>
      </c>
      <c r="K43" s="25"/>
      <c r="L43" s="25"/>
      <c r="M43" s="26" t="str">
        <f aca="false">IF(A43="","",K43+L43)</f>
        <v/>
      </c>
      <c r="N43" s="25"/>
      <c r="O43" s="23"/>
      <c r="P43" s="23"/>
      <c r="Q43" s="24" t="str">
        <f aca="false">IF(A43="","",J43*(1-N43/100)-O43-P43)</f>
        <v/>
      </c>
      <c r="R43" s="25"/>
      <c r="S43" s="17" t="str">
        <f aca="false">IF(Policy!A43="","",Policy!U43)</f>
        <v/>
      </c>
      <c r="T43" s="17" t="str">
        <f aca="false">IF(OR(A43="",Policy!L43=""),"",MONTH(Policy!L43))</f>
        <v/>
      </c>
      <c r="U43" s="17" t="str">
        <f aca="false">IF(OR(A43="",Policy!L43=""),"",YEAR(Policy!L43))</f>
        <v/>
      </c>
      <c r="V43" s="17" t="str">
        <f aca="false">IF(Policy!A43="","",Policy!J43)</f>
        <v/>
      </c>
      <c r="W43" s="14"/>
    </row>
    <row r="44" customFormat="false" ht="15" hidden="false" customHeight="false" outlineLevel="0" collapsed="false">
      <c r="A44" s="17" t="str">
        <f aca="false">IF(Policy!A44="","",Policy!A44)</f>
        <v/>
      </c>
      <c r="B44" s="17" t="str">
        <f aca="false">IF(Policy!A44="","",Policy!B44)</f>
        <v/>
      </c>
      <c r="C44" s="17" t="str">
        <f aca="false">IF(Policy!A44="","",Policy!E44)</f>
        <v/>
      </c>
      <c r="D44" s="17" t="str">
        <f aca="false">IF(Policy!A44="","",Policy!G44)</f>
        <v/>
      </c>
      <c r="E44" s="17" t="str">
        <f aca="false">IF(Policy!A44="","",Policy!H44)</f>
        <v/>
      </c>
      <c r="F44" s="22" t="str">
        <f aca="false">IF(Policy!A44="","",Risk!D44)</f>
        <v/>
      </c>
      <c r="G44" s="23"/>
      <c r="H44" s="24" t="str">
        <f aca="false">IF(A44="","",G44*(1-M44/100))</f>
        <v/>
      </c>
      <c r="I44" s="24" t="str">
        <f aca="false">IF(A44="","",G44*F44/100)</f>
        <v/>
      </c>
      <c r="J44" s="24" t="str">
        <f aca="false">IF(A44="","",I44*(1-M44/100))</f>
        <v/>
      </c>
      <c r="K44" s="25"/>
      <c r="L44" s="25"/>
      <c r="M44" s="26" t="str">
        <f aca="false">IF(A44="","",K44+L44)</f>
        <v/>
      </c>
      <c r="N44" s="25"/>
      <c r="O44" s="23"/>
      <c r="P44" s="23"/>
      <c r="Q44" s="24" t="str">
        <f aca="false">IF(A44="","",J44*(1-N44/100)-O44-P44)</f>
        <v/>
      </c>
      <c r="R44" s="25"/>
      <c r="S44" s="17" t="str">
        <f aca="false">IF(Policy!A44="","",Policy!U44)</f>
        <v/>
      </c>
      <c r="T44" s="17" t="str">
        <f aca="false">IF(OR(A44="",Policy!L44=""),"",MONTH(Policy!L44))</f>
        <v/>
      </c>
      <c r="U44" s="17" t="str">
        <f aca="false">IF(OR(A44="",Policy!L44=""),"",YEAR(Policy!L44))</f>
        <v/>
      </c>
      <c r="V44" s="17" t="str">
        <f aca="false">IF(Policy!A44="","",Policy!J44)</f>
        <v/>
      </c>
      <c r="W44" s="14"/>
    </row>
    <row r="45" customFormat="false" ht="15" hidden="false" customHeight="false" outlineLevel="0" collapsed="false">
      <c r="A45" s="17" t="str">
        <f aca="false">IF(Policy!A45="","",Policy!A45)</f>
        <v/>
      </c>
      <c r="B45" s="17" t="str">
        <f aca="false">IF(Policy!A45="","",Policy!B45)</f>
        <v/>
      </c>
      <c r="C45" s="17" t="str">
        <f aca="false">IF(Policy!A45="","",Policy!E45)</f>
        <v/>
      </c>
      <c r="D45" s="17" t="str">
        <f aca="false">IF(Policy!A45="","",Policy!G45)</f>
        <v/>
      </c>
      <c r="E45" s="17" t="str">
        <f aca="false">IF(Policy!A45="","",Policy!H45)</f>
        <v/>
      </c>
      <c r="F45" s="22" t="str">
        <f aca="false">IF(Policy!A45="","",Risk!D45)</f>
        <v/>
      </c>
      <c r="G45" s="23"/>
      <c r="H45" s="24" t="str">
        <f aca="false">IF(A45="","",G45*(1-M45/100))</f>
        <v/>
      </c>
      <c r="I45" s="24" t="str">
        <f aca="false">IF(A45="","",G45*F45/100)</f>
        <v/>
      </c>
      <c r="J45" s="24" t="str">
        <f aca="false">IF(A45="","",I45*(1-M45/100))</f>
        <v/>
      </c>
      <c r="K45" s="25"/>
      <c r="L45" s="25"/>
      <c r="M45" s="26" t="str">
        <f aca="false">IF(A45="","",K45+L45)</f>
        <v/>
      </c>
      <c r="N45" s="25"/>
      <c r="O45" s="23"/>
      <c r="P45" s="23"/>
      <c r="Q45" s="24" t="str">
        <f aca="false">IF(A45="","",J45*(1-N45/100)-O45-P45)</f>
        <v/>
      </c>
      <c r="R45" s="25"/>
      <c r="S45" s="17" t="str">
        <f aca="false">IF(Policy!A45="","",Policy!U45)</f>
        <v/>
      </c>
      <c r="T45" s="17" t="str">
        <f aca="false">IF(OR(A45="",Policy!L45=""),"",MONTH(Policy!L45))</f>
        <v/>
      </c>
      <c r="U45" s="17" t="str">
        <f aca="false">IF(OR(A45="",Policy!L45=""),"",YEAR(Policy!L45))</f>
        <v/>
      </c>
      <c r="V45" s="17" t="str">
        <f aca="false">IF(Policy!A45="","",Policy!J45)</f>
        <v/>
      </c>
      <c r="W45" s="14"/>
    </row>
    <row r="46" customFormat="false" ht="15" hidden="false" customHeight="false" outlineLevel="0" collapsed="false">
      <c r="A46" s="17" t="str">
        <f aca="false">IF(Policy!A46="","",Policy!A46)</f>
        <v/>
      </c>
      <c r="B46" s="17" t="str">
        <f aca="false">IF(Policy!A46="","",Policy!B46)</f>
        <v/>
      </c>
      <c r="C46" s="17" t="str">
        <f aca="false">IF(Policy!A46="","",Policy!E46)</f>
        <v/>
      </c>
      <c r="D46" s="17" t="str">
        <f aca="false">IF(Policy!A46="","",Policy!G46)</f>
        <v/>
      </c>
      <c r="E46" s="17" t="str">
        <f aca="false">IF(Policy!A46="","",Policy!H46)</f>
        <v/>
      </c>
      <c r="F46" s="22" t="str">
        <f aca="false">IF(Policy!A46="","",Risk!D46)</f>
        <v/>
      </c>
      <c r="G46" s="23"/>
      <c r="H46" s="24" t="str">
        <f aca="false">IF(A46="","",G46*(1-M46/100))</f>
        <v/>
      </c>
      <c r="I46" s="24" t="str">
        <f aca="false">IF(A46="","",G46*F46/100)</f>
        <v/>
      </c>
      <c r="J46" s="24" t="str">
        <f aca="false">IF(A46="","",I46*(1-M46/100))</f>
        <v/>
      </c>
      <c r="K46" s="25"/>
      <c r="L46" s="25"/>
      <c r="M46" s="26" t="str">
        <f aca="false">IF(A46="","",K46+L46)</f>
        <v/>
      </c>
      <c r="N46" s="25"/>
      <c r="O46" s="23"/>
      <c r="P46" s="23"/>
      <c r="Q46" s="24" t="str">
        <f aca="false">IF(A46="","",J46*(1-N46/100)-O46-P46)</f>
        <v/>
      </c>
      <c r="R46" s="25"/>
      <c r="S46" s="17" t="str">
        <f aca="false">IF(Policy!A46="","",Policy!U46)</f>
        <v/>
      </c>
      <c r="T46" s="17" t="str">
        <f aca="false">IF(OR(A46="",Policy!L46=""),"",MONTH(Policy!L46))</f>
        <v/>
      </c>
      <c r="U46" s="17" t="str">
        <f aca="false">IF(OR(A46="",Policy!L46=""),"",YEAR(Policy!L46))</f>
        <v/>
      </c>
      <c r="V46" s="17" t="str">
        <f aca="false">IF(Policy!A46="","",Policy!J46)</f>
        <v/>
      </c>
      <c r="W46" s="14"/>
    </row>
    <row r="47" customFormat="false" ht="15" hidden="false" customHeight="false" outlineLevel="0" collapsed="false">
      <c r="A47" s="17" t="str">
        <f aca="false">IF(Policy!A47="","",Policy!A47)</f>
        <v/>
      </c>
      <c r="B47" s="17" t="str">
        <f aca="false">IF(Policy!A47="","",Policy!B47)</f>
        <v/>
      </c>
      <c r="C47" s="17" t="str">
        <f aca="false">IF(Policy!A47="","",Policy!E47)</f>
        <v/>
      </c>
      <c r="D47" s="17" t="str">
        <f aca="false">IF(Policy!A47="","",Policy!G47)</f>
        <v/>
      </c>
      <c r="E47" s="17" t="str">
        <f aca="false">IF(Policy!A47="","",Policy!H47)</f>
        <v/>
      </c>
      <c r="F47" s="22" t="str">
        <f aca="false">IF(Policy!A47="","",Risk!D47)</f>
        <v/>
      </c>
      <c r="G47" s="23"/>
      <c r="H47" s="24" t="str">
        <f aca="false">IF(A47="","",G47*(1-M47/100))</f>
        <v/>
      </c>
      <c r="I47" s="24" t="str">
        <f aca="false">IF(A47="","",G47*F47/100)</f>
        <v/>
      </c>
      <c r="J47" s="24" t="str">
        <f aca="false">IF(A47="","",I47*(1-M47/100))</f>
        <v/>
      </c>
      <c r="K47" s="25"/>
      <c r="L47" s="25"/>
      <c r="M47" s="26" t="str">
        <f aca="false">IF(A47="","",K47+L47)</f>
        <v/>
      </c>
      <c r="N47" s="25"/>
      <c r="O47" s="23"/>
      <c r="P47" s="23"/>
      <c r="Q47" s="24" t="str">
        <f aca="false">IF(A47="","",J47*(1-N47/100)-O47-P47)</f>
        <v/>
      </c>
      <c r="R47" s="25"/>
      <c r="S47" s="17" t="str">
        <f aca="false">IF(Policy!A47="","",Policy!U47)</f>
        <v/>
      </c>
      <c r="T47" s="17" t="str">
        <f aca="false">IF(OR(A47="",Policy!L47=""),"",MONTH(Policy!L47))</f>
        <v/>
      </c>
      <c r="U47" s="17" t="str">
        <f aca="false">IF(OR(A47="",Policy!L47=""),"",YEAR(Policy!L47))</f>
        <v/>
      </c>
      <c r="V47" s="17" t="str">
        <f aca="false">IF(Policy!A47="","",Policy!J47)</f>
        <v/>
      </c>
      <c r="W47" s="14"/>
    </row>
    <row r="48" customFormat="false" ht="15" hidden="false" customHeight="false" outlineLevel="0" collapsed="false">
      <c r="A48" s="17" t="str">
        <f aca="false">IF(Policy!A48="","",Policy!A48)</f>
        <v/>
      </c>
      <c r="B48" s="17" t="str">
        <f aca="false">IF(Policy!A48="","",Policy!B48)</f>
        <v/>
      </c>
      <c r="C48" s="17" t="str">
        <f aca="false">IF(Policy!A48="","",Policy!E48)</f>
        <v/>
      </c>
      <c r="D48" s="17" t="str">
        <f aca="false">IF(Policy!A48="","",Policy!G48)</f>
        <v/>
      </c>
      <c r="E48" s="17" t="str">
        <f aca="false">IF(Policy!A48="","",Policy!H48)</f>
        <v/>
      </c>
      <c r="F48" s="22" t="str">
        <f aca="false">IF(Policy!A48="","",Risk!D48)</f>
        <v/>
      </c>
      <c r="G48" s="23"/>
      <c r="H48" s="24" t="str">
        <f aca="false">IF(A48="","",G48*(1-M48/100))</f>
        <v/>
      </c>
      <c r="I48" s="24" t="str">
        <f aca="false">IF(A48="","",G48*F48/100)</f>
        <v/>
      </c>
      <c r="J48" s="24" t="str">
        <f aca="false">IF(A48="","",I48*(1-M48/100))</f>
        <v/>
      </c>
      <c r="K48" s="25"/>
      <c r="L48" s="25"/>
      <c r="M48" s="26" t="str">
        <f aca="false">IF(A48="","",K48+L48)</f>
        <v/>
      </c>
      <c r="N48" s="25"/>
      <c r="O48" s="23"/>
      <c r="P48" s="23"/>
      <c r="Q48" s="24" t="str">
        <f aca="false">IF(A48="","",J48*(1-N48/100)-O48-P48)</f>
        <v/>
      </c>
      <c r="R48" s="25"/>
      <c r="S48" s="17" t="str">
        <f aca="false">IF(Policy!A48="","",Policy!U48)</f>
        <v/>
      </c>
      <c r="T48" s="17" t="str">
        <f aca="false">IF(OR(A48="",Policy!L48=""),"",MONTH(Policy!L48))</f>
        <v/>
      </c>
      <c r="U48" s="17" t="str">
        <f aca="false">IF(OR(A48="",Policy!L48=""),"",YEAR(Policy!L48))</f>
        <v/>
      </c>
      <c r="V48" s="17" t="str">
        <f aca="false">IF(Policy!A48="","",Policy!J48)</f>
        <v/>
      </c>
      <c r="W48" s="14"/>
    </row>
    <row r="49" customFormat="false" ht="15" hidden="false" customHeight="false" outlineLevel="0" collapsed="false">
      <c r="A49" s="17" t="str">
        <f aca="false">IF(Policy!A49="","",Policy!A49)</f>
        <v/>
      </c>
      <c r="B49" s="17" t="str">
        <f aca="false">IF(Policy!A49="","",Policy!B49)</f>
        <v/>
      </c>
      <c r="C49" s="17" t="str">
        <f aca="false">IF(Policy!A49="","",Policy!E49)</f>
        <v/>
      </c>
      <c r="D49" s="17" t="str">
        <f aca="false">IF(Policy!A49="","",Policy!G49)</f>
        <v/>
      </c>
      <c r="E49" s="17" t="str">
        <f aca="false">IF(Policy!A49="","",Policy!H49)</f>
        <v/>
      </c>
      <c r="F49" s="22" t="str">
        <f aca="false">IF(Policy!A49="","",Risk!D49)</f>
        <v/>
      </c>
      <c r="G49" s="23"/>
      <c r="H49" s="24" t="str">
        <f aca="false">IF(A49="","",G49*(1-M49/100))</f>
        <v/>
      </c>
      <c r="I49" s="24" t="str">
        <f aca="false">IF(A49="","",G49*F49/100)</f>
        <v/>
      </c>
      <c r="J49" s="24" t="str">
        <f aca="false">IF(A49="","",I49*(1-M49/100))</f>
        <v/>
      </c>
      <c r="K49" s="25"/>
      <c r="L49" s="25"/>
      <c r="M49" s="26" t="str">
        <f aca="false">IF(A49="","",K49+L49)</f>
        <v/>
      </c>
      <c r="N49" s="25"/>
      <c r="O49" s="23"/>
      <c r="P49" s="23"/>
      <c r="Q49" s="24" t="str">
        <f aca="false">IF(A49="","",J49*(1-N49/100)-O49-P49)</f>
        <v/>
      </c>
      <c r="R49" s="25"/>
      <c r="S49" s="17" t="str">
        <f aca="false">IF(Policy!A49="","",Policy!U49)</f>
        <v/>
      </c>
      <c r="T49" s="17" t="str">
        <f aca="false">IF(OR(A49="",Policy!L49=""),"",MONTH(Policy!L49))</f>
        <v/>
      </c>
      <c r="U49" s="17" t="str">
        <f aca="false">IF(OR(A49="",Policy!L49=""),"",YEAR(Policy!L49))</f>
        <v/>
      </c>
      <c r="V49" s="17" t="str">
        <f aca="false">IF(Policy!A49="","",Policy!J49)</f>
        <v/>
      </c>
      <c r="W49" s="14"/>
    </row>
    <row r="50" customFormat="false" ht="15" hidden="false" customHeight="false" outlineLevel="0" collapsed="false">
      <c r="A50" s="17" t="str">
        <f aca="false">IF(Policy!A50="","",Policy!A50)</f>
        <v/>
      </c>
      <c r="B50" s="17" t="str">
        <f aca="false">IF(Policy!A50="","",Policy!B50)</f>
        <v/>
      </c>
      <c r="C50" s="17" t="str">
        <f aca="false">IF(Policy!A50="","",Policy!E50)</f>
        <v/>
      </c>
      <c r="D50" s="17" t="str">
        <f aca="false">IF(Policy!A50="","",Policy!G50)</f>
        <v/>
      </c>
      <c r="E50" s="17" t="str">
        <f aca="false">IF(Policy!A50="","",Policy!H50)</f>
        <v/>
      </c>
      <c r="F50" s="22" t="str">
        <f aca="false">IF(Policy!A50="","",Risk!D50)</f>
        <v/>
      </c>
      <c r="G50" s="23"/>
      <c r="H50" s="24" t="str">
        <f aca="false">IF(A50="","",G50*(1-M50/100))</f>
        <v/>
      </c>
      <c r="I50" s="24" t="str">
        <f aca="false">IF(A50="","",G50*F50/100)</f>
        <v/>
      </c>
      <c r="J50" s="24" t="str">
        <f aca="false">IF(A50="","",I50*(1-M50/100))</f>
        <v/>
      </c>
      <c r="K50" s="25"/>
      <c r="L50" s="25"/>
      <c r="M50" s="26" t="str">
        <f aca="false">IF(A50="","",K50+L50)</f>
        <v/>
      </c>
      <c r="N50" s="25"/>
      <c r="O50" s="23"/>
      <c r="P50" s="23"/>
      <c r="Q50" s="24" t="str">
        <f aca="false">IF(A50="","",J50*(1-N50/100)-O50-P50)</f>
        <v/>
      </c>
      <c r="R50" s="25"/>
      <c r="S50" s="17" t="str">
        <f aca="false">IF(Policy!A50="","",Policy!U50)</f>
        <v/>
      </c>
      <c r="T50" s="17" t="str">
        <f aca="false">IF(OR(A50="",Policy!L50=""),"",MONTH(Policy!L50))</f>
        <v/>
      </c>
      <c r="U50" s="17" t="str">
        <f aca="false">IF(OR(A50="",Policy!L50=""),"",YEAR(Policy!L50))</f>
        <v/>
      </c>
      <c r="V50" s="17" t="str">
        <f aca="false">IF(Policy!A50="","",Policy!J50)</f>
        <v/>
      </c>
      <c r="W50" s="14"/>
    </row>
    <row r="51" customFormat="false" ht="15" hidden="false" customHeight="false" outlineLevel="0" collapsed="false">
      <c r="A51" s="17" t="str">
        <f aca="false">IF(Policy!A51="","",Policy!A51)</f>
        <v/>
      </c>
      <c r="B51" s="17" t="str">
        <f aca="false">IF(Policy!A51="","",Policy!B51)</f>
        <v/>
      </c>
      <c r="C51" s="17" t="str">
        <f aca="false">IF(Policy!A51="","",Policy!E51)</f>
        <v/>
      </c>
      <c r="D51" s="17" t="str">
        <f aca="false">IF(Policy!A51="","",Policy!G51)</f>
        <v/>
      </c>
      <c r="E51" s="17" t="str">
        <f aca="false">IF(Policy!A51="","",Policy!H51)</f>
        <v/>
      </c>
      <c r="F51" s="22" t="str">
        <f aca="false">IF(Policy!A51="","",Risk!D51)</f>
        <v/>
      </c>
      <c r="G51" s="23"/>
      <c r="H51" s="24" t="str">
        <f aca="false">IF(A51="","",G51*(1-M51/100))</f>
        <v/>
      </c>
      <c r="I51" s="24" t="str">
        <f aca="false">IF(A51="","",G51*F51/100)</f>
        <v/>
      </c>
      <c r="J51" s="24" t="str">
        <f aca="false">IF(A51="","",I51*(1-M51/100))</f>
        <v/>
      </c>
      <c r="K51" s="25"/>
      <c r="L51" s="25"/>
      <c r="M51" s="26" t="str">
        <f aca="false">IF(A51="","",K51+L51)</f>
        <v/>
      </c>
      <c r="N51" s="25"/>
      <c r="O51" s="23"/>
      <c r="P51" s="23"/>
      <c r="Q51" s="24" t="str">
        <f aca="false">IF(A51="","",J51*(1-N51/100)-O51-P51)</f>
        <v/>
      </c>
      <c r="R51" s="25"/>
      <c r="S51" s="17" t="str">
        <f aca="false">IF(Policy!A51="","",Policy!U51)</f>
        <v/>
      </c>
      <c r="T51" s="17" t="str">
        <f aca="false">IF(OR(A51="",Policy!L51=""),"",MONTH(Policy!L51))</f>
        <v/>
      </c>
      <c r="U51" s="17" t="str">
        <f aca="false">IF(OR(A51="",Policy!L51=""),"",YEAR(Policy!L51))</f>
        <v/>
      </c>
      <c r="V51" s="17" t="str">
        <f aca="false">IF(Policy!A51="","",Policy!J51)</f>
        <v/>
      </c>
      <c r="W51" s="14"/>
    </row>
    <row r="52" customFormat="false" ht="15" hidden="false" customHeight="false" outlineLevel="0" collapsed="false">
      <c r="A52" s="17" t="str">
        <f aca="false">IF(Policy!A52="","",Policy!A52)</f>
        <v/>
      </c>
      <c r="B52" s="17" t="str">
        <f aca="false">IF(Policy!A52="","",Policy!B52)</f>
        <v/>
      </c>
      <c r="C52" s="17" t="str">
        <f aca="false">IF(Policy!A52="","",Policy!E52)</f>
        <v/>
      </c>
      <c r="D52" s="17" t="str">
        <f aca="false">IF(Policy!A52="","",Policy!G52)</f>
        <v/>
      </c>
      <c r="E52" s="17" t="str">
        <f aca="false">IF(Policy!A52="","",Policy!H52)</f>
        <v/>
      </c>
      <c r="F52" s="22" t="str">
        <f aca="false">IF(Policy!A52="","",Risk!D52)</f>
        <v/>
      </c>
      <c r="G52" s="23"/>
      <c r="H52" s="24" t="str">
        <f aca="false">IF(A52="","",G52*(1-M52/100))</f>
        <v/>
      </c>
      <c r="I52" s="24" t="str">
        <f aca="false">IF(A52="","",G52*F52/100)</f>
        <v/>
      </c>
      <c r="J52" s="24" t="str">
        <f aca="false">IF(A52="","",I52*(1-M52/100))</f>
        <v/>
      </c>
      <c r="K52" s="25"/>
      <c r="L52" s="25"/>
      <c r="M52" s="26" t="str">
        <f aca="false">IF(A52="","",K52+L52)</f>
        <v/>
      </c>
      <c r="N52" s="25"/>
      <c r="O52" s="23"/>
      <c r="P52" s="23"/>
      <c r="Q52" s="24" t="str">
        <f aca="false">IF(A52="","",J52*(1-N52/100)-O52-P52)</f>
        <v/>
      </c>
      <c r="R52" s="25"/>
      <c r="S52" s="17" t="str">
        <f aca="false">IF(Policy!A52="","",Policy!U52)</f>
        <v/>
      </c>
      <c r="T52" s="17" t="str">
        <f aca="false">IF(OR(A52="",Policy!L52=""),"",MONTH(Policy!L52))</f>
        <v/>
      </c>
      <c r="U52" s="17" t="str">
        <f aca="false">IF(OR(A52="",Policy!L52=""),"",YEAR(Policy!L52))</f>
        <v/>
      </c>
      <c r="V52" s="17" t="str">
        <f aca="false">IF(Policy!A52="","",Policy!J52)</f>
        <v/>
      </c>
      <c r="W52" s="14"/>
    </row>
    <row r="53" customFormat="false" ht="15" hidden="false" customHeight="false" outlineLevel="0" collapsed="false">
      <c r="A53" s="17" t="str">
        <f aca="false">IF(Policy!A53="","",Policy!A53)</f>
        <v/>
      </c>
      <c r="B53" s="17" t="str">
        <f aca="false">IF(Policy!A53="","",Policy!B53)</f>
        <v/>
      </c>
      <c r="C53" s="17" t="str">
        <f aca="false">IF(Policy!A53="","",Policy!E53)</f>
        <v/>
      </c>
      <c r="D53" s="17" t="str">
        <f aca="false">IF(Policy!A53="","",Policy!G53)</f>
        <v/>
      </c>
      <c r="E53" s="17" t="str">
        <f aca="false">IF(Policy!A53="","",Policy!H53)</f>
        <v/>
      </c>
      <c r="F53" s="22" t="str">
        <f aca="false">IF(Policy!A53="","",Risk!D53)</f>
        <v/>
      </c>
      <c r="G53" s="23"/>
      <c r="H53" s="24" t="str">
        <f aca="false">IF(A53="","",G53*(1-M53/100))</f>
        <v/>
      </c>
      <c r="I53" s="24" t="str">
        <f aca="false">IF(A53="","",G53*F53/100)</f>
        <v/>
      </c>
      <c r="J53" s="24" t="str">
        <f aca="false">IF(A53="","",I53*(1-M53/100))</f>
        <v/>
      </c>
      <c r="K53" s="25"/>
      <c r="L53" s="25"/>
      <c r="M53" s="26" t="str">
        <f aca="false">IF(A53="","",K53+L53)</f>
        <v/>
      </c>
      <c r="N53" s="25"/>
      <c r="O53" s="23"/>
      <c r="P53" s="23"/>
      <c r="Q53" s="24" t="str">
        <f aca="false">IF(A53="","",J53*(1-N53/100)-O53-P53)</f>
        <v/>
      </c>
      <c r="R53" s="25"/>
      <c r="S53" s="17" t="str">
        <f aca="false">IF(Policy!A53="","",Policy!U53)</f>
        <v/>
      </c>
      <c r="T53" s="17" t="str">
        <f aca="false">IF(OR(A53="",Policy!L53=""),"",MONTH(Policy!L53))</f>
        <v/>
      </c>
      <c r="U53" s="17" t="str">
        <f aca="false">IF(OR(A53="",Policy!L53=""),"",YEAR(Policy!L53))</f>
        <v/>
      </c>
      <c r="V53" s="17" t="str">
        <f aca="false">IF(Policy!A53="","",Policy!J53)</f>
        <v/>
      </c>
      <c r="W53" s="14"/>
    </row>
    <row r="54" customFormat="false" ht="15" hidden="false" customHeight="false" outlineLevel="0" collapsed="false">
      <c r="A54" s="17" t="str">
        <f aca="false">IF(Policy!A54="","",Policy!A54)</f>
        <v/>
      </c>
      <c r="B54" s="17" t="str">
        <f aca="false">IF(Policy!A54="","",Policy!B54)</f>
        <v/>
      </c>
      <c r="C54" s="17" t="str">
        <f aca="false">IF(Policy!A54="","",Policy!E54)</f>
        <v/>
      </c>
      <c r="D54" s="17" t="str">
        <f aca="false">IF(Policy!A54="","",Policy!G54)</f>
        <v/>
      </c>
      <c r="E54" s="17" t="str">
        <f aca="false">IF(Policy!A54="","",Policy!H54)</f>
        <v/>
      </c>
      <c r="F54" s="22" t="str">
        <f aca="false">IF(Policy!A54="","",Risk!D54)</f>
        <v/>
      </c>
      <c r="G54" s="23"/>
      <c r="H54" s="24" t="str">
        <f aca="false">IF(A54="","",G54*(1-M54/100))</f>
        <v/>
      </c>
      <c r="I54" s="24" t="str">
        <f aca="false">IF(A54="","",G54*F54/100)</f>
        <v/>
      </c>
      <c r="J54" s="24" t="str">
        <f aca="false">IF(A54="","",I54*(1-M54/100))</f>
        <v/>
      </c>
      <c r="K54" s="25"/>
      <c r="L54" s="25"/>
      <c r="M54" s="26" t="str">
        <f aca="false">IF(A54="","",K54+L54)</f>
        <v/>
      </c>
      <c r="N54" s="25"/>
      <c r="O54" s="23"/>
      <c r="P54" s="23"/>
      <c r="Q54" s="24" t="str">
        <f aca="false">IF(A54="","",J54*(1-N54/100)-O54-P54)</f>
        <v/>
      </c>
      <c r="R54" s="25"/>
      <c r="S54" s="17" t="str">
        <f aca="false">IF(Policy!A54="","",Policy!U54)</f>
        <v/>
      </c>
      <c r="T54" s="17" t="str">
        <f aca="false">IF(OR(A54="",Policy!L54=""),"",MONTH(Policy!L54))</f>
        <v/>
      </c>
      <c r="U54" s="17" t="str">
        <f aca="false">IF(OR(A54="",Policy!L54=""),"",YEAR(Policy!L54))</f>
        <v/>
      </c>
      <c r="V54" s="17" t="str">
        <f aca="false">IF(Policy!A54="","",Policy!J54)</f>
        <v/>
      </c>
      <c r="W54" s="14"/>
    </row>
    <row r="55" customFormat="false" ht="15" hidden="false" customHeight="false" outlineLevel="0" collapsed="false">
      <c r="A55" s="17" t="str">
        <f aca="false">IF(Policy!A55="","",Policy!A55)</f>
        <v/>
      </c>
      <c r="B55" s="17" t="str">
        <f aca="false">IF(Policy!A55="","",Policy!B55)</f>
        <v/>
      </c>
      <c r="C55" s="17" t="str">
        <f aca="false">IF(Policy!A55="","",Policy!E55)</f>
        <v/>
      </c>
      <c r="D55" s="17" t="str">
        <f aca="false">IF(Policy!A55="","",Policy!G55)</f>
        <v/>
      </c>
      <c r="E55" s="17" t="str">
        <f aca="false">IF(Policy!A55="","",Policy!H55)</f>
        <v/>
      </c>
      <c r="F55" s="22" t="str">
        <f aca="false">IF(Policy!A55="","",Risk!D55)</f>
        <v/>
      </c>
      <c r="G55" s="23"/>
      <c r="H55" s="24" t="str">
        <f aca="false">IF(A55="","",G55*(1-M55/100))</f>
        <v/>
      </c>
      <c r="I55" s="24" t="str">
        <f aca="false">IF(A55="","",G55*F55/100)</f>
        <v/>
      </c>
      <c r="J55" s="24" t="str">
        <f aca="false">IF(A55="","",I55*(1-M55/100))</f>
        <v/>
      </c>
      <c r="K55" s="25"/>
      <c r="L55" s="25"/>
      <c r="M55" s="26" t="str">
        <f aca="false">IF(A55="","",K55+L55)</f>
        <v/>
      </c>
      <c r="N55" s="25"/>
      <c r="O55" s="23"/>
      <c r="P55" s="23"/>
      <c r="Q55" s="24" t="str">
        <f aca="false">IF(A55="","",J55*(1-N55/100)-O55-P55)</f>
        <v/>
      </c>
      <c r="R55" s="25"/>
      <c r="S55" s="17" t="str">
        <f aca="false">IF(Policy!A55="","",Policy!U55)</f>
        <v/>
      </c>
      <c r="T55" s="17" t="str">
        <f aca="false">IF(OR(A55="",Policy!L55=""),"",MONTH(Policy!L55))</f>
        <v/>
      </c>
      <c r="U55" s="17" t="str">
        <f aca="false">IF(OR(A55="",Policy!L55=""),"",YEAR(Policy!L55))</f>
        <v/>
      </c>
      <c r="V55" s="17" t="str">
        <f aca="false">IF(Policy!A55="","",Policy!J55)</f>
        <v/>
      </c>
      <c r="W55" s="14"/>
    </row>
    <row r="56" customFormat="false" ht="15" hidden="false" customHeight="false" outlineLevel="0" collapsed="false">
      <c r="A56" s="17" t="str">
        <f aca="false">IF(Policy!A56="","",Policy!A56)</f>
        <v/>
      </c>
      <c r="B56" s="17" t="str">
        <f aca="false">IF(Policy!A56="","",Policy!B56)</f>
        <v/>
      </c>
      <c r="C56" s="17" t="str">
        <f aca="false">IF(Policy!A56="","",Policy!E56)</f>
        <v/>
      </c>
      <c r="D56" s="17" t="str">
        <f aca="false">IF(Policy!A56="","",Policy!G56)</f>
        <v/>
      </c>
      <c r="E56" s="17" t="str">
        <f aca="false">IF(Policy!A56="","",Policy!H56)</f>
        <v/>
      </c>
      <c r="F56" s="22" t="str">
        <f aca="false">IF(Policy!A56="","",Risk!D56)</f>
        <v/>
      </c>
      <c r="G56" s="23"/>
      <c r="H56" s="24" t="str">
        <f aca="false">IF(A56="","",G56*(1-M56/100))</f>
        <v/>
      </c>
      <c r="I56" s="24" t="str">
        <f aca="false">IF(A56="","",G56*F56/100)</f>
        <v/>
      </c>
      <c r="J56" s="24" t="str">
        <f aca="false">IF(A56="","",I56*(1-M56/100))</f>
        <v/>
      </c>
      <c r="K56" s="25"/>
      <c r="L56" s="25"/>
      <c r="M56" s="26" t="str">
        <f aca="false">IF(A56="","",K56+L56)</f>
        <v/>
      </c>
      <c r="N56" s="25"/>
      <c r="O56" s="23"/>
      <c r="P56" s="23"/>
      <c r="Q56" s="24" t="str">
        <f aca="false">IF(A56="","",J56*(1-N56/100)-O56-P56)</f>
        <v/>
      </c>
      <c r="R56" s="25"/>
      <c r="S56" s="17" t="str">
        <f aca="false">IF(Policy!A56="","",Policy!U56)</f>
        <v/>
      </c>
      <c r="T56" s="17" t="str">
        <f aca="false">IF(OR(A56="",Policy!L56=""),"",MONTH(Policy!L56))</f>
        <v/>
      </c>
      <c r="U56" s="17" t="str">
        <f aca="false">IF(OR(A56="",Policy!L56=""),"",YEAR(Policy!L56))</f>
        <v/>
      </c>
      <c r="V56" s="17" t="str">
        <f aca="false">IF(Policy!A56="","",Policy!J56)</f>
        <v/>
      </c>
      <c r="W56" s="14"/>
    </row>
    <row r="57" customFormat="false" ht="15" hidden="false" customHeight="false" outlineLevel="0" collapsed="false">
      <c r="A57" s="17" t="str">
        <f aca="false">IF(Policy!A57="","",Policy!A57)</f>
        <v/>
      </c>
      <c r="B57" s="17" t="str">
        <f aca="false">IF(Policy!A57="","",Policy!B57)</f>
        <v/>
      </c>
      <c r="C57" s="17" t="str">
        <f aca="false">IF(Policy!A57="","",Policy!E57)</f>
        <v/>
      </c>
      <c r="D57" s="17" t="str">
        <f aca="false">IF(Policy!A57="","",Policy!G57)</f>
        <v/>
      </c>
      <c r="E57" s="17" t="str">
        <f aca="false">IF(Policy!A57="","",Policy!H57)</f>
        <v/>
      </c>
      <c r="F57" s="22" t="str">
        <f aca="false">IF(Policy!A57="","",Risk!D57)</f>
        <v/>
      </c>
      <c r="G57" s="23"/>
      <c r="H57" s="24" t="str">
        <f aca="false">IF(A57="","",G57*(1-M57/100))</f>
        <v/>
      </c>
      <c r="I57" s="24" t="str">
        <f aca="false">IF(A57="","",G57*F57/100)</f>
        <v/>
      </c>
      <c r="J57" s="24" t="str">
        <f aca="false">IF(A57="","",I57*(1-M57/100))</f>
        <v/>
      </c>
      <c r="K57" s="25"/>
      <c r="L57" s="25"/>
      <c r="M57" s="26" t="str">
        <f aca="false">IF(A57="","",K57+L57)</f>
        <v/>
      </c>
      <c r="N57" s="25"/>
      <c r="O57" s="23"/>
      <c r="P57" s="23"/>
      <c r="Q57" s="24" t="str">
        <f aca="false">IF(A57="","",J57*(1-N57/100)-O57-P57)</f>
        <v/>
      </c>
      <c r="R57" s="25"/>
      <c r="S57" s="17" t="str">
        <f aca="false">IF(Policy!A57="","",Policy!U57)</f>
        <v/>
      </c>
      <c r="T57" s="17" t="str">
        <f aca="false">IF(OR(A57="",Policy!L57=""),"",MONTH(Policy!L57))</f>
        <v/>
      </c>
      <c r="U57" s="17" t="str">
        <f aca="false">IF(OR(A57="",Policy!L57=""),"",YEAR(Policy!L57))</f>
        <v/>
      </c>
      <c r="V57" s="17" t="str">
        <f aca="false">IF(Policy!A57="","",Policy!J57)</f>
        <v/>
      </c>
      <c r="W57" s="14"/>
    </row>
    <row r="58" customFormat="false" ht="15" hidden="false" customHeight="false" outlineLevel="0" collapsed="false">
      <c r="A58" s="17" t="str">
        <f aca="false">IF(Policy!A58="","",Policy!A58)</f>
        <v/>
      </c>
      <c r="B58" s="17" t="str">
        <f aca="false">IF(Policy!A58="","",Policy!B58)</f>
        <v/>
      </c>
      <c r="C58" s="17" t="str">
        <f aca="false">IF(Policy!A58="","",Policy!E58)</f>
        <v/>
      </c>
      <c r="D58" s="17" t="str">
        <f aca="false">IF(Policy!A58="","",Policy!G58)</f>
        <v/>
      </c>
      <c r="E58" s="17" t="str">
        <f aca="false">IF(Policy!A58="","",Policy!H58)</f>
        <v/>
      </c>
      <c r="F58" s="22" t="str">
        <f aca="false">IF(Policy!A58="","",Risk!D58)</f>
        <v/>
      </c>
      <c r="G58" s="23"/>
      <c r="H58" s="24" t="str">
        <f aca="false">IF(A58="","",G58*(1-M58/100))</f>
        <v/>
      </c>
      <c r="I58" s="24" t="str">
        <f aca="false">IF(A58="","",G58*F58/100)</f>
        <v/>
      </c>
      <c r="J58" s="24" t="str">
        <f aca="false">IF(A58="","",I58*(1-M58/100))</f>
        <v/>
      </c>
      <c r="K58" s="25"/>
      <c r="L58" s="25"/>
      <c r="M58" s="26" t="str">
        <f aca="false">IF(A58="","",K58+L58)</f>
        <v/>
      </c>
      <c r="N58" s="25"/>
      <c r="O58" s="23"/>
      <c r="P58" s="23"/>
      <c r="Q58" s="24" t="str">
        <f aca="false">IF(A58="","",J58*(1-N58/100)-O58-P58)</f>
        <v/>
      </c>
      <c r="R58" s="25"/>
      <c r="S58" s="17" t="str">
        <f aca="false">IF(Policy!A58="","",Policy!U58)</f>
        <v/>
      </c>
      <c r="T58" s="17" t="str">
        <f aca="false">IF(OR(A58="",Policy!L58=""),"",MONTH(Policy!L58))</f>
        <v/>
      </c>
      <c r="U58" s="17" t="str">
        <f aca="false">IF(OR(A58="",Policy!L58=""),"",YEAR(Policy!L58))</f>
        <v/>
      </c>
      <c r="V58" s="17" t="str">
        <f aca="false">IF(Policy!A58="","",Policy!J58)</f>
        <v/>
      </c>
      <c r="W58" s="14"/>
    </row>
    <row r="59" customFormat="false" ht="15" hidden="false" customHeight="false" outlineLevel="0" collapsed="false">
      <c r="A59" s="17" t="str">
        <f aca="false">IF(Policy!A59="","",Policy!A59)</f>
        <v/>
      </c>
      <c r="B59" s="17" t="str">
        <f aca="false">IF(Policy!A59="","",Policy!B59)</f>
        <v/>
      </c>
      <c r="C59" s="17" t="str">
        <f aca="false">IF(Policy!A59="","",Policy!E59)</f>
        <v/>
      </c>
      <c r="D59" s="17" t="str">
        <f aca="false">IF(Policy!A59="","",Policy!G59)</f>
        <v/>
      </c>
      <c r="E59" s="17" t="str">
        <f aca="false">IF(Policy!A59="","",Policy!H59)</f>
        <v/>
      </c>
      <c r="F59" s="22" t="str">
        <f aca="false">IF(Policy!A59="","",Risk!D59)</f>
        <v/>
      </c>
      <c r="G59" s="23"/>
      <c r="H59" s="24" t="str">
        <f aca="false">IF(A59="","",G59*(1-M59/100))</f>
        <v/>
      </c>
      <c r="I59" s="24" t="str">
        <f aca="false">IF(A59="","",G59*F59/100)</f>
        <v/>
      </c>
      <c r="J59" s="24" t="str">
        <f aca="false">IF(A59="","",I59*(1-M59/100))</f>
        <v/>
      </c>
      <c r="K59" s="25"/>
      <c r="L59" s="25"/>
      <c r="M59" s="26" t="str">
        <f aca="false">IF(A59="","",K59+L59)</f>
        <v/>
      </c>
      <c r="N59" s="25"/>
      <c r="O59" s="23"/>
      <c r="P59" s="23"/>
      <c r="Q59" s="24" t="str">
        <f aca="false">IF(A59="","",J59*(1-N59/100)-O59-P59)</f>
        <v/>
      </c>
      <c r="R59" s="25"/>
      <c r="S59" s="17" t="str">
        <f aca="false">IF(Policy!A59="","",Policy!U59)</f>
        <v/>
      </c>
      <c r="T59" s="17" t="str">
        <f aca="false">IF(OR(A59="",Policy!L59=""),"",MONTH(Policy!L59))</f>
        <v/>
      </c>
      <c r="U59" s="17" t="str">
        <f aca="false">IF(OR(A59="",Policy!L59=""),"",YEAR(Policy!L59))</f>
        <v/>
      </c>
      <c r="V59" s="17" t="str">
        <f aca="false">IF(Policy!A59="","",Policy!J59)</f>
        <v/>
      </c>
      <c r="W59" s="14"/>
    </row>
    <row r="60" customFormat="false" ht="15" hidden="false" customHeight="false" outlineLevel="0" collapsed="false">
      <c r="A60" s="17" t="str">
        <f aca="false">IF(Policy!A60="","",Policy!A60)</f>
        <v/>
      </c>
      <c r="B60" s="17" t="str">
        <f aca="false">IF(Policy!A60="","",Policy!B60)</f>
        <v/>
      </c>
      <c r="C60" s="17" t="str">
        <f aca="false">IF(Policy!A60="","",Policy!E60)</f>
        <v/>
      </c>
      <c r="D60" s="17" t="str">
        <f aca="false">IF(Policy!A60="","",Policy!G60)</f>
        <v/>
      </c>
      <c r="E60" s="17" t="str">
        <f aca="false">IF(Policy!A60="","",Policy!H60)</f>
        <v/>
      </c>
      <c r="F60" s="22" t="str">
        <f aca="false">IF(Policy!A60="","",Risk!D60)</f>
        <v/>
      </c>
      <c r="G60" s="23"/>
      <c r="H60" s="24" t="str">
        <f aca="false">IF(A60="","",G60*(1-M60/100))</f>
        <v/>
      </c>
      <c r="I60" s="24" t="str">
        <f aca="false">IF(A60="","",G60*F60/100)</f>
        <v/>
      </c>
      <c r="J60" s="24" t="str">
        <f aca="false">IF(A60="","",I60*(1-M60/100))</f>
        <v/>
      </c>
      <c r="K60" s="25"/>
      <c r="L60" s="25"/>
      <c r="M60" s="26" t="str">
        <f aca="false">IF(A60="","",K60+L60)</f>
        <v/>
      </c>
      <c r="N60" s="25"/>
      <c r="O60" s="23"/>
      <c r="P60" s="23"/>
      <c r="Q60" s="24" t="str">
        <f aca="false">IF(A60="","",J60*(1-N60/100)-O60-P60)</f>
        <v/>
      </c>
      <c r="R60" s="25"/>
      <c r="S60" s="17" t="str">
        <f aca="false">IF(Policy!A60="","",Policy!U60)</f>
        <v/>
      </c>
      <c r="T60" s="17" t="str">
        <f aca="false">IF(OR(A60="",Policy!L60=""),"",MONTH(Policy!L60))</f>
        <v/>
      </c>
      <c r="U60" s="17" t="str">
        <f aca="false">IF(OR(A60="",Policy!L60=""),"",YEAR(Policy!L60))</f>
        <v/>
      </c>
      <c r="V60" s="17" t="str">
        <f aca="false">IF(Policy!A60="","",Policy!J60)</f>
        <v/>
      </c>
      <c r="W60" s="14"/>
    </row>
    <row r="61" customFormat="false" ht="15" hidden="false" customHeight="false" outlineLevel="0" collapsed="false">
      <c r="A61" s="17" t="str">
        <f aca="false">IF(Policy!A61="","",Policy!A61)</f>
        <v/>
      </c>
      <c r="B61" s="17" t="str">
        <f aca="false">IF(Policy!A61="","",Policy!B61)</f>
        <v/>
      </c>
      <c r="C61" s="17" t="str">
        <f aca="false">IF(Policy!A61="","",Policy!E61)</f>
        <v/>
      </c>
      <c r="D61" s="17" t="str">
        <f aca="false">IF(Policy!A61="","",Policy!G61)</f>
        <v/>
      </c>
      <c r="E61" s="17" t="str">
        <f aca="false">IF(Policy!A61="","",Policy!H61)</f>
        <v/>
      </c>
      <c r="F61" s="22" t="str">
        <f aca="false">IF(Policy!A61="","",Risk!D61)</f>
        <v/>
      </c>
      <c r="G61" s="23"/>
      <c r="H61" s="24" t="str">
        <f aca="false">IF(A61="","",G61*(1-M61/100))</f>
        <v/>
      </c>
      <c r="I61" s="24" t="str">
        <f aca="false">IF(A61="","",G61*F61/100)</f>
        <v/>
      </c>
      <c r="J61" s="24" t="str">
        <f aca="false">IF(A61="","",I61*(1-M61/100))</f>
        <v/>
      </c>
      <c r="K61" s="25"/>
      <c r="L61" s="25"/>
      <c r="M61" s="26" t="str">
        <f aca="false">IF(A61="","",K61+L61)</f>
        <v/>
      </c>
      <c r="N61" s="25"/>
      <c r="O61" s="23"/>
      <c r="P61" s="23"/>
      <c r="Q61" s="24" t="str">
        <f aca="false">IF(A61="","",J61*(1-N61/100)-O61-P61)</f>
        <v/>
      </c>
      <c r="R61" s="25"/>
      <c r="S61" s="17" t="str">
        <f aca="false">IF(Policy!A61="","",Policy!U61)</f>
        <v/>
      </c>
      <c r="T61" s="17" t="str">
        <f aca="false">IF(OR(A61="",Policy!L61=""),"",MONTH(Policy!L61))</f>
        <v/>
      </c>
      <c r="U61" s="17" t="str">
        <f aca="false">IF(OR(A61="",Policy!L61=""),"",YEAR(Policy!L61))</f>
        <v/>
      </c>
      <c r="V61" s="17" t="str">
        <f aca="false">IF(Policy!A61="","",Policy!J61)</f>
        <v/>
      </c>
      <c r="W61" s="14"/>
    </row>
    <row r="62" customFormat="false" ht="15" hidden="false" customHeight="false" outlineLevel="0" collapsed="false">
      <c r="A62" s="17" t="str">
        <f aca="false">IF(Policy!A62="","",Policy!A62)</f>
        <v/>
      </c>
      <c r="B62" s="17" t="str">
        <f aca="false">IF(Policy!A62="","",Policy!B62)</f>
        <v/>
      </c>
      <c r="C62" s="17" t="str">
        <f aca="false">IF(Policy!A62="","",Policy!E62)</f>
        <v/>
      </c>
      <c r="D62" s="17" t="str">
        <f aca="false">IF(Policy!A62="","",Policy!G62)</f>
        <v/>
      </c>
      <c r="E62" s="17" t="str">
        <f aca="false">IF(Policy!A62="","",Policy!H62)</f>
        <v/>
      </c>
      <c r="F62" s="22" t="str">
        <f aca="false">IF(Policy!A62="","",Risk!D62)</f>
        <v/>
      </c>
      <c r="G62" s="23"/>
      <c r="H62" s="24" t="str">
        <f aca="false">IF(A62="","",G62*(1-M62/100))</f>
        <v/>
      </c>
      <c r="I62" s="24" t="str">
        <f aca="false">IF(A62="","",G62*F62/100)</f>
        <v/>
      </c>
      <c r="J62" s="24" t="str">
        <f aca="false">IF(A62="","",I62*(1-M62/100))</f>
        <v/>
      </c>
      <c r="K62" s="25"/>
      <c r="L62" s="25"/>
      <c r="M62" s="26" t="str">
        <f aca="false">IF(A62="","",K62+L62)</f>
        <v/>
      </c>
      <c r="N62" s="25"/>
      <c r="O62" s="23"/>
      <c r="P62" s="23"/>
      <c r="Q62" s="24" t="str">
        <f aca="false">IF(A62="","",J62*(1-N62/100)-O62-P62)</f>
        <v/>
      </c>
      <c r="R62" s="25"/>
      <c r="S62" s="17" t="str">
        <f aca="false">IF(Policy!A62="","",Policy!U62)</f>
        <v/>
      </c>
      <c r="T62" s="17" t="str">
        <f aca="false">IF(OR(A62="",Policy!L62=""),"",MONTH(Policy!L62))</f>
        <v/>
      </c>
      <c r="U62" s="17" t="str">
        <f aca="false">IF(OR(A62="",Policy!L62=""),"",YEAR(Policy!L62))</f>
        <v/>
      </c>
      <c r="V62" s="17" t="str">
        <f aca="false">IF(Policy!A62="","",Policy!J62)</f>
        <v/>
      </c>
      <c r="W62" s="14"/>
    </row>
    <row r="63" customFormat="false" ht="15" hidden="false" customHeight="false" outlineLevel="0" collapsed="false">
      <c r="A63" s="17" t="str">
        <f aca="false">IF(Policy!A63="","",Policy!A63)</f>
        <v/>
      </c>
      <c r="B63" s="17" t="str">
        <f aca="false">IF(Policy!A63="","",Policy!B63)</f>
        <v/>
      </c>
      <c r="C63" s="17" t="str">
        <f aca="false">IF(Policy!A63="","",Policy!E63)</f>
        <v/>
      </c>
      <c r="D63" s="17" t="str">
        <f aca="false">IF(Policy!A63="","",Policy!G63)</f>
        <v/>
      </c>
      <c r="E63" s="17" t="str">
        <f aca="false">IF(Policy!A63="","",Policy!H63)</f>
        <v/>
      </c>
      <c r="F63" s="22" t="str">
        <f aca="false">IF(Policy!A63="","",Risk!D63)</f>
        <v/>
      </c>
      <c r="G63" s="23"/>
      <c r="H63" s="24" t="str">
        <f aca="false">IF(A63="","",G63*(1-M63/100))</f>
        <v/>
      </c>
      <c r="I63" s="24" t="str">
        <f aca="false">IF(A63="","",G63*F63/100)</f>
        <v/>
      </c>
      <c r="J63" s="24" t="str">
        <f aca="false">IF(A63="","",I63*(1-M63/100))</f>
        <v/>
      </c>
      <c r="K63" s="25"/>
      <c r="L63" s="25"/>
      <c r="M63" s="26" t="str">
        <f aca="false">IF(A63="","",K63+L63)</f>
        <v/>
      </c>
      <c r="N63" s="25"/>
      <c r="O63" s="23"/>
      <c r="P63" s="23"/>
      <c r="Q63" s="24" t="str">
        <f aca="false">IF(A63="","",J63*(1-N63/100)-O63-P63)</f>
        <v/>
      </c>
      <c r="R63" s="25"/>
      <c r="S63" s="17" t="str">
        <f aca="false">IF(Policy!A63="","",Policy!U63)</f>
        <v/>
      </c>
      <c r="T63" s="17" t="str">
        <f aca="false">IF(OR(A63="",Policy!L63=""),"",MONTH(Policy!L63))</f>
        <v/>
      </c>
      <c r="U63" s="17" t="str">
        <f aca="false">IF(OR(A63="",Policy!L63=""),"",YEAR(Policy!L63))</f>
        <v/>
      </c>
      <c r="V63" s="17" t="str">
        <f aca="false">IF(Policy!A63="","",Policy!J63)</f>
        <v/>
      </c>
      <c r="W63" s="14"/>
    </row>
    <row r="64" customFormat="false" ht="15" hidden="false" customHeight="false" outlineLevel="0" collapsed="false">
      <c r="A64" s="17" t="str">
        <f aca="false">IF(Policy!A64="","",Policy!A64)</f>
        <v/>
      </c>
      <c r="B64" s="17" t="str">
        <f aca="false">IF(Policy!A64="","",Policy!B64)</f>
        <v/>
      </c>
      <c r="C64" s="17" t="str">
        <f aca="false">IF(Policy!A64="","",Policy!E64)</f>
        <v/>
      </c>
      <c r="D64" s="17" t="str">
        <f aca="false">IF(Policy!A64="","",Policy!G64)</f>
        <v/>
      </c>
      <c r="E64" s="17" t="str">
        <f aca="false">IF(Policy!A64="","",Policy!H64)</f>
        <v/>
      </c>
      <c r="F64" s="22" t="str">
        <f aca="false">IF(Policy!A64="","",Risk!D64)</f>
        <v/>
      </c>
      <c r="G64" s="23"/>
      <c r="H64" s="24" t="str">
        <f aca="false">IF(A64="","",G64*(1-M64/100))</f>
        <v/>
      </c>
      <c r="I64" s="24" t="str">
        <f aca="false">IF(A64="","",G64*F64/100)</f>
        <v/>
      </c>
      <c r="J64" s="24" t="str">
        <f aca="false">IF(A64="","",I64*(1-M64/100))</f>
        <v/>
      </c>
      <c r="K64" s="25"/>
      <c r="L64" s="25"/>
      <c r="M64" s="26" t="str">
        <f aca="false">IF(A64="","",K64+L64)</f>
        <v/>
      </c>
      <c r="N64" s="25"/>
      <c r="O64" s="23"/>
      <c r="P64" s="23"/>
      <c r="Q64" s="24" t="str">
        <f aca="false">IF(A64="","",J64*(1-N64/100)-O64-P64)</f>
        <v/>
      </c>
      <c r="R64" s="25"/>
      <c r="S64" s="17" t="str">
        <f aca="false">IF(Policy!A64="","",Policy!U64)</f>
        <v/>
      </c>
      <c r="T64" s="17" t="str">
        <f aca="false">IF(OR(A64="",Policy!L64=""),"",MONTH(Policy!L64))</f>
        <v/>
      </c>
      <c r="U64" s="17" t="str">
        <f aca="false">IF(OR(A64="",Policy!L64=""),"",YEAR(Policy!L64))</f>
        <v/>
      </c>
      <c r="V64" s="17" t="str">
        <f aca="false">IF(Policy!A64="","",Policy!J64)</f>
        <v/>
      </c>
      <c r="W64" s="14"/>
    </row>
    <row r="65" customFormat="false" ht="15" hidden="false" customHeight="false" outlineLevel="0" collapsed="false">
      <c r="A65" s="17" t="str">
        <f aca="false">IF(Policy!A65="","",Policy!A65)</f>
        <v/>
      </c>
      <c r="B65" s="17" t="str">
        <f aca="false">IF(Policy!A65="","",Policy!B65)</f>
        <v/>
      </c>
      <c r="C65" s="17" t="str">
        <f aca="false">IF(Policy!A65="","",Policy!E65)</f>
        <v/>
      </c>
      <c r="D65" s="17" t="str">
        <f aca="false">IF(Policy!A65="","",Policy!G65)</f>
        <v/>
      </c>
      <c r="E65" s="17" t="str">
        <f aca="false">IF(Policy!A65="","",Policy!H65)</f>
        <v/>
      </c>
      <c r="F65" s="22" t="str">
        <f aca="false">IF(Policy!A65="","",Risk!D65)</f>
        <v/>
      </c>
      <c r="G65" s="23"/>
      <c r="H65" s="24" t="str">
        <f aca="false">IF(A65="","",G65*(1-M65/100))</f>
        <v/>
      </c>
      <c r="I65" s="24" t="str">
        <f aca="false">IF(A65="","",G65*F65/100)</f>
        <v/>
      </c>
      <c r="J65" s="24" t="str">
        <f aca="false">IF(A65="","",I65*(1-M65/100))</f>
        <v/>
      </c>
      <c r="K65" s="25"/>
      <c r="L65" s="25"/>
      <c r="M65" s="26" t="str">
        <f aca="false">IF(A65="","",K65+L65)</f>
        <v/>
      </c>
      <c r="N65" s="25"/>
      <c r="O65" s="23"/>
      <c r="P65" s="23"/>
      <c r="Q65" s="24" t="str">
        <f aca="false">IF(A65="","",J65*(1-N65/100)-O65-P65)</f>
        <v/>
      </c>
      <c r="R65" s="25"/>
      <c r="S65" s="17" t="str">
        <f aca="false">IF(Policy!A65="","",Policy!U65)</f>
        <v/>
      </c>
      <c r="T65" s="17" t="str">
        <f aca="false">IF(OR(A65="",Policy!L65=""),"",MONTH(Policy!L65))</f>
        <v/>
      </c>
      <c r="U65" s="17" t="str">
        <f aca="false">IF(OR(A65="",Policy!L65=""),"",YEAR(Policy!L65))</f>
        <v/>
      </c>
      <c r="V65" s="17" t="str">
        <f aca="false">IF(Policy!A65="","",Policy!J65)</f>
        <v/>
      </c>
      <c r="W65" s="14"/>
    </row>
    <row r="66" customFormat="false" ht="15" hidden="false" customHeight="false" outlineLevel="0" collapsed="false">
      <c r="A66" s="17" t="str">
        <f aca="false">IF(Policy!A66="","",Policy!A66)</f>
        <v/>
      </c>
      <c r="B66" s="17" t="str">
        <f aca="false">IF(Policy!A66="","",Policy!B66)</f>
        <v/>
      </c>
      <c r="C66" s="17" t="str">
        <f aca="false">IF(Policy!A66="","",Policy!E66)</f>
        <v/>
      </c>
      <c r="D66" s="17" t="str">
        <f aca="false">IF(Policy!A66="","",Policy!G66)</f>
        <v/>
      </c>
      <c r="E66" s="17" t="str">
        <f aca="false">IF(Policy!A66="","",Policy!H66)</f>
        <v/>
      </c>
      <c r="F66" s="22" t="str">
        <f aca="false">IF(Policy!A66="","",Risk!D66)</f>
        <v/>
      </c>
      <c r="G66" s="23"/>
      <c r="H66" s="24" t="str">
        <f aca="false">IF(A66="","",G66*(1-M66/100))</f>
        <v/>
      </c>
      <c r="I66" s="24" t="str">
        <f aca="false">IF(A66="","",G66*F66/100)</f>
        <v/>
      </c>
      <c r="J66" s="24" t="str">
        <f aca="false">IF(A66="","",I66*(1-M66/100))</f>
        <v/>
      </c>
      <c r="K66" s="25"/>
      <c r="L66" s="25"/>
      <c r="M66" s="26" t="str">
        <f aca="false">IF(A66="","",K66+L66)</f>
        <v/>
      </c>
      <c r="N66" s="25"/>
      <c r="O66" s="23"/>
      <c r="P66" s="23"/>
      <c r="Q66" s="24" t="str">
        <f aca="false">IF(A66="","",J66*(1-N66/100)-O66-P66)</f>
        <v/>
      </c>
      <c r="R66" s="25"/>
      <c r="S66" s="17" t="str">
        <f aca="false">IF(Policy!A66="","",Policy!U66)</f>
        <v/>
      </c>
      <c r="T66" s="17" t="str">
        <f aca="false">IF(OR(A66="",Policy!L66=""),"",MONTH(Policy!L66))</f>
        <v/>
      </c>
      <c r="U66" s="17" t="str">
        <f aca="false">IF(OR(A66="",Policy!L66=""),"",YEAR(Policy!L66))</f>
        <v/>
      </c>
      <c r="V66" s="17" t="str">
        <f aca="false">IF(Policy!A66="","",Policy!J66)</f>
        <v/>
      </c>
      <c r="W66" s="14"/>
    </row>
    <row r="67" customFormat="false" ht="15" hidden="false" customHeight="false" outlineLevel="0" collapsed="false">
      <c r="A67" s="17" t="str">
        <f aca="false">IF(Policy!A67="","",Policy!A67)</f>
        <v/>
      </c>
      <c r="B67" s="17" t="str">
        <f aca="false">IF(Policy!A67="","",Policy!B67)</f>
        <v/>
      </c>
      <c r="C67" s="17" t="str">
        <f aca="false">IF(Policy!A67="","",Policy!E67)</f>
        <v/>
      </c>
      <c r="D67" s="17" t="str">
        <f aca="false">IF(Policy!A67="","",Policy!G67)</f>
        <v/>
      </c>
      <c r="E67" s="17" t="str">
        <f aca="false">IF(Policy!A67="","",Policy!H67)</f>
        <v/>
      </c>
      <c r="F67" s="22" t="str">
        <f aca="false">IF(Policy!A67="","",Risk!D67)</f>
        <v/>
      </c>
      <c r="G67" s="23"/>
      <c r="H67" s="24" t="str">
        <f aca="false">IF(A67="","",G67*(1-M67/100))</f>
        <v/>
      </c>
      <c r="I67" s="24" t="str">
        <f aca="false">IF(A67="","",G67*F67/100)</f>
        <v/>
      </c>
      <c r="J67" s="24" t="str">
        <f aca="false">IF(A67="","",I67*(1-M67/100))</f>
        <v/>
      </c>
      <c r="K67" s="25"/>
      <c r="L67" s="25"/>
      <c r="M67" s="26" t="str">
        <f aca="false">IF(A67="","",K67+L67)</f>
        <v/>
      </c>
      <c r="N67" s="25"/>
      <c r="O67" s="23"/>
      <c r="P67" s="23"/>
      <c r="Q67" s="24" t="str">
        <f aca="false">IF(A67="","",J67*(1-N67/100)-O67-P67)</f>
        <v/>
      </c>
      <c r="R67" s="25"/>
      <c r="S67" s="17" t="str">
        <f aca="false">IF(Policy!A67="","",Policy!U67)</f>
        <v/>
      </c>
      <c r="T67" s="17" t="str">
        <f aca="false">IF(OR(A67="",Policy!L67=""),"",MONTH(Policy!L67))</f>
        <v/>
      </c>
      <c r="U67" s="17" t="str">
        <f aca="false">IF(OR(A67="",Policy!L67=""),"",YEAR(Policy!L67))</f>
        <v/>
      </c>
      <c r="V67" s="17" t="str">
        <f aca="false">IF(Policy!A67="","",Policy!J67)</f>
        <v/>
      </c>
      <c r="W67" s="14"/>
    </row>
    <row r="68" customFormat="false" ht="15" hidden="false" customHeight="false" outlineLevel="0" collapsed="false">
      <c r="A68" s="17" t="str">
        <f aca="false">IF(Policy!A68="","",Policy!A68)</f>
        <v/>
      </c>
      <c r="B68" s="17" t="str">
        <f aca="false">IF(Policy!A68="","",Policy!B68)</f>
        <v/>
      </c>
      <c r="C68" s="17" t="str">
        <f aca="false">IF(Policy!A68="","",Policy!E68)</f>
        <v/>
      </c>
      <c r="D68" s="17" t="str">
        <f aca="false">IF(Policy!A68="","",Policy!G68)</f>
        <v/>
      </c>
      <c r="E68" s="17" t="str">
        <f aca="false">IF(Policy!A68="","",Policy!H68)</f>
        <v/>
      </c>
      <c r="F68" s="22" t="str">
        <f aca="false">IF(Policy!A68="","",Risk!D68)</f>
        <v/>
      </c>
      <c r="G68" s="23"/>
      <c r="H68" s="24" t="str">
        <f aca="false">IF(A68="","",G68*(1-M68/100))</f>
        <v/>
      </c>
      <c r="I68" s="24" t="str">
        <f aca="false">IF(A68="","",G68*F68/100)</f>
        <v/>
      </c>
      <c r="J68" s="24" t="str">
        <f aca="false">IF(A68="","",I68*(1-M68/100))</f>
        <v/>
      </c>
      <c r="K68" s="25"/>
      <c r="L68" s="25"/>
      <c r="M68" s="26" t="str">
        <f aca="false">IF(A68="","",K68+L68)</f>
        <v/>
      </c>
      <c r="N68" s="25"/>
      <c r="O68" s="23"/>
      <c r="P68" s="23"/>
      <c r="Q68" s="24" t="str">
        <f aca="false">IF(A68="","",J68*(1-N68/100)-O68-P68)</f>
        <v/>
      </c>
      <c r="R68" s="25"/>
      <c r="S68" s="17" t="str">
        <f aca="false">IF(Policy!A68="","",Policy!U68)</f>
        <v/>
      </c>
      <c r="T68" s="17" t="str">
        <f aca="false">IF(OR(A68="",Policy!L68=""),"",MONTH(Policy!L68))</f>
        <v/>
      </c>
      <c r="U68" s="17" t="str">
        <f aca="false">IF(OR(A68="",Policy!L68=""),"",YEAR(Policy!L68))</f>
        <v/>
      </c>
      <c r="V68" s="17" t="str">
        <f aca="false">IF(Policy!A68="","",Policy!J68)</f>
        <v/>
      </c>
      <c r="W68" s="14"/>
    </row>
    <row r="69" customFormat="false" ht="15" hidden="false" customHeight="false" outlineLevel="0" collapsed="false">
      <c r="A69" s="17" t="str">
        <f aca="false">IF(Policy!A69="","",Policy!A69)</f>
        <v/>
      </c>
      <c r="B69" s="17" t="str">
        <f aca="false">IF(Policy!A69="","",Policy!B69)</f>
        <v/>
      </c>
      <c r="C69" s="17" t="str">
        <f aca="false">IF(Policy!A69="","",Policy!E69)</f>
        <v/>
      </c>
      <c r="D69" s="17" t="str">
        <f aca="false">IF(Policy!A69="","",Policy!G69)</f>
        <v/>
      </c>
      <c r="E69" s="17" t="str">
        <f aca="false">IF(Policy!A69="","",Policy!H69)</f>
        <v/>
      </c>
      <c r="F69" s="22" t="str">
        <f aca="false">IF(Policy!A69="","",Risk!D69)</f>
        <v/>
      </c>
      <c r="G69" s="23"/>
      <c r="H69" s="24" t="str">
        <f aca="false">IF(A69="","",G69*(1-M69/100))</f>
        <v/>
      </c>
      <c r="I69" s="24" t="str">
        <f aca="false">IF(A69="","",G69*F69/100)</f>
        <v/>
      </c>
      <c r="J69" s="24" t="str">
        <f aca="false">IF(A69="","",I69*(1-M69/100))</f>
        <v/>
      </c>
      <c r="K69" s="25"/>
      <c r="L69" s="25"/>
      <c r="M69" s="26" t="str">
        <f aca="false">IF(A69="","",K69+L69)</f>
        <v/>
      </c>
      <c r="N69" s="25"/>
      <c r="O69" s="23"/>
      <c r="P69" s="23"/>
      <c r="Q69" s="24" t="str">
        <f aca="false">IF(A69="","",J69*(1-N69/100)-O69-P69)</f>
        <v/>
      </c>
      <c r="R69" s="25"/>
      <c r="S69" s="17" t="str">
        <f aca="false">IF(Policy!A69="","",Policy!U69)</f>
        <v/>
      </c>
      <c r="T69" s="17" t="str">
        <f aca="false">IF(OR(A69="",Policy!L69=""),"",MONTH(Policy!L69))</f>
        <v/>
      </c>
      <c r="U69" s="17" t="str">
        <f aca="false">IF(OR(A69="",Policy!L69=""),"",YEAR(Policy!L69))</f>
        <v/>
      </c>
      <c r="V69" s="17" t="str">
        <f aca="false">IF(Policy!A69="","",Policy!J69)</f>
        <v/>
      </c>
      <c r="W69" s="14"/>
    </row>
    <row r="70" customFormat="false" ht="15" hidden="false" customHeight="false" outlineLevel="0" collapsed="false">
      <c r="A70" s="17" t="str">
        <f aca="false">IF(Policy!A70="","",Policy!A70)</f>
        <v/>
      </c>
      <c r="B70" s="17" t="str">
        <f aca="false">IF(Policy!A70="","",Policy!B70)</f>
        <v/>
      </c>
      <c r="C70" s="17" t="str">
        <f aca="false">IF(Policy!A70="","",Policy!E70)</f>
        <v/>
      </c>
      <c r="D70" s="17" t="str">
        <f aca="false">IF(Policy!A70="","",Policy!G70)</f>
        <v/>
      </c>
      <c r="E70" s="17" t="str">
        <f aca="false">IF(Policy!A70="","",Policy!H70)</f>
        <v/>
      </c>
      <c r="F70" s="22" t="str">
        <f aca="false">IF(Policy!A70="","",Risk!D70)</f>
        <v/>
      </c>
      <c r="G70" s="23"/>
      <c r="H70" s="24" t="str">
        <f aca="false">IF(A70="","",G70*(1-M70/100))</f>
        <v/>
      </c>
      <c r="I70" s="24" t="str">
        <f aca="false">IF(A70="","",G70*F70/100)</f>
        <v/>
      </c>
      <c r="J70" s="24" t="str">
        <f aca="false">IF(A70="","",I70*(1-M70/100))</f>
        <v/>
      </c>
      <c r="K70" s="25"/>
      <c r="L70" s="25"/>
      <c r="M70" s="26" t="str">
        <f aca="false">IF(A70="","",K70+L70)</f>
        <v/>
      </c>
      <c r="N70" s="25"/>
      <c r="O70" s="23"/>
      <c r="P70" s="23"/>
      <c r="Q70" s="24" t="str">
        <f aca="false">IF(A70="","",J70*(1-N70/100)-O70-P70)</f>
        <v/>
      </c>
      <c r="R70" s="25"/>
      <c r="S70" s="17" t="str">
        <f aca="false">IF(Policy!A70="","",Policy!U70)</f>
        <v/>
      </c>
      <c r="T70" s="17" t="str">
        <f aca="false">IF(OR(A70="",Policy!L70=""),"",MONTH(Policy!L70))</f>
        <v/>
      </c>
      <c r="U70" s="17" t="str">
        <f aca="false">IF(OR(A70="",Policy!L70=""),"",YEAR(Policy!L70))</f>
        <v/>
      </c>
      <c r="V70" s="17" t="str">
        <f aca="false">IF(Policy!A70="","",Policy!J70)</f>
        <v/>
      </c>
      <c r="W70" s="14"/>
    </row>
    <row r="71" customFormat="false" ht="15" hidden="false" customHeight="false" outlineLevel="0" collapsed="false">
      <c r="A71" s="17" t="str">
        <f aca="false">IF(Policy!A71="","",Policy!A71)</f>
        <v/>
      </c>
      <c r="B71" s="17" t="str">
        <f aca="false">IF(Policy!A71="","",Policy!B71)</f>
        <v/>
      </c>
      <c r="C71" s="17" t="str">
        <f aca="false">IF(Policy!A71="","",Policy!E71)</f>
        <v/>
      </c>
      <c r="D71" s="17" t="str">
        <f aca="false">IF(Policy!A71="","",Policy!G71)</f>
        <v/>
      </c>
      <c r="E71" s="17" t="str">
        <f aca="false">IF(Policy!A71="","",Policy!H71)</f>
        <v/>
      </c>
      <c r="F71" s="22" t="str">
        <f aca="false">IF(Policy!A71="","",Risk!D71)</f>
        <v/>
      </c>
      <c r="G71" s="23"/>
      <c r="H71" s="24" t="str">
        <f aca="false">IF(A71="","",G71*(1-M71/100))</f>
        <v/>
      </c>
      <c r="I71" s="24" t="str">
        <f aca="false">IF(A71="","",G71*F71/100)</f>
        <v/>
      </c>
      <c r="J71" s="24" t="str">
        <f aca="false">IF(A71="","",I71*(1-M71/100))</f>
        <v/>
      </c>
      <c r="K71" s="25"/>
      <c r="L71" s="25"/>
      <c r="M71" s="26" t="str">
        <f aca="false">IF(A71="","",K71+L71)</f>
        <v/>
      </c>
      <c r="N71" s="25"/>
      <c r="O71" s="23"/>
      <c r="P71" s="23"/>
      <c r="Q71" s="24" t="str">
        <f aca="false">IF(A71="","",J71*(1-N71/100)-O71-P71)</f>
        <v/>
      </c>
      <c r="R71" s="25"/>
      <c r="S71" s="17" t="str">
        <f aca="false">IF(Policy!A71="","",Policy!U71)</f>
        <v/>
      </c>
      <c r="T71" s="17" t="str">
        <f aca="false">IF(OR(A71="",Policy!L71=""),"",MONTH(Policy!L71))</f>
        <v/>
      </c>
      <c r="U71" s="17" t="str">
        <f aca="false">IF(OR(A71="",Policy!L71=""),"",YEAR(Policy!L71))</f>
        <v/>
      </c>
      <c r="V71" s="17" t="str">
        <f aca="false">IF(Policy!A71="","",Policy!J71)</f>
        <v/>
      </c>
      <c r="W71" s="14"/>
    </row>
    <row r="72" customFormat="false" ht="15" hidden="false" customHeight="false" outlineLevel="0" collapsed="false">
      <c r="A72" s="17" t="str">
        <f aca="false">IF(Policy!A72="","",Policy!A72)</f>
        <v/>
      </c>
      <c r="B72" s="17" t="str">
        <f aca="false">IF(Policy!A72="","",Policy!B72)</f>
        <v/>
      </c>
      <c r="C72" s="17" t="str">
        <f aca="false">IF(Policy!A72="","",Policy!E72)</f>
        <v/>
      </c>
      <c r="D72" s="17" t="str">
        <f aca="false">IF(Policy!A72="","",Policy!G72)</f>
        <v/>
      </c>
      <c r="E72" s="17" t="str">
        <f aca="false">IF(Policy!A72="","",Policy!H72)</f>
        <v/>
      </c>
      <c r="F72" s="22" t="str">
        <f aca="false">IF(Policy!A72="","",Risk!D72)</f>
        <v/>
      </c>
      <c r="G72" s="23"/>
      <c r="H72" s="24" t="str">
        <f aca="false">IF(A72="","",G72*(1-M72/100))</f>
        <v/>
      </c>
      <c r="I72" s="24" t="str">
        <f aca="false">IF(A72="","",G72*F72/100)</f>
        <v/>
      </c>
      <c r="J72" s="24" t="str">
        <f aca="false">IF(A72="","",I72*(1-M72/100))</f>
        <v/>
      </c>
      <c r="K72" s="25"/>
      <c r="L72" s="25"/>
      <c r="M72" s="26" t="str">
        <f aca="false">IF(A72="","",K72+L72)</f>
        <v/>
      </c>
      <c r="N72" s="25"/>
      <c r="O72" s="23"/>
      <c r="P72" s="23"/>
      <c r="Q72" s="24" t="str">
        <f aca="false">IF(A72="","",J72*(1-N72/100)-O72-P72)</f>
        <v/>
      </c>
      <c r="R72" s="25"/>
      <c r="S72" s="17" t="str">
        <f aca="false">IF(Policy!A72="","",Policy!U72)</f>
        <v/>
      </c>
      <c r="T72" s="17" t="str">
        <f aca="false">IF(OR(A72="",Policy!L72=""),"",MONTH(Policy!L72))</f>
        <v/>
      </c>
      <c r="U72" s="17" t="str">
        <f aca="false">IF(OR(A72="",Policy!L72=""),"",YEAR(Policy!L72))</f>
        <v/>
      </c>
      <c r="V72" s="17" t="str">
        <f aca="false">IF(Policy!A72="","",Policy!J72)</f>
        <v/>
      </c>
      <c r="W72" s="14"/>
    </row>
    <row r="73" customFormat="false" ht="15" hidden="false" customHeight="false" outlineLevel="0" collapsed="false">
      <c r="A73" s="17" t="str">
        <f aca="false">IF(Policy!A73="","",Policy!A73)</f>
        <v/>
      </c>
      <c r="B73" s="17" t="str">
        <f aca="false">IF(Policy!A73="","",Policy!B73)</f>
        <v/>
      </c>
      <c r="C73" s="17" t="str">
        <f aca="false">IF(Policy!A73="","",Policy!E73)</f>
        <v/>
      </c>
      <c r="D73" s="17" t="str">
        <f aca="false">IF(Policy!A73="","",Policy!G73)</f>
        <v/>
      </c>
      <c r="E73" s="17" t="str">
        <f aca="false">IF(Policy!A73="","",Policy!H73)</f>
        <v/>
      </c>
      <c r="F73" s="22" t="str">
        <f aca="false">IF(Policy!A73="","",Risk!D73)</f>
        <v/>
      </c>
      <c r="G73" s="23"/>
      <c r="H73" s="24" t="str">
        <f aca="false">IF(A73="","",G73*(1-M73/100))</f>
        <v/>
      </c>
      <c r="I73" s="24" t="str">
        <f aca="false">IF(A73="","",G73*F73/100)</f>
        <v/>
      </c>
      <c r="J73" s="24" t="str">
        <f aca="false">IF(A73="","",I73*(1-M73/100))</f>
        <v/>
      </c>
      <c r="K73" s="25"/>
      <c r="L73" s="25"/>
      <c r="M73" s="26" t="str">
        <f aca="false">IF(A73="","",K73+L73)</f>
        <v/>
      </c>
      <c r="N73" s="25"/>
      <c r="O73" s="23"/>
      <c r="P73" s="23"/>
      <c r="Q73" s="24" t="str">
        <f aca="false">IF(A73="","",J73*(1-N73/100)-O73-P73)</f>
        <v/>
      </c>
      <c r="R73" s="25"/>
      <c r="S73" s="17" t="str">
        <f aca="false">IF(Policy!A73="","",Policy!U73)</f>
        <v/>
      </c>
      <c r="T73" s="17" t="str">
        <f aca="false">IF(OR(A73="",Policy!L73=""),"",MONTH(Policy!L73))</f>
        <v/>
      </c>
      <c r="U73" s="17" t="str">
        <f aca="false">IF(OR(A73="",Policy!L73=""),"",YEAR(Policy!L73))</f>
        <v/>
      </c>
      <c r="V73" s="17" t="str">
        <f aca="false">IF(Policy!A73="","",Policy!J73)</f>
        <v/>
      </c>
      <c r="W73" s="14"/>
    </row>
    <row r="74" customFormat="false" ht="15" hidden="false" customHeight="false" outlineLevel="0" collapsed="false">
      <c r="A74" s="17" t="str">
        <f aca="false">IF(Policy!A74="","",Policy!A74)</f>
        <v/>
      </c>
      <c r="B74" s="17" t="str">
        <f aca="false">IF(Policy!A74="","",Policy!B74)</f>
        <v/>
      </c>
      <c r="C74" s="17" t="str">
        <f aca="false">IF(Policy!A74="","",Policy!E74)</f>
        <v/>
      </c>
      <c r="D74" s="17" t="str">
        <f aca="false">IF(Policy!A74="","",Policy!G74)</f>
        <v/>
      </c>
      <c r="E74" s="17" t="str">
        <f aca="false">IF(Policy!A74="","",Policy!H74)</f>
        <v/>
      </c>
      <c r="F74" s="22" t="str">
        <f aca="false">IF(Policy!A74="","",Risk!D74)</f>
        <v/>
      </c>
      <c r="G74" s="23"/>
      <c r="H74" s="24" t="str">
        <f aca="false">IF(A74="","",G74*(1-M74/100))</f>
        <v/>
      </c>
      <c r="I74" s="24" t="str">
        <f aca="false">IF(A74="","",G74*F74/100)</f>
        <v/>
      </c>
      <c r="J74" s="24" t="str">
        <f aca="false">IF(A74="","",I74*(1-M74/100))</f>
        <v/>
      </c>
      <c r="K74" s="25"/>
      <c r="L74" s="25"/>
      <c r="M74" s="26" t="str">
        <f aca="false">IF(A74="","",K74+L74)</f>
        <v/>
      </c>
      <c r="N74" s="25"/>
      <c r="O74" s="23"/>
      <c r="P74" s="23"/>
      <c r="Q74" s="24" t="str">
        <f aca="false">IF(A74="","",J74*(1-N74/100)-O74-P74)</f>
        <v/>
      </c>
      <c r="R74" s="25"/>
      <c r="S74" s="17" t="str">
        <f aca="false">IF(Policy!A74="","",Policy!U74)</f>
        <v/>
      </c>
      <c r="T74" s="17" t="str">
        <f aca="false">IF(OR(A74="",Policy!L74=""),"",MONTH(Policy!L74))</f>
        <v/>
      </c>
      <c r="U74" s="17" t="str">
        <f aca="false">IF(OR(A74="",Policy!L74=""),"",YEAR(Policy!L74))</f>
        <v/>
      </c>
      <c r="V74" s="17" t="str">
        <f aca="false">IF(Policy!A74="","",Policy!J74)</f>
        <v/>
      </c>
      <c r="W74" s="14"/>
    </row>
    <row r="75" customFormat="false" ht="15" hidden="false" customHeight="false" outlineLevel="0" collapsed="false">
      <c r="A75" s="17" t="str">
        <f aca="false">IF(Policy!A75="","",Policy!A75)</f>
        <v/>
      </c>
      <c r="B75" s="17" t="str">
        <f aca="false">IF(Policy!A75="","",Policy!B75)</f>
        <v/>
      </c>
      <c r="C75" s="17" t="str">
        <f aca="false">IF(Policy!A75="","",Policy!E75)</f>
        <v/>
      </c>
      <c r="D75" s="17" t="str">
        <f aca="false">IF(Policy!A75="","",Policy!G75)</f>
        <v/>
      </c>
      <c r="E75" s="17" t="str">
        <f aca="false">IF(Policy!A75="","",Policy!H75)</f>
        <v/>
      </c>
      <c r="F75" s="22" t="str">
        <f aca="false">IF(Policy!A75="","",Risk!D75)</f>
        <v/>
      </c>
      <c r="G75" s="23"/>
      <c r="H75" s="24" t="str">
        <f aca="false">IF(A75="","",G75*(1-M75/100))</f>
        <v/>
      </c>
      <c r="I75" s="24" t="str">
        <f aca="false">IF(A75="","",G75*F75/100)</f>
        <v/>
      </c>
      <c r="J75" s="24" t="str">
        <f aca="false">IF(A75="","",I75*(1-M75/100))</f>
        <v/>
      </c>
      <c r="K75" s="25"/>
      <c r="L75" s="25"/>
      <c r="M75" s="26" t="str">
        <f aca="false">IF(A75="","",K75+L75)</f>
        <v/>
      </c>
      <c r="N75" s="25"/>
      <c r="O75" s="23"/>
      <c r="P75" s="23"/>
      <c r="Q75" s="24" t="str">
        <f aca="false">IF(A75="","",J75*(1-N75/100)-O75-P75)</f>
        <v/>
      </c>
      <c r="R75" s="25"/>
      <c r="S75" s="17" t="str">
        <f aca="false">IF(Policy!A75="","",Policy!U75)</f>
        <v/>
      </c>
      <c r="T75" s="17" t="str">
        <f aca="false">IF(OR(A75="",Policy!L75=""),"",MONTH(Policy!L75))</f>
        <v/>
      </c>
      <c r="U75" s="17" t="str">
        <f aca="false">IF(OR(A75="",Policy!L75=""),"",YEAR(Policy!L75))</f>
        <v/>
      </c>
      <c r="V75" s="17" t="str">
        <f aca="false">IF(Policy!A75="","",Policy!J75)</f>
        <v/>
      </c>
      <c r="W75" s="14"/>
    </row>
    <row r="76" customFormat="false" ht="15" hidden="false" customHeight="false" outlineLevel="0" collapsed="false">
      <c r="A76" s="17" t="str">
        <f aca="false">IF(Policy!A76="","",Policy!A76)</f>
        <v/>
      </c>
      <c r="B76" s="17" t="str">
        <f aca="false">IF(Policy!A76="","",Policy!B76)</f>
        <v/>
      </c>
      <c r="C76" s="17" t="str">
        <f aca="false">IF(Policy!A76="","",Policy!E76)</f>
        <v/>
      </c>
      <c r="D76" s="17" t="str">
        <f aca="false">IF(Policy!A76="","",Policy!G76)</f>
        <v/>
      </c>
      <c r="E76" s="17" t="str">
        <f aca="false">IF(Policy!A76="","",Policy!H76)</f>
        <v/>
      </c>
      <c r="F76" s="22" t="str">
        <f aca="false">IF(Policy!A76="","",Risk!D76)</f>
        <v/>
      </c>
      <c r="G76" s="23"/>
      <c r="H76" s="24" t="str">
        <f aca="false">IF(A76="","",G76*(1-M76/100))</f>
        <v/>
      </c>
      <c r="I76" s="24" t="str">
        <f aca="false">IF(A76="","",G76*F76/100)</f>
        <v/>
      </c>
      <c r="J76" s="24" t="str">
        <f aca="false">IF(A76="","",I76*(1-M76/100))</f>
        <v/>
      </c>
      <c r="K76" s="25"/>
      <c r="L76" s="25"/>
      <c r="M76" s="26" t="str">
        <f aca="false">IF(A76="","",K76+L76)</f>
        <v/>
      </c>
      <c r="N76" s="25"/>
      <c r="O76" s="23"/>
      <c r="P76" s="23"/>
      <c r="Q76" s="24" t="str">
        <f aca="false">IF(A76="","",J76*(1-N76/100)-O76-P76)</f>
        <v/>
      </c>
      <c r="R76" s="25"/>
      <c r="S76" s="17" t="str">
        <f aca="false">IF(Policy!A76="","",Policy!U76)</f>
        <v/>
      </c>
      <c r="T76" s="17" t="str">
        <f aca="false">IF(OR(A76="",Policy!L76=""),"",MONTH(Policy!L76))</f>
        <v/>
      </c>
      <c r="U76" s="17" t="str">
        <f aca="false">IF(OR(A76="",Policy!L76=""),"",YEAR(Policy!L76))</f>
        <v/>
      </c>
      <c r="V76" s="17" t="str">
        <f aca="false">IF(Policy!A76="","",Policy!J76)</f>
        <v/>
      </c>
      <c r="W76" s="14"/>
    </row>
    <row r="77" customFormat="false" ht="15" hidden="false" customHeight="false" outlineLevel="0" collapsed="false">
      <c r="A77" s="17" t="str">
        <f aca="false">IF(Policy!A77="","",Policy!A77)</f>
        <v/>
      </c>
      <c r="B77" s="17" t="str">
        <f aca="false">IF(Policy!A77="","",Policy!B77)</f>
        <v/>
      </c>
      <c r="C77" s="17" t="str">
        <f aca="false">IF(Policy!A77="","",Policy!E77)</f>
        <v/>
      </c>
      <c r="D77" s="17" t="str">
        <f aca="false">IF(Policy!A77="","",Policy!G77)</f>
        <v/>
      </c>
      <c r="E77" s="17" t="str">
        <f aca="false">IF(Policy!A77="","",Policy!H77)</f>
        <v/>
      </c>
      <c r="F77" s="22" t="str">
        <f aca="false">IF(Policy!A77="","",Risk!D77)</f>
        <v/>
      </c>
      <c r="G77" s="23"/>
      <c r="H77" s="24" t="str">
        <f aca="false">IF(A77="","",G77*(1-M77/100))</f>
        <v/>
      </c>
      <c r="I77" s="24" t="str">
        <f aca="false">IF(A77="","",G77*F77/100)</f>
        <v/>
      </c>
      <c r="J77" s="24" t="str">
        <f aca="false">IF(A77="","",I77*(1-M77/100))</f>
        <v/>
      </c>
      <c r="K77" s="25"/>
      <c r="L77" s="25"/>
      <c r="M77" s="26" t="str">
        <f aca="false">IF(A77="","",K77+L77)</f>
        <v/>
      </c>
      <c r="N77" s="25"/>
      <c r="O77" s="23"/>
      <c r="P77" s="23"/>
      <c r="Q77" s="24" t="str">
        <f aca="false">IF(A77="","",J77*(1-N77/100)-O77-P77)</f>
        <v/>
      </c>
      <c r="R77" s="25"/>
      <c r="S77" s="17" t="str">
        <f aca="false">IF(Policy!A77="","",Policy!U77)</f>
        <v/>
      </c>
      <c r="T77" s="17" t="str">
        <f aca="false">IF(OR(A77="",Policy!L77=""),"",MONTH(Policy!L77))</f>
        <v/>
      </c>
      <c r="U77" s="17" t="str">
        <f aca="false">IF(OR(A77="",Policy!L77=""),"",YEAR(Policy!L77))</f>
        <v/>
      </c>
      <c r="V77" s="17" t="str">
        <f aca="false">IF(Policy!A77="","",Policy!J77)</f>
        <v/>
      </c>
      <c r="W77" s="14"/>
    </row>
    <row r="78" customFormat="false" ht="15" hidden="false" customHeight="false" outlineLevel="0" collapsed="false">
      <c r="A78" s="17" t="str">
        <f aca="false">IF(Policy!A78="","",Policy!A78)</f>
        <v/>
      </c>
      <c r="B78" s="17" t="str">
        <f aca="false">IF(Policy!A78="","",Policy!B78)</f>
        <v/>
      </c>
      <c r="C78" s="17" t="str">
        <f aca="false">IF(Policy!A78="","",Policy!E78)</f>
        <v/>
      </c>
      <c r="D78" s="17" t="str">
        <f aca="false">IF(Policy!A78="","",Policy!G78)</f>
        <v/>
      </c>
      <c r="E78" s="17" t="str">
        <f aca="false">IF(Policy!A78="","",Policy!H78)</f>
        <v/>
      </c>
      <c r="F78" s="22" t="str">
        <f aca="false">IF(Policy!A78="","",Risk!D78)</f>
        <v/>
      </c>
      <c r="G78" s="23"/>
      <c r="H78" s="24" t="str">
        <f aca="false">IF(A78="","",G78*(1-M78/100))</f>
        <v/>
      </c>
      <c r="I78" s="24" t="str">
        <f aca="false">IF(A78="","",G78*F78/100)</f>
        <v/>
      </c>
      <c r="J78" s="24" t="str">
        <f aca="false">IF(A78="","",I78*(1-M78/100))</f>
        <v/>
      </c>
      <c r="K78" s="25"/>
      <c r="L78" s="25"/>
      <c r="M78" s="26" t="str">
        <f aca="false">IF(A78="","",K78+L78)</f>
        <v/>
      </c>
      <c r="N78" s="25"/>
      <c r="O78" s="23"/>
      <c r="P78" s="23"/>
      <c r="Q78" s="24" t="str">
        <f aca="false">IF(A78="","",J78*(1-N78/100)-O78-P78)</f>
        <v/>
      </c>
      <c r="R78" s="25"/>
      <c r="S78" s="17" t="str">
        <f aca="false">IF(Policy!A78="","",Policy!U78)</f>
        <v/>
      </c>
      <c r="T78" s="17" t="str">
        <f aca="false">IF(OR(A78="",Policy!L78=""),"",MONTH(Policy!L78))</f>
        <v/>
      </c>
      <c r="U78" s="17" t="str">
        <f aca="false">IF(OR(A78="",Policy!L78=""),"",YEAR(Policy!L78))</f>
        <v/>
      </c>
      <c r="V78" s="17" t="str">
        <f aca="false">IF(Policy!A78="","",Policy!J78)</f>
        <v/>
      </c>
      <c r="W78" s="14"/>
    </row>
    <row r="79" customFormat="false" ht="15" hidden="false" customHeight="false" outlineLevel="0" collapsed="false">
      <c r="A79" s="17" t="str">
        <f aca="false">IF(Policy!A79="","",Policy!A79)</f>
        <v/>
      </c>
      <c r="B79" s="17" t="str">
        <f aca="false">IF(Policy!A79="","",Policy!B79)</f>
        <v/>
      </c>
      <c r="C79" s="17" t="str">
        <f aca="false">IF(Policy!A79="","",Policy!E79)</f>
        <v/>
      </c>
      <c r="D79" s="17" t="str">
        <f aca="false">IF(Policy!A79="","",Policy!G79)</f>
        <v/>
      </c>
      <c r="E79" s="17" t="str">
        <f aca="false">IF(Policy!A79="","",Policy!H79)</f>
        <v/>
      </c>
      <c r="F79" s="22" t="str">
        <f aca="false">IF(Policy!A79="","",Risk!D79)</f>
        <v/>
      </c>
      <c r="G79" s="23"/>
      <c r="H79" s="24" t="str">
        <f aca="false">IF(A79="","",G79*(1-M79/100))</f>
        <v/>
      </c>
      <c r="I79" s="24" t="str">
        <f aca="false">IF(A79="","",G79*F79/100)</f>
        <v/>
      </c>
      <c r="J79" s="24" t="str">
        <f aca="false">IF(A79="","",I79*(1-M79/100))</f>
        <v/>
      </c>
      <c r="K79" s="25"/>
      <c r="L79" s="25"/>
      <c r="M79" s="26" t="str">
        <f aca="false">IF(A79="","",K79+L79)</f>
        <v/>
      </c>
      <c r="N79" s="25"/>
      <c r="O79" s="23"/>
      <c r="P79" s="23"/>
      <c r="Q79" s="24" t="str">
        <f aca="false">IF(A79="","",J79*(1-N79/100)-O79-P79)</f>
        <v/>
      </c>
      <c r="R79" s="25"/>
      <c r="S79" s="17" t="str">
        <f aca="false">IF(Policy!A79="","",Policy!U79)</f>
        <v/>
      </c>
      <c r="T79" s="17" t="str">
        <f aca="false">IF(OR(A79="",Policy!L79=""),"",MONTH(Policy!L79))</f>
        <v/>
      </c>
      <c r="U79" s="17" t="str">
        <f aca="false">IF(OR(A79="",Policy!L79=""),"",YEAR(Policy!L79))</f>
        <v/>
      </c>
      <c r="V79" s="17" t="str">
        <f aca="false">IF(Policy!A79="","",Policy!J79)</f>
        <v/>
      </c>
      <c r="W79" s="14"/>
    </row>
    <row r="80" customFormat="false" ht="15" hidden="false" customHeight="false" outlineLevel="0" collapsed="false">
      <c r="A80" s="17" t="str">
        <f aca="false">IF(Policy!A80="","",Policy!A80)</f>
        <v/>
      </c>
      <c r="B80" s="17" t="str">
        <f aca="false">IF(Policy!A80="","",Policy!B80)</f>
        <v/>
      </c>
      <c r="C80" s="17" t="str">
        <f aca="false">IF(Policy!A80="","",Policy!E80)</f>
        <v/>
      </c>
      <c r="D80" s="17" t="str">
        <f aca="false">IF(Policy!A80="","",Policy!G80)</f>
        <v/>
      </c>
      <c r="E80" s="17" t="str">
        <f aca="false">IF(Policy!A80="","",Policy!H80)</f>
        <v/>
      </c>
      <c r="F80" s="22" t="str">
        <f aca="false">IF(Policy!A80="","",Risk!D80)</f>
        <v/>
      </c>
      <c r="G80" s="23"/>
      <c r="H80" s="24" t="str">
        <f aca="false">IF(A80="","",G80*(1-M80/100))</f>
        <v/>
      </c>
      <c r="I80" s="24" t="str">
        <f aca="false">IF(A80="","",G80*F80/100)</f>
        <v/>
      </c>
      <c r="J80" s="24" t="str">
        <f aca="false">IF(A80="","",I80*(1-M80/100))</f>
        <v/>
      </c>
      <c r="K80" s="25"/>
      <c r="L80" s="25"/>
      <c r="M80" s="26" t="str">
        <f aca="false">IF(A80="","",K80+L80)</f>
        <v/>
      </c>
      <c r="N80" s="25"/>
      <c r="O80" s="23"/>
      <c r="P80" s="23"/>
      <c r="Q80" s="24" t="str">
        <f aca="false">IF(A80="","",J80*(1-N80/100)-O80-P80)</f>
        <v/>
      </c>
      <c r="R80" s="25"/>
      <c r="S80" s="17" t="str">
        <f aca="false">IF(Policy!A80="","",Policy!U80)</f>
        <v/>
      </c>
      <c r="T80" s="17" t="str">
        <f aca="false">IF(OR(A80="",Policy!L80=""),"",MONTH(Policy!L80))</f>
        <v/>
      </c>
      <c r="U80" s="17" t="str">
        <f aca="false">IF(OR(A80="",Policy!L80=""),"",YEAR(Policy!L80))</f>
        <v/>
      </c>
      <c r="V80" s="17" t="str">
        <f aca="false">IF(Policy!A80="","",Policy!J80)</f>
        <v/>
      </c>
      <c r="W80" s="14"/>
    </row>
    <row r="81" customFormat="false" ht="15" hidden="false" customHeight="false" outlineLevel="0" collapsed="false">
      <c r="A81" s="17" t="str">
        <f aca="false">IF(Policy!A81="","",Policy!A81)</f>
        <v/>
      </c>
      <c r="B81" s="17" t="str">
        <f aca="false">IF(Policy!A81="","",Policy!B81)</f>
        <v/>
      </c>
      <c r="C81" s="17" t="str">
        <f aca="false">IF(Policy!A81="","",Policy!E81)</f>
        <v/>
      </c>
      <c r="D81" s="17" t="str">
        <f aca="false">IF(Policy!A81="","",Policy!G81)</f>
        <v/>
      </c>
      <c r="E81" s="17" t="str">
        <f aca="false">IF(Policy!A81="","",Policy!H81)</f>
        <v/>
      </c>
      <c r="F81" s="22" t="str">
        <f aca="false">IF(Policy!A81="","",Risk!D81)</f>
        <v/>
      </c>
      <c r="G81" s="23"/>
      <c r="H81" s="24" t="str">
        <f aca="false">IF(A81="","",G81*(1-M81/100))</f>
        <v/>
      </c>
      <c r="I81" s="24" t="str">
        <f aca="false">IF(A81="","",G81*F81/100)</f>
        <v/>
      </c>
      <c r="J81" s="24" t="str">
        <f aca="false">IF(A81="","",I81*(1-M81/100))</f>
        <v/>
      </c>
      <c r="K81" s="25"/>
      <c r="L81" s="25"/>
      <c r="M81" s="26" t="str">
        <f aca="false">IF(A81="","",K81+L81)</f>
        <v/>
      </c>
      <c r="N81" s="25"/>
      <c r="O81" s="23"/>
      <c r="P81" s="23"/>
      <c r="Q81" s="24" t="str">
        <f aca="false">IF(A81="","",J81*(1-N81/100)-O81-P81)</f>
        <v/>
      </c>
      <c r="R81" s="25"/>
      <c r="S81" s="17" t="str">
        <f aca="false">IF(Policy!A81="","",Policy!U81)</f>
        <v/>
      </c>
      <c r="T81" s="17" t="str">
        <f aca="false">IF(OR(A81="",Policy!L81=""),"",MONTH(Policy!L81))</f>
        <v/>
      </c>
      <c r="U81" s="17" t="str">
        <f aca="false">IF(OR(A81="",Policy!L81=""),"",YEAR(Policy!L81))</f>
        <v/>
      </c>
      <c r="V81" s="17" t="str">
        <f aca="false">IF(Policy!A81="","",Policy!J81)</f>
        <v/>
      </c>
      <c r="W81" s="14"/>
    </row>
    <row r="82" customFormat="false" ht="15" hidden="false" customHeight="false" outlineLevel="0" collapsed="false">
      <c r="A82" s="17" t="str">
        <f aca="false">IF(Policy!A82="","",Policy!A82)</f>
        <v/>
      </c>
      <c r="B82" s="17" t="str">
        <f aca="false">IF(Policy!A82="","",Policy!B82)</f>
        <v/>
      </c>
      <c r="C82" s="17" t="str">
        <f aca="false">IF(Policy!A82="","",Policy!E82)</f>
        <v/>
      </c>
      <c r="D82" s="17" t="str">
        <f aca="false">IF(Policy!A82="","",Policy!G82)</f>
        <v/>
      </c>
      <c r="E82" s="17" t="str">
        <f aca="false">IF(Policy!A82="","",Policy!H82)</f>
        <v/>
      </c>
      <c r="F82" s="22" t="str">
        <f aca="false">IF(Policy!A82="","",Risk!D82)</f>
        <v/>
      </c>
      <c r="G82" s="23"/>
      <c r="H82" s="24" t="str">
        <f aca="false">IF(A82="","",G82*(1-M82/100))</f>
        <v/>
      </c>
      <c r="I82" s="24" t="str">
        <f aca="false">IF(A82="","",G82*F82/100)</f>
        <v/>
      </c>
      <c r="J82" s="24" t="str">
        <f aca="false">IF(A82="","",I82*(1-M82/100))</f>
        <v/>
      </c>
      <c r="K82" s="25"/>
      <c r="L82" s="25"/>
      <c r="M82" s="26" t="str">
        <f aca="false">IF(A82="","",K82+L82)</f>
        <v/>
      </c>
      <c r="N82" s="25"/>
      <c r="O82" s="23"/>
      <c r="P82" s="23"/>
      <c r="Q82" s="24" t="str">
        <f aca="false">IF(A82="","",J82*(1-N82/100)-O82-P82)</f>
        <v/>
      </c>
      <c r="R82" s="25"/>
      <c r="S82" s="17" t="str">
        <f aca="false">IF(Policy!A82="","",Policy!U82)</f>
        <v/>
      </c>
      <c r="T82" s="17" t="str">
        <f aca="false">IF(OR(A82="",Policy!L82=""),"",MONTH(Policy!L82))</f>
        <v/>
      </c>
      <c r="U82" s="17" t="str">
        <f aca="false">IF(OR(A82="",Policy!L82=""),"",YEAR(Policy!L82))</f>
        <v/>
      </c>
      <c r="V82" s="17" t="str">
        <f aca="false">IF(Policy!A82="","",Policy!J82)</f>
        <v/>
      </c>
      <c r="W82" s="14"/>
    </row>
    <row r="83" customFormat="false" ht="15" hidden="false" customHeight="false" outlineLevel="0" collapsed="false">
      <c r="A83" s="17" t="str">
        <f aca="false">IF(Policy!A83="","",Policy!A83)</f>
        <v/>
      </c>
      <c r="B83" s="17" t="str">
        <f aca="false">IF(Policy!A83="","",Policy!B83)</f>
        <v/>
      </c>
      <c r="C83" s="17" t="str">
        <f aca="false">IF(Policy!A83="","",Policy!E83)</f>
        <v/>
      </c>
      <c r="D83" s="17" t="str">
        <f aca="false">IF(Policy!A83="","",Policy!G83)</f>
        <v/>
      </c>
      <c r="E83" s="17" t="str">
        <f aca="false">IF(Policy!A83="","",Policy!H83)</f>
        <v/>
      </c>
      <c r="F83" s="22" t="str">
        <f aca="false">IF(Policy!A83="","",Risk!D83)</f>
        <v/>
      </c>
      <c r="G83" s="23"/>
      <c r="H83" s="24" t="str">
        <f aca="false">IF(A83="","",G83*(1-M83/100))</f>
        <v/>
      </c>
      <c r="I83" s="24" t="str">
        <f aca="false">IF(A83="","",G83*F83/100)</f>
        <v/>
      </c>
      <c r="J83" s="24" t="str">
        <f aca="false">IF(A83="","",I83*(1-M83/100))</f>
        <v/>
      </c>
      <c r="K83" s="25"/>
      <c r="L83" s="25"/>
      <c r="M83" s="26" t="str">
        <f aca="false">IF(A83="","",K83+L83)</f>
        <v/>
      </c>
      <c r="N83" s="25"/>
      <c r="O83" s="23"/>
      <c r="P83" s="23"/>
      <c r="Q83" s="24" t="str">
        <f aca="false">IF(A83="","",J83*(1-N83/100)-O83-P83)</f>
        <v/>
      </c>
      <c r="R83" s="25"/>
      <c r="S83" s="17" t="str">
        <f aca="false">IF(Policy!A83="","",Policy!U83)</f>
        <v/>
      </c>
      <c r="T83" s="17" t="str">
        <f aca="false">IF(OR(A83="",Policy!L83=""),"",MONTH(Policy!L83))</f>
        <v/>
      </c>
      <c r="U83" s="17" t="str">
        <f aca="false">IF(OR(A83="",Policy!L83=""),"",YEAR(Policy!L83))</f>
        <v/>
      </c>
      <c r="V83" s="17" t="str">
        <f aca="false">IF(Policy!A83="","",Policy!J83)</f>
        <v/>
      </c>
      <c r="W83" s="14"/>
    </row>
    <row r="84" customFormat="false" ht="15" hidden="false" customHeight="false" outlineLevel="0" collapsed="false">
      <c r="A84" s="17" t="str">
        <f aca="false">IF(Policy!A84="","",Policy!A84)</f>
        <v/>
      </c>
      <c r="B84" s="17" t="str">
        <f aca="false">IF(Policy!A84="","",Policy!B84)</f>
        <v/>
      </c>
      <c r="C84" s="17" t="str">
        <f aca="false">IF(Policy!A84="","",Policy!E84)</f>
        <v/>
      </c>
      <c r="D84" s="17" t="str">
        <f aca="false">IF(Policy!A84="","",Policy!G84)</f>
        <v/>
      </c>
      <c r="E84" s="17" t="str">
        <f aca="false">IF(Policy!A84="","",Policy!H84)</f>
        <v/>
      </c>
      <c r="F84" s="22" t="str">
        <f aca="false">IF(Policy!A84="","",Risk!D84)</f>
        <v/>
      </c>
      <c r="G84" s="23"/>
      <c r="H84" s="24" t="str">
        <f aca="false">IF(A84="","",G84*(1-M84/100))</f>
        <v/>
      </c>
      <c r="I84" s="24" t="str">
        <f aca="false">IF(A84="","",G84*F84/100)</f>
        <v/>
      </c>
      <c r="J84" s="24" t="str">
        <f aca="false">IF(A84="","",I84*(1-M84/100))</f>
        <v/>
      </c>
      <c r="K84" s="25"/>
      <c r="L84" s="25"/>
      <c r="M84" s="26" t="str">
        <f aca="false">IF(A84="","",K84+L84)</f>
        <v/>
      </c>
      <c r="N84" s="25"/>
      <c r="O84" s="23"/>
      <c r="P84" s="23"/>
      <c r="Q84" s="24" t="str">
        <f aca="false">IF(A84="","",J84*(1-N84/100)-O84-P84)</f>
        <v/>
      </c>
      <c r="R84" s="25"/>
      <c r="S84" s="17" t="str">
        <f aca="false">IF(Policy!A84="","",Policy!U84)</f>
        <v/>
      </c>
      <c r="T84" s="17" t="str">
        <f aca="false">IF(OR(A84="",Policy!L84=""),"",MONTH(Policy!L84))</f>
        <v/>
      </c>
      <c r="U84" s="17" t="str">
        <f aca="false">IF(OR(A84="",Policy!L84=""),"",YEAR(Policy!L84))</f>
        <v/>
      </c>
      <c r="V84" s="17" t="str">
        <f aca="false">IF(Policy!A84="","",Policy!J84)</f>
        <v/>
      </c>
      <c r="W84" s="14"/>
    </row>
    <row r="85" customFormat="false" ht="15" hidden="false" customHeight="false" outlineLevel="0" collapsed="false">
      <c r="A85" s="17" t="str">
        <f aca="false">IF(Policy!A85="","",Policy!A85)</f>
        <v/>
      </c>
      <c r="B85" s="17" t="str">
        <f aca="false">IF(Policy!A85="","",Policy!B85)</f>
        <v/>
      </c>
      <c r="C85" s="17" t="str">
        <f aca="false">IF(Policy!A85="","",Policy!E85)</f>
        <v/>
      </c>
      <c r="D85" s="17" t="str">
        <f aca="false">IF(Policy!A85="","",Policy!G85)</f>
        <v/>
      </c>
      <c r="E85" s="17" t="str">
        <f aca="false">IF(Policy!A85="","",Policy!H85)</f>
        <v/>
      </c>
      <c r="F85" s="22" t="str">
        <f aca="false">IF(Policy!A85="","",Risk!D85)</f>
        <v/>
      </c>
      <c r="G85" s="23"/>
      <c r="H85" s="24" t="str">
        <f aca="false">IF(A85="","",G85*(1-M85/100))</f>
        <v/>
      </c>
      <c r="I85" s="24" t="str">
        <f aca="false">IF(A85="","",G85*F85/100)</f>
        <v/>
      </c>
      <c r="J85" s="24" t="str">
        <f aca="false">IF(A85="","",I85*(1-M85/100))</f>
        <v/>
      </c>
      <c r="K85" s="25"/>
      <c r="L85" s="25"/>
      <c r="M85" s="26" t="str">
        <f aca="false">IF(A85="","",K85+L85)</f>
        <v/>
      </c>
      <c r="N85" s="25"/>
      <c r="O85" s="23"/>
      <c r="P85" s="23"/>
      <c r="Q85" s="24" t="str">
        <f aca="false">IF(A85="","",J85*(1-N85/100)-O85-P85)</f>
        <v/>
      </c>
      <c r="R85" s="25"/>
      <c r="S85" s="17" t="str">
        <f aca="false">IF(Policy!A85="","",Policy!U85)</f>
        <v/>
      </c>
      <c r="T85" s="17" t="str">
        <f aca="false">IF(OR(A85="",Policy!L85=""),"",MONTH(Policy!L85))</f>
        <v/>
      </c>
      <c r="U85" s="17" t="str">
        <f aca="false">IF(OR(A85="",Policy!L85=""),"",YEAR(Policy!L85))</f>
        <v/>
      </c>
      <c r="V85" s="17" t="str">
        <f aca="false">IF(Policy!A85="","",Policy!J85)</f>
        <v/>
      </c>
      <c r="W85" s="14"/>
    </row>
    <row r="86" customFormat="false" ht="15" hidden="false" customHeight="false" outlineLevel="0" collapsed="false">
      <c r="A86" s="17" t="str">
        <f aca="false">IF(Policy!A86="","",Policy!A86)</f>
        <v/>
      </c>
      <c r="B86" s="17" t="str">
        <f aca="false">IF(Policy!A86="","",Policy!B86)</f>
        <v/>
      </c>
      <c r="C86" s="17" t="str">
        <f aca="false">IF(Policy!A86="","",Policy!E86)</f>
        <v/>
      </c>
      <c r="D86" s="17" t="str">
        <f aca="false">IF(Policy!A86="","",Policy!G86)</f>
        <v/>
      </c>
      <c r="E86" s="17" t="str">
        <f aca="false">IF(Policy!A86="","",Policy!H86)</f>
        <v/>
      </c>
      <c r="F86" s="22" t="str">
        <f aca="false">IF(Policy!A86="","",Risk!D86)</f>
        <v/>
      </c>
      <c r="G86" s="23"/>
      <c r="H86" s="24" t="str">
        <f aca="false">IF(A86="","",G86*(1-M86/100))</f>
        <v/>
      </c>
      <c r="I86" s="24" t="str">
        <f aca="false">IF(A86="","",G86*F86/100)</f>
        <v/>
      </c>
      <c r="J86" s="24" t="str">
        <f aca="false">IF(A86="","",I86*(1-M86/100))</f>
        <v/>
      </c>
      <c r="K86" s="25"/>
      <c r="L86" s="25"/>
      <c r="M86" s="26" t="str">
        <f aca="false">IF(A86="","",K86+L86)</f>
        <v/>
      </c>
      <c r="N86" s="25"/>
      <c r="O86" s="23"/>
      <c r="P86" s="23"/>
      <c r="Q86" s="24" t="str">
        <f aca="false">IF(A86="","",J86*(1-N86/100)-O86-P86)</f>
        <v/>
      </c>
      <c r="R86" s="25"/>
      <c r="S86" s="17" t="str">
        <f aca="false">IF(Policy!A86="","",Policy!U86)</f>
        <v/>
      </c>
      <c r="T86" s="17" t="str">
        <f aca="false">IF(OR(A86="",Policy!L86=""),"",MONTH(Policy!L86))</f>
        <v/>
      </c>
      <c r="U86" s="17" t="str">
        <f aca="false">IF(OR(A86="",Policy!L86=""),"",YEAR(Policy!L86))</f>
        <v/>
      </c>
      <c r="V86" s="17" t="str">
        <f aca="false">IF(Policy!A86="","",Policy!J86)</f>
        <v/>
      </c>
      <c r="W86" s="14"/>
    </row>
    <row r="87" customFormat="false" ht="15" hidden="false" customHeight="false" outlineLevel="0" collapsed="false">
      <c r="A87" s="17" t="str">
        <f aca="false">IF(Policy!A87="","",Policy!A87)</f>
        <v/>
      </c>
      <c r="B87" s="17" t="str">
        <f aca="false">IF(Policy!A87="","",Policy!B87)</f>
        <v/>
      </c>
      <c r="C87" s="17" t="str">
        <f aca="false">IF(Policy!A87="","",Policy!E87)</f>
        <v/>
      </c>
      <c r="D87" s="17" t="str">
        <f aca="false">IF(Policy!A87="","",Policy!G87)</f>
        <v/>
      </c>
      <c r="E87" s="17" t="str">
        <f aca="false">IF(Policy!A87="","",Policy!H87)</f>
        <v/>
      </c>
      <c r="F87" s="22" t="str">
        <f aca="false">IF(Policy!A87="","",Risk!D87)</f>
        <v/>
      </c>
      <c r="G87" s="23"/>
      <c r="H87" s="24" t="str">
        <f aca="false">IF(A87="","",G87*(1-M87/100))</f>
        <v/>
      </c>
      <c r="I87" s="24" t="str">
        <f aca="false">IF(A87="","",G87*F87/100)</f>
        <v/>
      </c>
      <c r="J87" s="24" t="str">
        <f aca="false">IF(A87="","",I87*(1-M87/100))</f>
        <v/>
      </c>
      <c r="K87" s="25"/>
      <c r="L87" s="25"/>
      <c r="M87" s="26" t="str">
        <f aca="false">IF(A87="","",K87+L87)</f>
        <v/>
      </c>
      <c r="N87" s="25"/>
      <c r="O87" s="23"/>
      <c r="P87" s="23"/>
      <c r="Q87" s="24" t="str">
        <f aca="false">IF(A87="","",J87*(1-N87/100)-O87-P87)</f>
        <v/>
      </c>
      <c r="R87" s="25"/>
      <c r="S87" s="17" t="str">
        <f aca="false">IF(Policy!A87="","",Policy!U87)</f>
        <v/>
      </c>
      <c r="T87" s="17" t="str">
        <f aca="false">IF(OR(A87="",Policy!L87=""),"",MONTH(Policy!L87))</f>
        <v/>
      </c>
      <c r="U87" s="17" t="str">
        <f aca="false">IF(OR(A87="",Policy!L87=""),"",YEAR(Policy!L87))</f>
        <v/>
      </c>
      <c r="V87" s="17" t="str">
        <f aca="false">IF(Policy!A87="","",Policy!J87)</f>
        <v/>
      </c>
      <c r="W87" s="14"/>
    </row>
    <row r="88" customFormat="false" ht="15" hidden="false" customHeight="false" outlineLevel="0" collapsed="false">
      <c r="A88" s="17" t="str">
        <f aca="false">IF(Policy!A88="","",Policy!A88)</f>
        <v/>
      </c>
      <c r="B88" s="17" t="str">
        <f aca="false">IF(Policy!A88="","",Policy!B88)</f>
        <v/>
      </c>
      <c r="C88" s="17" t="str">
        <f aca="false">IF(Policy!A88="","",Policy!E88)</f>
        <v/>
      </c>
      <c r="D88" s="17" t="str">
        <f aca="false">IF(Policy!A88="","",Policy!G88)</f>
        <v/>
      </c>
      <c r="E88" s="17" t="str">
        <f aca="false">IF(Policy!A88="","",Policy!H88)</f>
        <v/>
      </c>
      <c r="F88" s="22" t="str">
        <f aca="false">IF(Policy!A88="","",Risk!D88)</f>
        <v/>
      </c>
      <c r="G88" s="23"/>
      <c r="H88" s="24" t="str">
        <f aca="false">IF(A88="","",G88*(1-M88/100))</f>
        <v/>
      </c>
      <c r="I88" s="24" t="str">
        <f aca="false">IF(A88="","",G88*F88/100)</f>
        <v/>
      </c>
      <c r="J88" s="24" t="str">
        <f aca="false">IF(A88="","",I88*(1-M88/100))</f>
        <v/>
      </c>
      <c r="K88" s="25"/>
      <c r="L88" s="25"/>
      <c r="M88" s="26" t="str">
        <f aca="false">IF(A88="","",K88+L88)</f>
        <v/>
      </c>
      <c r="N88" s="25"/>
      <c r="O88" s="23"/>
      <c r="P88" s="23"/>
      <c r="Q88" s="24" t="str">
        <f aca="false">IF(A88="","",J88*(1-N88/100)-O88-P88)</f>
        <v/>
      </c>
      <c r="R88" s="25"/>
      <c r="S88" s="17" t="str">
        <f aca="false">IF(Policy!A88="","",Policy!U88)</f>
        <v/>
      </c>
      <c r="T88" s="17" t="str">
        <f aca="false">IF(OR(A88="",Policy!L88=""),"",MONTH(Policy!L88))</f>
        <v/>
      </c>
      <c r="U88" s="17" t="str">
        <f aca="false">IF(OR(A88="",Policy!L88=""),"",YEAR(Policy!L88))</f>
        <v/>
      </c>
      <c r="V88" s="17" t="str">
        <f aca="false">IF(Policy!A88="","",Policy!J88)</f>
        <v/>
      </c>
      <c r="W88" s="14"/>
    </row>
    <row r="89" customFormat="false" ht="15" hidden="false" customHeight="false" outlineLevel="0" collapsed="false">
      <c r="A89" s="17" t="str">
        <f aca="false">IF(Policy!A89="","",Policy!A89)</f>
        <v/>
      </c>
      <c r="B89" s="17" t="str">
        <f aca="false">IF(Policy!A89="","",Policy!B89)</f>
        <v/>
      </c>
      <c r="C89" s="17" t="str">
        <f aca="false">IF(Policy!A89="","",Policy!E89)</f>
        <v/>
      </c>
      <c r="D89" s="17" t="str">
        <f aca="false">IF(Policy!A89="","",Policy!G89)</f>
        <v/>
      </c>
      <c r="E89" s="17" t="str">
        <f aca="false">IF(Policy!A89="","",Policy!H89)</f>
        <v/>
      </c>
      <c r="F89" s="22" t="str">
        <f aca="false">IF(Policy!A89="","",Risk!D89)</f>
        <v/>
      </c>
      <c r="G89" s="23"/>
      <c r="H89" s="24" t="str">
        <f aca="false">IF(A89="","",G89*(1-M89/100))</f>
        <v/>
      </c>
      <c r="I89" s="24" t="str">
        <f aca="false">IF(A89="","",G89*F89/100)</f>
        <v/>
      </c>
      <c r="J89" s="24" t="str">
        <f aca="false">IF(A89="","",I89*(1-M89/100))</f>
        <v/>
      </c>
      <c r="K89" s="25"/>
      <c r="L89" s="25"/>
      <c r="M89" s="26" t="str">
        <f aca="false">IF(A89="","",K89+L89)</f>
        <v/>
      </c>
      <c r="N89" s="25"/>
      <c r="O89" s="23"/>
      <c r="P89" s="23"/>
      <c r="Q89" s="24" t="str">
        <f aca="false">IF(A89="","",J89*(1-N89/100)-O89-P89)</f>
        <v/>
      </c>
      <c r="R89" s="25"/>
      <c r="S89" s="17" t="str">
        <f aca="false">IF(Policy!A89="","",Policy!U89)</f>
        <v/>
      </c>
      <c r="T89" s="17" t="str">
        <f aca="false">IF(OR(A89="",Policy!L89=""),"",MONTH(Policy!L89))</f>
        <v/>
      </c>
      <c r="U89" s="17" t="str">
        <f aca="false">IF(OR(A89="",Policy!L89=""),"",YEAR(Policy!L89))</f>
        <v/>
      </c>
      <c r="V89" s="17" t="str">
        <f aca="false">IF(Policy!A89="","",Policy!J89)</f>
        <v/>
      </c>
      <c r="W89" s="14"/>
    </row>
    <row r="90" customFormat="false" ht="15" hidden="false" customHeight="false" outlineLevel="0" collapsed="false">
      <c r="A90" s="17" t="str">
        <f aca="false">IF(Policy!A90="","",Policy!A90)</f>
        <v/>
      </c>
      <c r="B90" s="17" t="str">
        <f aca="false">IF(Policy!A90="","",Policy!B90)</f>
        <v/>
      </c>
      <c r="C90" s="17" t="str">
        <f aca="false">IF(Policy!A90="","",Policy!E90)</f>
        <v/>
      </c>
      <c r="D90" s="17" t="str">
        <f aca="false">IF(Policy!A90="","",Policy!G90)</f>
        <v/>
      </c>
      <c r="E90" s="17" t="str">
        <f aca="false">IF(Policy!A90="","",Policy!H90)</f>
        <v/>
      </c>
      <c r="F90" s="22" t="str">
        <f aca="false">IF(Policy!A90="","",Risk!D90)</f>
        <v/>
      </c>
      <c r="G90" s="23"/>
      <c r="H90" s="24" t="str">
        <f aca="false">IF(A90="","",G90*(1-M90/100))</f>
        <v/>
      </c>
      <c r="I90" s="24" t="str">
        <f aca="false">IF(A90="","",G90*F90/100)</f>
        <v/>
      </c>
      <c r="J90" s="24" t="str">
        <f aca="false">IF(A90="","",I90*(1-M90/100))</f>
        <v/>
      </c>
      <c r="K90" s="25"/>
      <c r="L90" s="25"/>
      <c r="M90" s="26" t="str">
        <f aca="false">IF(A90="","",K90+L90)</f>
        <v/>
      </c>
      <c r="N90" s="25"/>
      <c r="O90" s="23"/>
      <c r="P90" s="23"/>
      <c r="Q90" s="24" t="str">
        <f aca="false">IF(A90="","",J90*(1-N90/100)-O90-P90)</f>
        <v/>
      </c>
      <c r="R90" s="25"/>
      <c r="S90" s="17" t="str">
        <f aca="false">IF(Policy!A90="","",Policy!U90)</f>
        <v/>
      </c>
      <c r="T90" s="17" t="str">
        <f aca="false">IF(OR(A90="",Policy!L90=""),"",MONTH(Policy!L90))</f>
        <v/>
      </c>
      <c r="U90" s="17" t="str">
        <f aca="false">IF(OR(A90="",Policy!L90=""),"",YEAR(Policy!L90))</f>
        <v/>
      </c>
      <c r="V90" s="17" t="str">
        <f aca="false">IF(Policy!A90="","",Policy!J90)</f>
        <v/>
      </c>
      <c r="W90" s="14"/>
    </row>
    <row r="91" customFormat="false" ht="15" hidden="false" customHeight="false" outlineLevel="0" collapsed="false">
      <c r="A91" s="17" t="str">
        <f aca="false">IF(Policy!A91="","",Policy!A91)</f>
        <v/>
      </c>
      <c r="B91" s="17" t="str">
        <f aca="false">IF(Policy!A91="","",Policy!B91)</f>
        <v/>
      </c>
      <c r="C91" s="17" t="str">
        <f aca="false">IF(Policy!A91="","",Policy!E91)</f>
        <v/>
      </c>
      <c r="D91" s="17" t="str">
        <f aca="false">IF(Policy!A91="","",Policy!G91)</f>
        <v/>
      </c>
      <c r="E91" s="17" t="str">
        <f aca="false">IF(Policy!A91="","",Policy!H91)</f>
        <v/>
      </c>
      <c r="F91" s="22" t="str">
        <f aca="false">IF(Policy!A91="","",Risk!D91)</f>
        <v/>
      </c>
      <c r="G91" s="23"/>
      <c r="H91" s="24" t="str">
        <f aca="false">IF(A91="","",G91*(1-M91/100))</f>
        <v/>
      </c>
      <c r="I91" s="24" t="str">
        <f aca="false">IF(A91="","",G91*F91/100)</f>
        <v/>
      </c>
      <c r="J91" s="24" t="str">
        <f aca="false">IF(A91="","",I91*(1-M91/100))</f>
        <v/>
      </c>
      <c r="K91" s="25"/>
      <c r="L91" s="25"/>
      <c r="M91" s="26" t="str">
        <f aca="false">IF(A91="","",K91+L91)</f>
        <v/>
      </c>
      <c r="N91" s="25"/>
      <c r="O91" s="23"/>
      <c r="P91" s="23"/>
      <c r="Q91" s="24" t="str">
        <f aca="false">IF(A91="","",J91*(1-N91/100)-O91-P91)</f>
        <v/>
      </c>
      <c r="R91" s="25"/>
      <c r="S91" s="17" t="str">
        <f aca="false">IF(Policy!A91="","",Policy!U91)</f>
        <v/>
      </c>
      <c r="T91" s="17" t="str">
        <f aca="false">IF(OR(A91="",Policy!L91=""),"",MONTH(Policy!L91))</f>
        <v/>
      </c>
      <c r="U91" s="17" t="str">
        <f aca="false">IF(OR(A91="",Policy!L91=""),"",YEAR(Policy!L91))</f>
        <v/>
      </c>
      <c r="V91" s="17" t="str">
        <f aca="false">IF(Policy!A91="","",Policy!J91)</f>
        <v/>
      </c>
      <c r="W91" s="14"/>
    </row>
    <row r="92" customFormat="false" ht="15" hidden="false" customHeight="false" outlineLevel="0" collapsed="false">
      <c r="A92" s="17" t="str">
        <f aca="false">IF(Policy!A92="","",Policy!A92)</f>
        <v/>
      </c>
      <c r="B92" s="17" t="str">
        <f aca="false">IF(Policy!A92="","",Policy!B92)</f>
        <v/>
      </c>
      <c r="C92" s="17" t="str">
        <f aca="false">IF(Policy!A92="","",Policy!E92)</f>
        <v/>
      </c>
      <c r="D92" s="17" t="str">
        <f aca="false">IF(Policy!A92="","",Policy!G92)</f>
        <v/>
      </c>
      <c r="E92" s="17" t="str">
        <f aca="false">IF(Policy!A92="","",Policy!H92)</f>
        <v/>
      </c>
      <c r="F92" s="22" t="str">
        <f aca="false">IF(Policy!A92="","",Risk!D92)</f>
        <v/>
      </c>
      <c r="G92" s="23"/>
      <c r="H92" s="24" t="str">
        <f aca="false">IF(A92="","",G92*(1-M92/100))</f>
        <v/>
      </c>
      <c r="I92" s="24" t="str">
        <f aca="false">IF(A92="","",G92*F92/100)</f>
        <v/>
      </c>
      <c r="J92" s="24" t="str">
        <f aca="false">IF(A92="","",I92*(1-M92/100))</f>
        <v/>
      </c>
      <c r="K92" s="25"/>
      <c r="L92" s="25"/>
      <c r="M92" s="26" t="str">
        <f aca="false">IF(A92="","",K92+L92)</f>
        <v/>
      </c>
      <c r="N92" s="25"/>
      <c r="O92" s="23"/>
      <c r="P92" s="23"/>
      <c r="Q92" s="24" t="str">
        <f aca="false">IF(A92="","",J92*(1-N92/100)-O92-P92)</f>
        <v/>
      </c>
      <c r="R92" s="25"/>
      <c r="S92" s="17" t="str">
        <f aca="false">IF(Policy!A92="","",Policy!U92)</f>
        <v/>
      </c>
      <c r="T92" s="17" t="str">
        <f aca="false">IF(OR(A92="",Policy!L92=""),"",MONTH(Policy!L92))</f>
        <v/>
      </c>
      <c r="U92" s="17" t="str">
        <f aca="false">IF(OR(A92="",Policy!L92=""),"",YEAR(Policy!L92))</f>
        <v/>
      </c>
      <c r="V92" s="17" t="str">
        <f aca="false">IF(Policy!A92="","",Policy!J92)</f>
        <v/>
      </c>
      <c r="W92" s="14"/>
    </row>
    <row r="93" customFormat="false" ht="15" hidden="false" customHeight="false" outlineLevel="0" collapsed="false">
      <c r="A93" s="17" t="str">
        <f aca="false">IF(Policy!A93="","",Policy!A93)</f>
        <v/>
      </c>
      <c r="B93" s="17" t="str">
        <f aca="false">IF(Policy!A93="","",Policy!B93)</f>
        <v/>
      </c>
      <c r="C93" s="17" t="str">
        <f aca="false">IF(Policy!A93="","",Policy!E93)</f>
        <v/>
      </c>
      <c r="D93" s="17" t="str">
        <f aca="false">IF(Policy!A93="","",Policy!G93)</f>
        <v/>
      </c>
      <c r="E93" s="17" t="str">
        <f aca="false">IF(Policy!A93="","",Policy!H93)</f>
        <v/>
      </c>
      <c r="F93" s="22" t="str">
        <f aca="false">IF(Policy!A93="","",Risk!D93)</f>
        <v/>
      </c>
      <c r="G93" s="23"/>
      <c r="H93" s="24" t="str">
        <f aca="false">IF(A93="","",G93*(1-M93/100))</f>
        <v/>
      </c>
      <c r="I93" s="24" t="str">
        <f aca="false">IF(A93="","",G93*F93/100)</f>
        <v/>
      </c>
      <c r="J93" s="24" t="str">
        <f aca="false">IF(A93="","",I93*(1-M93/100))</f>
        <v/>
      </c>
      <c r="K93" s="25"/>
      <c r="L93" s="25"/>
      <c r="M93" s="26" t="str">
        <f aca="false">IF(A93="","",K93+L93)</f>
        <v/>
      </c>
      <c r="N93" s="25"/>
      <c r="O93" s="23"/>
      <c r="P93" s="23"/>
      <c r="Q93" s="24" t="str">
        <f aca="false">IF(A93="","",J93*(1-N93/100)-O93-P93)</f>
        <v/>
      </c>
      <c r="R93" s="25"/>
      <c r="S93" s="17" t="str">
        <f aca="false">IF(Policy!A93="","",Policy!U93)</f>
        <v/>
      </c>
      <c r="T93" s="17" t="str">
        <f aca="false">IF(OR(A93="",Policy!L93=""),"",MONTH(Policy!L93))</f>
        <v/>
      </c>
      <c r="U93" s="17" t="str">
        <f aca="false">IF(OR(A93="",Policy!L93=""),"",YEAR(Policy!L93))</f>
        <v/>
      </c>
      <c r="V93" s="17" t="str">
        <f aca="false">IF(Policy!A93="","",Policy!J93)</f>
        <v/>
      </c>
      <c r="W93" s="14"/>
    </row>
    <row r="94" customFormat="false" ht="15" hidden="false" customHeight="false" outlineLevel="0" collapsed="false">
      <c r="A94" s="17" t="str">
        <f aca="false">IF(Policy!A94="","",Policy!A94)</f>
        <v/>
      </c>
      <c r="B94" s="17" t="str">
        <f aca="false">IF(Policy!A94="","",Policy!B94)</f>
        <v/>
      </c>
      <c r="C94" s="17" t="str">
        <f aca="false">IF(Policy!A94="","",Policy!E94)</f>
        <v/>
      </c>
      <c r="D94" s="17" t="str">
        <f aca="false">IF(Policy!A94="","",Policy!G94)</f>
        <v/>
      </c>
      <c r="E94" s="17" t="str">
        <f aca="false">IF(Policy!A94="","",Policy!H94)</f>
        <v/>
      </c>
      <c r="F94" s="22" t="str">
        <f aca="false">IF(Policy!A94="","",Risk!D94)</f>
        <v/>
      </c>
      <c r="G94" s="23"/>
      <c r="H94" s="24" t="str">
        <f aca="false">IF(A94="","",G94*(1-M94/100))</f>
        <v/>
      </c>
      <c r="I94" s="24" t="str">
        <f aca="false">IF(A94="","",G94*F94/100)</f>
        <v/>
      </c>
      <c r="J94" s="24" t="str">
        <f aca="false">IF(A94="","",I94*(1-M94/100))</f>
        <v/>
      </c>
      <c r="K94" s="25"/>
      <c r="L94" s="25"/>
      <c r="M94" s="26" t="str">
        <f aca="false">IF(A94="","",K94+L94)</f>
        <v/>
      </c>
      <c r="N94" s="25"/>
      <c r="O94" s="23"/>
      <c r="P94" s="23"/>
      <c r="Q94" s="24" t="str">
        <f aca="false">IF(A94="","",J94*(1-N94/100)-O94-P94)</f>
        <v/>
      </c>
      <c r="R94" s="25"/>
      <c r="S94" s="17" t="str">
        <f aca="false">IF(Policy!A94="","",Policy!U94)</f>
        <v/>
      </c>
      <c r="T94" s="17" t="str">
        <f aca="false">IF(OR(A94="",Policy!L94=""),"",MONTH(Policy!L94))</f>
        <v/>
      </c>
      <c r="U94" s="17" t="str">
        <f aca="false">IF(OR(A94="",Policy!L94=""),"",YEAR(Policy!L94))</f>
        <v/>
      </c>
      <c r="V94" s="17" t="str">
        <f aca="false">IF(Policy!A94="","",Policy!J94)</f>
        <v/>
      </c>
      <c r="W94" s="14"/>
    </row>
    <row r="95" customFormat="false" ht="15" hidden="false" customHeight="false" outlineLevel="0" collapsed="false">
      <c r="A95" s="17" t="str">
        <f aca="false">IF(Policy!A95="","",Policy!A95)</f>
        <v/>
      </c>
      <c r="B95" s="17" t="str">
        <f aca="false">IF(Policy!A95="","",Policy!B95)</f>
        <v/>
      </c>
      <c r="C95" s="17" t="str">
        <f aca="false">IF(Policy!A95="","",Policy!E95)</f>
        <v/>
      </c>
      <c r="D95" s="17" t="str">
        <f aca="false">IF(Policy!A95="","",Policy!G95)</f>
        <v/>
      </c>
      <c r="E95" s="17" t="str">
        <f aca="false">IF(Policy!A95="","",Policy!H95)</f>
        <v/>
      </c>
      <c r="F95" s="22" t="str">
        <f aca="false">IF(Policy!A95="","",Risk!D95)</f>
        <v/>
      </c>
      <c r="G95" s="23"/>
      <c r="H95" s="24" t="str">
        <f aca="false">IF(A95="","",G95*(1-M95/100))</f>
        <v/>
      </c>
      <c r="I95" s="24" t="str">
        <f aca="false">IF(A95="","",G95*F95/100)</f>
        <v/>
      </c>
      <c r="J95" s="24" t="str">
        <f aca="false">IF(A95="","",I95*(1-M95/100))</f>
        <v/>
      </c>
      <c r="K95" s="25"/>
      <c r="L95" s="25"/>
      <c r="M95" s="26" t="str">
        <f aca="false">IF(A95="","",K95+L95)</f>
        <v/>
      </c>
      <c r="N95" s="25"/>
      <c r="O95" s="23"/>
      <c r="P95" s="23"/>
      <c r="Q95" s="24" t="str">
        <f aca="false">IF(A95="","",J95*(1-N95/100)-O95-P95)</f>
        <v/>
      </c>
      <c r="R95" s="25"/>
      <c r="S95" s="17" t="str">
        <f aca="false">IF(Policy!A95="","",Policy!U95)</f>
        <v/>
      </c>
      <c r="T95" s="17" t="str">
        <f aca="false">IF(OR(A95="",Policy!L95=""),"",MONTH(Policy!L95))</f>
        <v/>
      </c>
      <c r="U95" s="17" t="str">
        <f aca="false">IF(OR(A95="",Policy!L95=""),"",YEAR(Policy!L95))</f>
        <v/>
      </c>
      <c r="V95" s="17" t="str">
        <f aca="false">IF(Policy!A95="","",Policy!J95)</f>
        <v/>
      </c>
      <c r="W95" s="14"/>
    </row>
    <row r="96" customFormat="false" ht="15" hidden="false" customHeight="false" outlineLevel="0" collapsed="false">
      <c r="A96" s="17" t="str">
        <f aca="false">IF(Policy!A96="","",Policy!A96)</f>
        <v/>
      </c>
      <c r="B96" s="17" t="str">
        <f aca="false">IF(Policy!A96="","",Policy!B96)</f>
        <v/>
      </c>
      <c r="C96" s="17" t="str">
        <f aca="false">IF(Policy!A96="","",Policy!E96)</f>
        <v/>
      </c>
      <c r="D96" s="17" t="str">
        <f aca="false">IF(Policy!A96="","",Policy!G96)</f>
        <v/>
      </c>
      <c r="E96" s="17" t="str">
        <f aca="false">IF(Policy!A96="","",Policy!H96)</f>
        <v/>
      </c>
      <c r="F96" s="22" t="str">
        <f aca="false">IF(Policy!A96="","",Risk!D96)</f>
        <v/>
      </c>
      <c r="G96" s="23"/>
      <c r="H96" s="24" t="str">
        <f aca="false">IF(A96="","",G96*(1-M96/100))</f>
        <v/>
      </c>
      <c r="I96" s="24" t="str">
        <f aca="false">IF(A96="","",G96*F96/100)</f>
        <v/>
      </c>
      <c r="J96" s="24" t="str">
        <f aca="false">IF(A96="","",I96*(1-M96/100))</f>
        <v/>
      </c>
      <c r="K96" s="25"/>
      <c r="L96" s="25"/>
      <c r="M96" s="26" t="str">
        <f aca="false">IF(A96="","",K96+L96)</f>
        <v/>
      </c>
      <c r="N96" s="25"/>
      <c r="O96" s="23"/>
      <c r="P96" s="23"/>
      <c r="Q96" s="24" t="str">
        <f aca="false">IF(A96="","",J96*(1-N96/100)-O96-P96)</f>
        <v/>
      </c>
      <c r="R96" s="25"/>
      <c r="S96" s="17" t="str">
        <f aca="false">IF(Policy!A96="","",Policy!U96)</f>
        <v/>
      </c>
      <c r="T96" s="17" t="str">
        <f aca="false">IF(OR(A96="",Policy!L96=""),"",MONTH(Policy!L96))</f>
        <v/>
      </c>
      <c r="U96" s="17" t="str">
        <f aca="false">IF(OR(A96="",Policy!L96=""),"",YEAR(Policy!L96))</f>
        <v/>
      </c>
      <c r="V96" s="17" t="str">
        <f aca="false">IF(Policy!A96="","",Policy!J96)</f>
        <v/>
      </c>
      <c r="W96" s="14"/>
    </row>
    <row r="97" customFormat="false" ht="15" hidden="false" customHeight="false" outlineLevel="0" collapsed="false">
      <c r="A97" s="17" t="str">
        <f aca="false">IF(Policy!A97="","",Policy!A97)</f>
        <v/>
      </c>
      <c r="B97" s="17" t="str">
        <f aca="false">IF(Policy!A97="","",Policy!B97)</f>
        <v/>
      </c>
      <c r="C97" s="17" t="str">
        <f aca="false">IF(Policy!A97="","",Policy!E97)</f>
        <v/>
      </c>
      <c r="D97" s="17" t="str">
        <f aca="false">IF(Policy!A97="","",Policy!G97)</f>
        <v/>
      </c>
      <c r="E97" s="17" t="str">
        <f aca="false">IF(Policy!A97="","",Policy!H97)</f>
        <v/>
      </c>
      <c r="F97" s="22" t="str">
        <f aca="false">IF(Policy!A97="","",Risk!D97)</f>
        <v/>
      </c>
      <c r="G97" s="23"/>
      <c r="H97" s="24" t="str">
        <f aca="false">IF(A97="","",G97*(1-M97/100))</f>
        <v/>
      </c>
      <c r="I97" s="24" t="str">
        <f aca="false">IF(A97="","",G97*F97/100)</f>
        <v/>
      </c>
      <c r="J97" s="24" t="str">
        <f aca="false">IF(A97="","",I97*(1-M97/100))</f>
        <v/>
      </c>
      <c r="K97" s="25"/>
      <c r="L97" s="25"/>
      <c r="M97" s="26" t="str">
        <f aca="false">IF(A97="","",K97+L97)</f>
        <v/>
      </c>
      <c r="N97" s="25"/>
      <c r="O97" s="23"/>
      <c r="P97" s="23"/>
      <c r="Q97" s="24" t="str">
        <f aca="false">IF(A97="","",J97*(1-N97/100)-O97-P97)</f>
        <v/>
      </c>
      <c r="R97" s="25"/>
      <c r="S97" s="17" t="str">
        <f aca="false">IF(Policy!A97="","",Policy!U97)</f>
        <v/>
      </c>
      <c r="T97" s="17" t="str">
        <f aca="false">IF(OR(A97="",Policy!L97=""),"",MONTH(Policy!L97))</f>
        <v/>
      </c>
      <c r="U97" s="17" t="str">
        <f aca="false">IF(OR(A97="",Policy!L97=""),"",YEAR(Policy!L97))</f>
        <v/>
      </c>
      <c r="V97" s="17" t="str">
        <f aca="false">IF(Policy!A97="","",Policy!J97)</f>
        <v/>
      </c>
      <c r="W97" s="14"/>
    </row>
    <row r="98" customFormat="false" ht="15" hidden="false" customHeight="false" outlineLevel="0" collapsed="false">
      <c r="A98" s="17" t="str">
        <f aca="false">IF(Policy!A98="","",Policy!A98)</f>
        <v/>
      </c>
      <c r="B98" s="17" t="str">
        <f aca="false">IF(Policy!A98="","",Policy!B98)</f>
        <v/>
      </c>
      <c r="C98" s="17" t="str">
        <f aca="false">IF(Policy!A98="","",Policy!E98)</f>
        <v/>
      </c>
      <c r="D98" s="17" t="str">
        <f aca="false">IF(Policy!A98="","",Policy!G98)</f>
        <v/>
      </c>
      <c r="E98" s="17" t="str">
        <f aca="false">IF(Policy!A98="","",Policy!H98)</f>
        <v/>
      </c>
      <c r="F98" s="22" t="str">
        <f aca="false">IF(Policy!A98="","",Risk!D98)</f>
        <v/>
      </c>
      <c r="G98" s="23"/>
      <c r="H98" s="24" t="str">
        <f aca="false">IF(A98="","",G98*(1-M98/100))</f>
        <v/>
      </c>
      <c r="I98" s="24" t="str">
        <f aca="false">IF(A98="","",G98*F98/100)</f>
        <v/>
      </c>
      <c r="J98" s="24" t="str">
        <f aca="false">IF(A98="","",I98*(1-M98/100))</f>
        <v/>
      </c>
      <c r="K98" s="25"/>
      <c r="L98" s="25"/>
      <c r="M98" s="26" t="str">
        <f aca="false">IF(A98="","",K98+L98)</f>
        <v/>
      </c>
      <c r="N98" s="25"/>
      <c r="O98" s="23"/>
      <c r="P98" s="23"/>
      <c r="Q98" s="24" t="str">
        <f aca="false">IF(A98="","",J98*(1-N98/100)-O98-P98)</f>
        <v/>
      </c>
      <c r="R98" s="25"/>
      <c r="S98" s="17" t="str">
        <f aca="false">IF(Policy!A98="","",Policy!U98)</f>
        <v/>
      </c>
      <c r="T98" s="17" t="str">
        <f aca="false">IF(OR(A98="",Policy!L98=""),"",MONTH(Policy!L98))</f>
        <v/>
      </c>
      <c r="U98" s="17" t="str">
        <f aca="false">IF(OR(A98="",Policy!L98=""),"",YEAR(Policy!L98))</f>
        <v/>
      </c>
      <c r="V98" s="17" t="str">
        <f aca="false">IF(Policy!A98="","",Policy!J98)</f>
        <v/>
      </c>
      <c r="W98" s="14"/>
    </row>
    <row r="99" customFormat="false" ht="15" hidden="false" customHeight="false" outlineLevel="0" collapsed="false">
      <c r="A99" s="17" t="str">
        <f aca="false">IF(Policy!A99="","",Policy!A99)</f>
        <v/>
      </c>
      <c r="B99" s="17" t="str">
        <f aca="false">IF(Policy!A99="","",Policy!B99)</f>
        <v/>
      </c>
      <c r="C99" s="17" t="str">
        <f aca="false">IF(Policy!A99="","",Policy!E99)</f>
        <v/>
      </c>
      <c r="D99" s="17" t="str">
        <f aca="false">IF(Policy!A99="","",Policy!G99)</f>
        <v/>
      </c>
      <c r="E99" s="17" t="str">
        <f aca="false">IF(Policy!A99="","",Policy!H99)</f>
        <v/>
      </c>
      <c r="F99" s="22" t="str">
        <f aca="false">IF(Policy!A99="","",Risk!D99)</f>
        <v/>
      </c>
      <c r="G99" s="23"/>
      <c r="H99" s="24" t="str">
        <f aca="false">IF(A99="","",G99*(1-M99/100))</f>
        <v/>
      </c>
      <c r="I99" s="24" t="str">
        <f aca="false">IF(A99="","",G99*F99/100)</f>
        <v/>
      </c>
      <c r="J99" s="24" t="str">
        <f aca="false">IF(A99="","",I99*(1-M99/100))</f>
        <v/>
      </c>
      <c r="K99" s="25"/>
      <c r="L99" s="25"/>
      <c r="M99" s="26" t="str">
        <f aca="false">IF(A99="","",K99+L99)</f>
        <v/>
      </c>
      <c r="N99" s="25"/>
      <c r="O99" s="23"/>
      <c r="P99" s="23"/>
      <c r="Q99" s="24" t="str">
        <f aca="false">IF(A99="","",J99*(1-N99/100)-O99-P99)</f>
        <v/>
      </c>
      <c r="R99" s="25"/>
      <c r="S99" s="17" t="str">
        <f aca="false">IF(Policy!A99="","",Policy!U99)</f>
        <v/>
      </c>
      <c r="T99" s="17" t="str">
        <f aca="false">IF(OR(A99="",Policy!L99=""),"",MONTH(Policy!L99))</f>
        <v/>
      </c>
      <c r="U99" s="17" t="str">
        <f aca="false">IF(OR(A99="",Policy!L99=""),"",YEAR(Policy!L99))</f>
        <v/>
      </c>
      <c r="V99" s="17" t="str">
        <f aca="false">IF(Policy!A99="","",Policy!J99)</f>
        <v/>
      </c>
      <c r="W99" s="14"/>
    </row>
    <row r="100" customFormat="false" ht="15" hidden="false" customHeight="false" outlineLevel="0" collapsed="false">
      <c r="A100" s="17" t="str">
        <f aca="false">IF(Policy!A100="","",Policy!A100)</f>
        <v/>
      </c>
      <c r="B100" s="17" t="str">
        <f aca="false">IF(Policy!A100="","",Policy!B100)</f>
        <v/>
      </c>
      <c r="C100" s="17" t="str">
        <f aca="false">IF(Policy!A100="","",Policy!E100)</f>
        <v/>
      </c>
      <c r="D100" s="17" t="str">
        <f aca="false">IF(Policy!A100="","",Policy!G100)</f>
        <v/>
      </c>
      <c r="E100" s="17" t="str">
        <f aca="false">IF(Policy!A100="","",Policy!H100)</f>
        <v/>
      </c>
      <c r="F100" s="22" t="str">
        <f aca="false">IF(Policy!A100="","",Risk!D100)</f>
        <v/>
      </c>
      <c r="G100" s="23"/>
      <c r="H100" s="24" t="str">
        <f aca="false">IF(A100="","",G100*(1-M100/100))</f>
        <v/>
      </c>
      <c r="I100" s="24" t="str">
        <f aca="false">IF(A100="","",G100*F100/100)</f>
        <v/>
      </c>
      <c r="J100" s="24" t="str">
        <f aca="false">IF(A100="","",I100*(1-M100/100))</f>
        <v/>
      </c>
      <c r="K100" s="25"/>
      <c r="L100" s="25"/>
      <c r="M100" s="26" t="str">
        <f aca="false">IF(A100="","",K100+L100)</f>
        <v/>
      </c>
      <c r="N100" s="25"/>
      <c r="O100" s="23"/>
      <c r="P100" s="23"/>
      <c r="Q100" s="24" t="str">
        <f aca="false">IF(A100="","",J100*(1-N100/100)-O100-P100)</f>
        <v/>
      </c>
      <c r="R100" s="25"/>
      <c r="S100" s="17" t="str">
        <f aca="false">IF(Policy!A100="","",Policy!U100)</f>
        <v/>
      </c>
      <c r="T100" s="17" t="str">
        <f aca="false">IF(OR(A100="",Policy!L100=""),"",MONTH(Policy!L100))</f>
        <v/>
      </c>
      <c r="U100" s="17" t="str">
        <f aca="false">IF(OR(A100="",Policy!L100=""),"",YEAR(Policy!L100))</f>
        <v/>
      </c>
      <c r="V100" s="17" t="str">
        <f aca="false">IF(Policy!A100="","",Policy!J100)</f>
        <v/>
      </c>
      <c r="W100" s="14"/>
    </row>
    <row r="101" customFormat="false" ht="15" hidden="false" customHeight="false" outlineLevel="0" collapsed="false">
      <c r="A101" s="17" t="str">
        <f aca="false">IF(Policy!A101="","",Policy!A101)</f>
        <v/>
      </c>
      <c r="B101" s="17" t="str">
        <f aca="false">IF(Policy!A101="","",Policy!B101)</f>
        <v/>
      </c>
      <c r="C101" s="17" t="str">
        <f aca="false">IF(Policy!A101="","",Policy!E101)</f>
        <v/>
      </c>
      <c r="D101" s="17" t="str">
        <f aca="false">IF(Policy!A101="","",Policy!G101)</f>
        <v/>
      </c>
      <c r="E101" s="17" t="str">
        <f aca="false">IF(Policy!A101="","",Policy!H101)</f>
        <v/>
      </c>
      <c r="F101" s="22" t="str">
        <f aca="false">IF(Policy!A101="","",Risk!D101)</f>
        <v/>
      </c>
      <c r="G101" s="23"/>
      <c r="H101" s="24" t="str">
        <f aca="false">IF(A101="","",G101*(1-M101/100))</f>
        <v/>
      </c>
      <c r="I101" s="24" t="str">
        <f aca="false">IF(A101="","",G101*F101/100)</f>
        <v/>
      </c>
      <c r="J101" s="24" t="str">
        <f aca="false">IF(A101="","",I101*(1-M101/100))</f>
        <v/>
      </c>
      <c r="K101" s="25"/>
      <c r="L101" s="25"/>
      <c r="M101" s="26" t="str">
        <f aca="false">IF(A101="","",K101+L101)</f>
        <v/>
      </c>
      <c r="N101" s="25"/>
      <c r="O101" s="23"/>
      <c r="P101" s="23"/>
      <c r="Q101" s="24" t="str">
        <f aca="false">IF(A101="","",J101*(1-N101/100)-O101-P101)</f>
        <v/>
      </c>
      <c r="R101" s="25"/>
      <c r="S101" s="17" t="str">
        <f aca="false">IF(Policy!A101="","",Policy!U101)</f>
        <v/>
      </c>
      <c r="T101" s="17" t="str">
        <f aca="false">IF(OR(A101="",Policy!L101=""),"",MONTH(Policy!L101))</f>
        <v/>
      </c>
      <c r="U101" s="17" t="str">
        <f aca="false">IF(OR(A101="",Policy!L101=""),"",YEAR(Policy!L101))</f>
        <v/>
      </c>
      <c r="V101" s="17" t="str">
        <f aca="false">IF(Policy!A101="","",Policy!J101)</f>
        <v/>
      </c>
      <c r="W101" s="14"/>
    </row>
    <row r="102" customFormat="false" ht="15" hidden="false" customHeight="false" outlineLevel="0" collapsed="false">
      <c r="A102" s="17" t="str">
        <f aca="false">IF(Policy!A102="","",Policy!A102)</f>
        <v/>
      </c>
      <c r="B102" s="17" t="str">
        <f aca="false">IF(Policy!A102="","",Policy!B102)</f>
        <v/>
      </c>
      <c r="C102" s="17" t="str">
        <f aca="false">IF(Policy!A102="","",Policy!E102)</f>
        <v/>
      </c>
      <c r="D102" s="17" t="str">
        <f aca="false">IF(Policy!A102="","",Policy!G102)</f>
        <v/>
      </c>
      <c r="E102" s="17" t="str">
        <f aca="false">IF(Policy!A102="","",Policy!H102)</f>
        <v/>
      </c>
      <c r="F102" s="22" t="str">
        <f aca="false">IF(Policy!A102="","",Risk!D102)</f>
        <v/>
      </c>
      <c r="G102" s="23"/>
      <c r="H102" s="24" t="str">
        <f aca="false">IF(A102="","",G102*(1-M102/100))</f>
        <v/>
      </c>
      <c r="I102" s="24" t="str">
        <f aca="false">IF(A102="","",G102*F102/100)</f>
        <v/>
      </c>
      <c r="J102" s="24" t="str">
        <f aca="false">IF(A102="","",I102*(1-M102/100))</f>
        <v/>
      </c>
      <c r="K102" s="25"/>
      <c r="L102" s="25"/>
      <c r="M102" s="26" t="str">
        <f aca="false">IF(A102="","",K102+L102)</f>
        <v/>
      </c>
      <c r="N102" s="25"/>
      <c r="O102" s="23"/>
      <c r="P102" s="23"/>
      <c r="Q102" s="24" t="str">
        <f aca="false">IF(A102="","",J102*(1-N102/100)-O102-P102)</f>
        <v/>
      </c>
      <c r="R102" s="25"/>
      <c r="S102" s="17" t="str">
        <f aca="false">IF(Policy!A102="","",Policy!U102)</f>
        <v/>
      </c>
      <c r="T102" s="17" t="str">
        <f aca="false">IF(OR(A102="",Policy!L102=""),"",MONTH(Policy!L102))</f>
        <v/>
      </c>
      <c r="U102" s="17" t="str">
        <f aca="false">IF(OR(A102="",Policy!L102=""),"",YEAR(Policy!L102))</f>
        <v/>
      </c>
      <c r="V102" s="17" t="str">
        <f aca="false">IF(Policy!A102="","",Policy!J102)</f>
        <v/>
      </c>
      <c r="W102" s="14"/>
    </row>
    <row r="103" customFormat="false" ht="15" hidden="false" customHeight="false" outlineLevel="0" collapsed="false">
      <c r="A103" s="17" t="str">
        <f aca="false">IF(Policy!A103="","",Policy!A103)</f>
        <v/>
      </c>
      <c r="B103" s="17" t="str">
        <f aca="false">IF(Policy!A103="","",Policy!B103)</f>
        <v/>
      </c>
      <c r="C103" s="17" t="str">
        <f aca="false">IF(Policy!A103="","",Policy!E103)</f>
        <v/>
      </c>
      <c r="D103" s="17" t="str">
        <f aca="false">IF(Policy!A103="","",Policy!G103)</f>
        <v/>
      </c>
      <c r="E103" s="17" t="str">
        <f aca="false">IF(Policy!A103="","",Policy!H103)</f>
        <v/>
      </c>
      <c r="F103" s="22" t="str">
        <f aca="false">IF(Policy!A103="","",Risk!D103)</f>
        <v/>
      </c>
      <c r="G103" s="23"/>
      <c r="H103" s="24" t="str">
        <f aca="false">IF(A103="","",G103*(1-M103/100))</f>
        <v/>
      </c>
      <c r="I103" s="24" t="str">
        <f aca="false">IF(A103="","",G103*F103/100)</f>
        <v/>
      </c>
      <c r="J103" s="24" t="str">
        <f aca="false">IF(A103="","",I103*(1-M103/100))</f>
        <v/>
      </c>
      <c r="K103" s="25"/>
      <c r="L103" s="25"/>
      <c r="M103" s="26" t="str">
        <f aca="false">IF(A103="","",K103+L103)</f>
        <v/>
      </c>
      <c r="N103" s="25"/>
      <c r="O103" s="23"/>
      <c r="P103" s="23"/>
      <c r="Q103" s="24" t="str">
        <f aca="false">IF(A103="","",J103*(1-N103/100)-O103-P103)</f>
        <v/>
      </c>
      <c r="R103" s="25"/>
      <c r="S103" s="17" t="str">
        <f aca="false">IF(Policy!A103="","",Policy!U103)</f>
        <v/>
      </c>
      <c r="T103" s="17" t="str">
        <f aca="false">IF(OR(A103="",Policy!L103=""),"",MONTH(Policy!L103))</f>
        <v/>
      </c>
      <c r="U103" s="17" t="str">
        <f aca="false">IF(OR(A103="",Policy!L103=""),"",YEAR(Policy!L103))</f>
        <v/>
      </c>
      <c r="V103" s="17" t="str">
        <f aca="false">IF(Policy!A103="","",Policy!J103)</f>
        <v/>
      </c>
      <c r="W103" s="14"/>
    </row>
    <row r="104" customFormat="false" ht="15" hidden="false" customHeight="false" outlineLevel="0" collapsed="false">
      <c r="A104" s="17" t="str">
        <f aca="false">IF(Policy!A104="","",Policy!A104)</f>
        <v/>
      </c>
      <c r="B104" s="17" t="str">
        <f aca="false">IF(Policy!A104="","",Policy!B104)</f>
        <v/>
      </c>
      <c r="C104" s="17" t="str">
        <f aca="false">IF(Policy!A104="","",Policy!E104)</f>
        <v/>
      </c>
      <c r="D104" s="17" t="str">
        <f aca="false">IF(Policy!A104="","",Policy!G104)</f>
        <v/>
      </c>
      <c r="E104" s="17" t="str">
        <f aca="false">IF(Policy!A104="","",Policy!H104)</f>
        <v/>
      </c>
      <c r="F104" s="22" t="str">
        <f aca="false">IF(Policy!A104="","",Risk!D104)</f>
        <v/>
      </c>
      <c r="G104" s="23"/>
      <c r="H104" s="24" t="str">
        <f aca="false">IF(A104="","",G104*(1-M104/100))</f>
        <v/>
      </c>
      <c r="I104" s="24" t="str">
        <f aca="false">IF(A104="","",G104*F104/100)</f>
        <v/>
      </c>
      <c r="J104" s="24" t="str">
        <f aca="false">IF(A104="","",I104*(1-M104/100))</f>
        <v/>
      </c>
      <c r="K104" s="25"/>
      <c r="L104" s="25"/>
      <c r="M104" s="26" t="str">
        <f aca="false">IF(A104="","",K104+L104)</f>
        <v/>
      </c>
      <c r="N104" s="25"/>
      <c r="O104" s="23"/>
      <c r="P104" s="23"/>
      <c r="Q104" s="24" t="str">
        <f aca="false">IF(A104="","",J104*(1-N104/100)-O104-P104)</f>
        <v/>
      </c>
      <c r="R104" s="25"/>
      <c r="S104" s="17" t="str">
        <f aca="false">IF(Policy!A104="","",Policy!U104)</f>
        <v/>
      </c>
      <c r="T104" s="17" t="str">
        <f aca="false">IF(OR(A104="",Policy!L104=""),"",MONTH(Policy!L104))</f>
        <v/>
      </c>
      <c r="U104" s="17" t="str">
        <f aca="false">IF(OR(A104="",Policy!L104=""),"",YEAR(Policy!L104))</f>
        <v/>
      </c>
      <c r="V104" s="17" t="str">
        <f aca="false">IF(Policy!A104="","",Policy!J104)</f>
        <v/>
      </c>
      <c r="W104" s="14"/>
    </row>
    <row r="105" customFormat="false" ht="15" hidden="false" customHeight="false" outlineLevel="0" collapsed="false">
      <c r="A105" s="17" t="str">
        <f aca="false">IF(Policy!A105="","",Policy!A105)</f>
        <v/>
      </c>
      <c r="B105" s="17" t="str">
        <f aca="false">IF(Policy!A105="","",Policy!B105)</f>
        <v/>
      </c>
      <c r="C105" s="17" t="str">
        <f aca="false">IF(Policy!A105="","",Policy!E105)</f>
        <v/>
      </c>
      <c r="D105" s="17" t="str">
        <f aca="false">IF(Policy!A105="","",Policy!G105)</f>
        <v/>
      </c>
      <c r="E105" s="17" t="str">
        <f aca="false">IF(Policy!A105="","",Policy!H105)</f>
        <v/>
      </c>
      <c r="F105" s="22" t="str">
        <f aca="false">IF(Policy!A105="","",Risk!D105)</f>
        <v/>
      </c>
      <c r="G105" s="23"/>
      <c r="H105" s="24" t="str">
        <f aca="false">IF(A105="","",G105*(1-M105/100))</f>
        <v/>
      </c>
      <c r="I105" s="24" t="str">
        <f aca="false">IF(A105="","",G105*F105/100)</f>
        <v/>
      </c>
      <c r="J105" s="24" t="str">
        <f aca="false">IF(A105="","",I105*(1-M105/100))</f>
        <v/>
      </c>
      <c r="K105" s="25"/>
      <c r="L105" s="25"/>
      <c r="M105" s="26" t="str">
        <f aca="false">IF(A105="","",K105+L105)</f>
        <v/>
      </c>
      <c r="N105" s="25"/>
      <c r="O105" s="23"/>
      <c r="P105" s="23"/>
      <c r="Q105" s="24" t="str">
        <f aca="false">IF(A105="","",J105*(1-N105/100)-O105-P105)</f>
        <v/>
      </c>
      <c r="R105" s="25"/>
      <c r="S105" s="17" t="str">
        <f aca="false">IF(Policy!A105="","",Policy!U105)</f>
        <v/>
      </c>
      <c r="T105" s="17" t="str">
        <f aca="false">IF(OR(A105="",Policy!L105=""),"",MONTH(Policy!L105))</f>
        <v/>
      </c>
      <c r="U105" s="17" t="str">
        <f aca="false">IF(OR(A105="",Policy!L105=""),"",YEAR(Policy!L105))</f>
        <v/>
      </c>
      <c r="V105" s="17" t="str">
        <f aca="false">IF(Policy!A105="","",Policy!J105)</f>
        <v/>
      </c>
      <c r="W105" s="14"/>
    </row>
    <row r="106" customFormat="false" ht="15" hidden="false" customHeight="false" outlineLevel="0" collapsed="false">
      <c r="A106" s="17" t="str">
        <f aca="false">IF(Policy!A106="","",Policy!A106)</f>
        <v/>
      </c>
      <c r="B106" s="17" t="str">
        <f aca="false">IF(Policy!A106="","",Policy!B106)</f>
        <v/>
      </c>
      <c r="C106" s="17" t="str">
        <f aca="false">IF(Policy!A106="","",Policy!E106)</f>
        <v/>
      </c>
      <c r="D106" s="17" t="str">
        <f aca="false">IF(Policy!A106="","",Policy!G106)</f>
        <v/>
      </c>
      <c r="E106" s="17" t="str">
        <f aca="false">IF(Policy!A106="","",Policy!H106)</f>
        <v/>
      </c>
      <c r="F106" s="22" t="str">
        <f aca="false">IF(Policy!A106="","",Risk!D106)</f>
        <v/>
      </c>
      <c r="G106" s="23"/>
      <c r="H106" s="24" t="str">
        <f aca="false">IF(A106="","",G106*(1-M106/100))</f>
        <v/>
      </c>
      <c r="I106" s="24" t="str">
        <f aca="false">IF(A106="","",G106*F106/100)</f>
        <v/>
      </c>
      <c r="J106" s="24" t="str">
        <f aca="false">IF(A106="","",I106*(1-M106/100))</f>
        <v/>
      </c>
      <c r="K106" s="25"/>
      <c r="L106" s="25"/>
      <c r="M106" s="26" t="str">
        <f aca="false">IF(A106="","",K106+L106)</f>
        <v/>
      </c>
      <c r="N106" s="25"/>
      <c r="O106" s="23"/>
      <c r="P106" s="23"/>
      <c r="Q106" s="24" t="str">
        <f aca="false">IF(A106="","",J106*(1-N106/100)-O106-P106)</f>
        <v/>
      </c>
      <c r="R106" s="25"/>
      <c r="S106" s="17" t="str">
        <f aca="false">IF(Policy!A106="","",Policy!U106)</f>
        <v/>
      </c>
      <c r="T106" s="17" t="str">
        <f aca="false">IF(OR(A106="",Policy!L106=""),"",MONTH(Policy!L106))</f>
        <v/>
      </c>
      <c r="U106" s="17" t="str">
        <f aca="false">IF(OR(A106="",Policy!L106=""),"",YEAR(Policy!L106))</f>
        <v/>
      </c>
      <c r="V106" s="17" t="str">
        <f aca="false">IF(Policy!A106="","",Policy!J106)</f>
        <v/>
      </c>
      <c r="W106" s="14"/>
    </row>
    <row r="107" customFormat="false" ht="15" hidden="false" customHeight="false" outlineLevel="0" collapsed="false">
      <c r="A107" s="17" t="str">
        <f aca="false">IF(Policy!A107="","",Policy!A107)</f>
        <v/>
      </c>
      <c r="B107" s="17" t="str">
        <f aca="false">IF(Policy!A107="","",Policy!B107)</f>
        <v/>
      </c>
      <c r="C107" s="17" t="str">
        <f aca="false">IF(Policy!A107="","",Policy!E107)</f>
        <v/>
      </c>
      <c r="D107" s="17" t="str">
        <f aca="false">IF(Policy!A107="","",Policy!G107)</f>
        <v/>
      </c>
      <c r="E107" s="17" t="str">
        <f aca="false">IF(Policy!A107="","",Policy!H107)</f>
        <v/>
      </c>
      <c r="F107" s="22" t="str">
        <f aca="false">IF(Policy!A107="","",Risk!D107)</f>
        <v/>
      </c>
      <c r="G107" s="23"/>
      <c r="H107" s="24" t="str">
        <f aca="false">IF(A107="","",G107*(1-M107/100))</f>
        <v/>
      </c>
      <c r="I107" s="24" t="str">
        <f aca="false">IF(A107="","",G107*F107/100)</f>
        <v/>
      </c>
      <c r="J107" s="24" t="str">
        <f aca="false">IF(A107="","",I107*(1-M107/100))</f>
        <v/>
      </c>
      <c r="K107" s="25"/>
      <c r="L107" s="25"/>
      <c r="M107" s="26" t="str">
        <f aca="false">IF(A107="","",K107+L107)</f>
        <v/>
      </c>
      <c r="N107" s="25"/>
      <c r="O107" s="23"/>
      <c r="P107" s="23"/>
      <c r="Q107" s="24" t="str">
        <f aca="false">IF(A107="","",J107*(1-N107/100)-O107-P107)</f>
        <v/>
      </c>
      <c r="R107" s="25"/>
      <c r="S107" s="17" t="str">
        <f aca="false">IF(Policy!A107="","",Policy!U107)</f>
        <v/>
      </c>
      <c r="T107" s="17" t="str">
        <f aca="false">IF(OR(A107="",Policy!L107=""),"",MONTH(Policy!L107))</f>
        <v/>
      </c>
      <c r="U107" s="17" t="str">
        <f aca="false">IF(OR(A107="",Policy!L107=""),"",YEAR(Policy!L107))</f>
        <v/>
      </c>
      <c r="V107" s="17" t="str">
        <f aca="false">IF(Policy!A107="","",Policy!J107)</f>
        <v/>
      </c>
      <c r="W107" s="14"/>
    </row>
    <row r="108" customFormat="false" ht="15" hidden="false" customHeight="false" outlineLevel="0" collapsed="false">
      <c r="A108" s="17" t="str">
        <f aca="false">IF(Policy!A108="","",Policy!A108)</f>
        <v/>
      </c>
      <c r="B108" s="17" t="str">
        <f aca="false">IF(Policy!A108="","",Policy!B108)</f>
        <v/>
      </c>
      <c r="C108" s="17" t="str">
        <f aca="false">IF(Policy!A108="","",Policy!E108)</f>
        <v/>
      </c>
      <c r="D108" s="17" t="str">
        <f aca="false">IF(Policy!A108="","",Policy!G108)</f>
        <v/>
      </c>
      <c r="E108" s="17" t="str">
        <f aca="false">IF(Policy!A108="","",Policy!H108)</f>
        <v/>
      </c>
      <c r="F108" s="22" t="str">
        <f aca="false">IF(Policy!A108="","",Risk!D108)</f>
        <v/>
      </c>
      <c r="G108" s="23"/>
      <c r="H108" s="24" t="str">
        <f aca="false">IF(A108="","",G108*(1-M108/100))</f>
        <v/>
      </c>
      <c r="I108" s="24" t="str">
        <f aca="false">IF(A108="","",G108*F108/100)</f>
        <v/>
      </c>
      <c r="J108" s="24" t="str">
        <f aca="false">IF(A108="","",I108*(1-M108/100))</f>
        <v/>
      </c>
      <c r="K108" s="25"/>
      <c r="L108" s="25"/>
      <c r="M108" s="26" t="str">
        <f aca="false">IF(A108="","",K108+L108)</f>
        <v/>
      </c>
      <c r="N108" s="25"/>
      <c r="O108" s="23"/>
      <c r="P108" s="23"/>
      <c r="Q108" s="24" t="str">
        <f aca="false">IF(A108="","",J108*(1-N108/100)-O108-P108)</f>
        <v/>
      </c>
      <c r="R108" s="25"/>
      <c r="S108" s="17" t="str">
        <f aca="false">IF(Policy!A108="","",Policy!U108)</f>
        <v/>
      </c>
      <c r="T108" s="17" t="str">
        <f aca="false">IF(OR(A108="",Policy!L108=""),"",MONTH(Policy!L108))</f>
        <v/>
      </c>
      <c r="U108" s="17" t="str">
        <f aca="false">IF(OR(A108="",Policy!L108=""),"",YEAR(Policy!L108))</f>
        <v/>
      </c>
      <c r="V108" s="17" t="str">
        <f aca="false">IF(Policy!A108="","",Policy!J108)</f>
        <v/>
      </c>
      <c r="W108" s="14"/>
    </row>
    <row r="109" customFormat="false" ht="15" hidden="false" customHeight="false" outlineLevel="0" collapsed="false">
      <c r="A109" s="17" t="str">
        <f aca="false">IF(Policy!A109="","",Policy!A109)</f>
        <v/>
      </c>
      <c r="B109" s="17" t="str">
        <f aca="false">IF(Policy!A109="","",Policy!B109)</f>
        <v/>
      </c>
      <c r="C109" s="17" t="str">
        <f aca="false">IF(Policy!A109="","",Policy!E109)</f>
        <v/>
      </c>
      <c r="D109" s="17" t="str">
        <f aca="false">IF(Policy!A109="","",Policy!G109)</f>
        <v/>
      </c>
      <c r="E109" s="17" t="str">
        <f aca="false">IF(Policy!A109="","",Policy!H109)</f>
        <v/>
      </c>
      <c r="F109" s="22" t="str">
        <f aca="false">IF(Policy!A109="","",Risk!D109)</f>
        <v/>
      </c>
      <c r="G109" s="23"/>
      <c r="H109" s="24" t="str">
        <f aca="false">IF(A109="","",G109*(1-M109/100))</f>
        <v/>
      </c>
      <c r="I109" s="24" t="str">
        <f aca="false">IF(A109="","",G109*F109/100)</f>
        <v/>
      </c>
      <c r="J109" s="24" t="str">
        <f aca="false">IF(A109="","",I109*(1-M109/100))</f>
        <v/>
      </c>
      <c r="K109" s="25"/>
      <c r="L109" s="25"/>
      <c r="M109" s="26" t="str">
        <f aca="false">IF(A109="","",K109+L109)</f>
        <v/>
      </c>
      <c r="N109" s="25"/>
      <c r="O109" s="23"/>
      <c r="P109" s="23"/>
      <c r="Q109" s="24" t="str">
        <f aca="false">IF(A109="","",J109*(1-N109/100)-O109-P109)</f>
        <v/>
      </c>
      <c r="R109" s="25"/>
      <c r="S109" s="17" t="str">
        <f aca="false">IF(Policy!A109="","",Policy!U109)</f>
        <v/>
      </c>
      <c r="T109" s="17" t="str">
        <f aca="false">IF(OR(A109="",Policy!L109=""),"",MONTH(Policy!L109))</f>
        <v/>
      </c>
      <c r="U109" s="17" t="str">
        <f aca="false">IF(OR(A109="",Policy!L109=""),"",YEAR(Policy!L109))</f>
        <v/>
      </c>
      <c r="V109" s="17" t="str">
        <f aca="false">IF(Policy!A109="","",Policy!J109)</f>
        <v/>
      </c>
      <c r="W109" s="14"/>
    </row>
    <row r="110" customFormat="false" ht="15" hidden="false" customHeight="false" outlineLevel="0" collapsed="false">
      <c r="A110" s="17" t="str">
        <f aca="false">IF(Policy!A110="","",Policy!A110)</f>
        <v/>
      </c>
      <c r="B110" s="17" t="str">
        <f aca="false">IF(Policy!A110="","",Policy!B110)</f>
        <v/>
      </c>
      <c r="C110" s="17" t="str">
        <f aca="false">IF(Policy!A110="","",Policy!E110)</f>
        <v/>
      </c>
      <c r="D110" s="17" t="str">
        <f aca="false">IF(Policy!A110="","",Policy!G110)</f>
        <v/>
      </c>
      <c r="E110" s="17" t="str">
        <f aca="false">IF(Policy!A110="","",Policy!H110)</f>
        <v/>
      </c>
      <c r="F110" s="22" t="str">
        <f aca="false">IF(Policy!A110="","",Risk!D110)</f>
        <v/>
      </c>
      <c r="G110" s="23"/>
      <c r="H110" s="24" t="str">
        <f aca="false">IF(A110="","",G110*(1-M110/100))</f>
        <v/>
      </c>
      <c r="I110" s="24" t="str">
        <f aca="false">IF(A110="","",G110*F110/100)</f>
        <v/>
      </c>
      <c r="J110" s="24" t="str">
        <f aca="false">IF(A110="","",I110*(1-M110/100))</f>
        <v/>
      </c>
      <c r="K110" s="25"/>
      <c r="L110" s="25"/>
      <c r="M110" s="26" t="str">
        <f aca="false">IF(A110="","",K110+L110)</f>
        <v/>
      </c>
      <c r="N110" s="25"/>
      <c r="O110" s="23"/>
      <c r="P110" s="23"/>
      <c r="Q110" s="24" t="str">
        <f aca="false">IF(A110="","",J110*(1-N110/100)-O110-P110)</f>
        <v/>
      </c>
      <c r="R110" s="25"/>
      <c r="S110" s="17" t="str">
        <f aca="false">IF(Policy!A110="","",Policy!U110)</f>
        <v/>
      </c>
      <c r="T110" s="17" t="str">
        <f aca="false">IF(OR(A110="",Policy!L110=""),"",MONTH(Policy!L110))</f>
        <v/>
      </c>
      <c r="U110" s="17" t="str">
        <f aca="false">IF(OR(A110="",Policy!L110=""),"",YEAR(Policy!L110))</f>
        <v/>
      </c>
      <c r="V110" s="17" t="str">
        <f aca="false">IF(Policy!A110="","",Policy!J110)</f>
        <v/>
      </c>
      <c r="W110" s="14"/>
    </row>
    <row r="111" customFormat="false" ht="15" hidden="false" customHeight="false" outlineLevel="0" collapsed="false">
      <c r="A111" s="17" t="str">
        <f aca="false">IF(Policy!A111="","",Policy!A111)</f>
        <v/>
      </c>
      <c r="B111" s="17" t="str">
        <f aca="false">IF(Policy!A111="","",Policy!B111)</f>
        <v/>
      </c>
      <c r="C111" s="17" t="str">
        <f aca="false">IF(Policy!A111="","",Policy!E111)</f>
        <v/>
      </c>
      <c r="D111" s="17" t="str">
        <f aca="false">IF(Policy!A111="","",Policy!G111)</f>
        <v/>
      </c>
      <c r="E111" s="17" t="str">
        <f aca="false">IF(Policy!A111="","",Policy!H111)</f>
        <v/>
      </c>
      <c r="F111" s="22" t="str">
        <f aca="false">IF(Policy!A111="","",Risk!D111)</f>
        <v/>
      </c>
      <c r="G111" s="23"/>
      <c r="H111" s="24" t="str">
        <f aca="false">IF(A111="","",G111*(1-M111/100))</f>
        <v/>
      </c>
      <c r="I111" s="24" t="str">
        <f aca="false">IF(A111="","",G111*F111/100)</f>
        <v/>
      </c>
      <c r="J111" s="24" t="str">
        <f aca="false">IF(A111="","",I111*(1-M111/100))</f>
        <v/>
      </c>
      <c r="K111" s="25"/>
      <c r="L111" s="25"/>
      <c r="M111" s="26" t="str">
        <f aca="false">IF(A111="","",K111+L111)</f>
        <v/>
      </c>
      <c r="N111" s="25"/>
      <c r="O111" s="23"/>
      <c r="P111" s="23"/>
      <c r="Q111" s="24" t="str">
        <f aca="false">IF(A111="","",J111*(1-N111/100)-O111-P111)</f>
        <v/>
      </c>
      <c r="R111" s="25"/>
      <c r="S111" s="17" t="str">
        <f aca="false">IF(Policy!A111="","",Policy!U111)</f>
        <v/>
      </c>
      <c r="T111" s="17" t="str">
        <f aca="false">IF(OR(A111="",Policy!L111=""),"",MONTH(Policy!L111))</f>
        <v/>
      </c>
      <c r="U111" s="17" t="str">
        <f aca="false">IF(OR(A111="",Policy!L111=""),"",YEAR(Policy!L111))</f>
        <v/>
      </c>
      <c r="V111" s="17" t="str">
        <f aca="false">IF(Policy!A111="","",Policy!J111)</f>
        <v/>
      </c>
      <c r="W111" s="14"/>
    </row>
    <row r="112" customFormat="false" ht="15" hidden="false" customHeight="false" outlineLevel="0" collapsed="false">
      <c r="A112" s="17" t="str">
        <f aca="false">IF(Policy!A112="","",Policy!A112)</f>
        <v/>
      </c>
      <c r="B112" s="17" t="str">
        <f aca="false">IF(Policy!A112="","",Policy!B112)</f>
        <v/>
      </c>
      <c r="C112" s="17" t="str">
        <f aca="false">IF(Policy!A112="","",Policy!E112)</f>
        <v/>
      </c>
      <c r="D112" s="17" t="str">
        <f aca="false">IF(Policy!A112="","",Policy!G112)</f>
        <v/>
      </c>
      <c r="E112" s="17" t="str">
        <f aca="false">IF(Policy!A112="","",Policy!H112)</f>
        <v/>
      </c>
      <c r="F112" s="22" t="str">
        <f aca="false">IF(Policy!A112="","",Risk!D112)</f>
        <v/>
      </c>
      <c r="G112" s="23"/>
      <c r="H112" s="24" t="str">
        <f aca="false">IF(A112="","",G112*(1-M112/100))</f>
        <v/>
      </c>
      <c r="I112" s="24" t="str">
        <f aca="false">IF(A112="","",G112*F112/100)</f>
        <v/>
      </c>
      <c r="J112" s="24" t="str">
        <f aca="false">IF(A112="","",I112*(1-M112/100))</f>
        <v/>
      </c>
      <c r="K112" s="25"/>
      <c r="L112" s="25"/>
      <c r="M112" s="26" t="str">
        <f aca="false">IF(A112="","",K112+L112)</f>
        <v/>
      </c>
      <c r="N112" s="25"/>
      <c r="O112" s="23"/>
      <c r="P112" s="23"/>
      <c r="Q112" s="24" t="str">
        <f aca="false">IF(A112="","",J112*(1-N112/100)-O112-P112)</f>
        <v/>
      </c>
      <c r="R112" s="25"/>
      <c r="S112" s="17" t="str">
        <f aca="false">IF(Policy!A112="","",Policy!U112)</f>
        <v/>
      </c>
      <c r="T112" s="17" t="str">
        <f aca="false">IF(OR(A112="",Policy!L112=""),"",MONTH(Policy!L112))</f>
        <v/>
      </c>
      <c r="U112" s="17" t="str">
        <f aca="false">IF(OR(A112="",Policy!L112=""),"",YEAR(Policy!L112))</f>
        <v/>
      </c>
      <c r="V112" s="17" t="str">
        <f aca="false">IF(Policy!A112="","",Policy!J112)</f>
        <v/>
      </c>
      <c r="W112" s="14"/>
    </row>
    <row r="113" customFormat="false" ht="15" hidden="false" customHeight="false" outlineLevel="0" collapsed="false">
      <c r="A113" s="17" t="str">
        <f aca="false">IF(Policy!A113="","",Policy!A113)</f>
        <v/>
      </c>
      <c r="B113" s="17" t="str">
        <f aca="false">IF(Policy!A113="","",Policy!B113)</f>
        <v/>
      </c>
      <c r="C113" s="17" t="str">
        <f aca="false">IF(Policy!A113="","",Policy!E113)</f>
        <v/>
      </c>
      <c r="D113" s="17" t="str">
        <f aca="false">IF(Policy!A113="","",Policy!G113)</f>
        <v/>
      </c>
      <c r="E113" s="17" t="str">
        <f aca="false">IF(Policy!A113="","",Policy!H113)</f>
        <v/>
      </c>
      <c r="F113" s="22" t="str">
        <f aca="false">IF(Policy!A113="","",Risk!D113)</f>
        <v/>
      </c>
      <c r="G113" s="23"/>
      <c r="H113" s="24" t="str">
        <f aca="false">IF(A113="","",G113*(1-M113/100))</f>
        <v/>
      </c>
      <c r="I113" s="24" t="str">
        <f aca="false">IF(A113="","",G113*F113/100)</f>
        <v/>
      </c>
      <c r="J113" s="24" t="str">
        <f aca="false">IF(A113="","",I113*(1-M113/100))</f>
        <v/>
      </c>
      <c r="K113" s="25"/>
      <c r="L113" s="25"/>
      <c r="M113" s="26" t="str">
        <f aca="false">IF(A113="","",K113+L113)</f>
        <v/>
      </c>
      <c r="N113" s="25"/>
      <c r="O113" s="23"/>
      <c r="P113" s="23"/>
      <c r="Q113" s="24" t="str">
        <f aca="false">IF(A113="","",J113*(1-N113/100)-O113-P113)</f>
        <v/>
      </c>
      <c r="R113" s="25"/>
      <c r="S113" s="17" t="str">
        <f aca="false">IF(Policy!A113="","",Policy!U113)</f>
        <v/>
      </c>
      <c r="T113" s="17" t="str">
        <f aca="false">IF(OR(A113="",Policy!L113=""),"",MONTH(Policy!L113))</f>
        <v/>
      </c>
      <c r="U113" s="17" t="str">
        <f aca="false">IF(OR(A113="",Policy!L113=""),"",YEAR(Policy!L113))</f>
        <v/>
      </c>
      <c r="V113" s="17" t="str">
        <f aca="false">IF(Policy!A113="","",Policy!J113)</f>
        <v/>
      </c>
      <c r="W113" s="14"/>
    </row>
    <row r="114" customFormat="false" ht="15" hidden="false" customHeight="false" outlineLevel="0" collapsed="false">
      <c r="A114" s="17" t="str">
        <f aca="false">IF(Policy!A114="","",Policy!A114)</f>
        <v/>
      </c>
      <c r="B114" s="17" t="str">
        <f aca="false">IF(Policy!A114="","",Policy!B114)</f>
        <v/>
      </c>
      <c r="C114" s="17" t="str">
        <f aca="false">IF(Policy!A114="","",Policy!E114)</f>
        <v/>
      </c>
      <c r="D114" s="17" t="str">
        <f aca="false">IF(Policy!A114="","",Policy!G114)</f>
        <v/>
      </c>
      <c r="E114" s="17" t="str">
        <f aca="false">IF(Policy!A114="","",Policy!H114)</f>
        <v/>
      </c>
      <c r="F114" s="22" t="str">
        <f aca="false">IF(Policy!A114="","",Risk!D114)</f>
        <v/>
      </c>
      <c r="G114" s="23"/>
      <c r="H114" s="24" t="str">
        <f aca="false">IF(A114="","",G114*(1-M114/100))</f>
        <v/>
      </c>
      <c r="I114" s="24" t="str">
        <f aca="false">IF(A114="","",G114*F114/100)</f>
        <v/>
      </c>
      <c r="J114" s="24" t="str">
        <f aca="false">IF(A114="","",I114*(1-M114/100))</f>
        <v/>
      </c>
      <c r="K114" s="25"/>
      <c r="L114" s="25"/>
      <c r="M114" s="26" t="str">
        <f aca="false">IF(A114="","",K114+L114)</f>
        <v/>
      </c>
      <c r="N114" s="25"/>
      <c r="O114" s="23"/>
      <c r="P114" s="23"/>
      <c r="Q114" s="24" t="str">
        <f aca="false">IF(A114="","",J114*(1-N114/100)-O114-P114)</f>
        <v/>
      </c>
      <c r="R114" s="25"/>
      <c r="S114" s="17" t="str">
        <f aca="false">IF(Policy!A114="","",Policy!U114)</f>
        <v/>
      </c>
      <c r="T114" s="17" t="str">
        <f aca="false">IF(OR(A114="",Policy!L114=""),"",MONTH(Policy!L114))</f>
        <v/>
      </c>
      <c r="U114" s="17" t="str">
        <f aca="false">IF(OR(A114="",Policy!L114=""),"",YEAR(Policy!L114))</f>
        <v/>
      </c>
      <c r="V114" s="17" t="str">
        <f aca="false">IF(Policy!A114="","",Policy!J114)</f>
        <v/>
      </c>
      <c r="W114" s="14"/>
    </row>
    <row r="115" customFormat="false" ht="15" hidden="false" customHeight="false" outlineLevel="0" collapsed="false">
      <c r="A115" s="17" t="str">
        <f aca="false">IF(Policy!A115="","",Policy!A115)</f>
        <v/>
      </c>
      <c r="B115" s="17" t="str">
        <f aca="false">IF(Policy!A115="","",Policy!B115)</f>
        <v/>
      </c>
      <c r="C115" s="17" t="str">
        <f aca="false">IF(Policy!A115="","",Policy!E115)</f>
        <v/>
      </c>
      <c r="D115" s="17" t="str">
        <f aca="false">IF(Policy!A115="","",Policy!G115)</f>
        <v/>
      </c>
      <c r="E115" s="17" t="str">
        <f aca="false">IF(Policy!A115="","",Policy!H115)</f>
        <v/>
      </c>
      <c r="F115" s="22" t="str">
        <f aca="false">IF(Policy!A115="","",Risk!D115)</f>
        <v/>
      </c>
      <c r="G115" s="23"/>
      <c r="H115" s="24" t="str">
        <f aca="false">IF(A115="","",G115*(1-M115/100))</f>
        <v/>
      </c>
      <c r="I115" s="24" t="str">
        <f aca="false">IF(A115="","",G115*F115/100)</f>
        <v/>
      </c>
      <c r="J115" s="24" t="str">
        <f aca="false">IF(A115="","",I115*(1-M115/100))</f>
        <v/>
      </c>
      <c r="K115" s="25"/>
      <c r="L115" s="25"/>
      <c r="M115" s="26" t="str">
        <f aca="false">IF(A115="","",K115+L115)</f>
        <v/>
      </c>
      <c r="N115" s="25"/>
      <c r="O115" s="23"/>
      <c r="P115" s="23"/>
      <c r="Q115" s="24" t="str">
        <f aca="false">IF(A115="","",J115*(1-N115/100)-O115-P115)</f>
        <v/>
      </c>
      <c r="R115" s="25"/>
      <c r="S115" s="17" t="str">
        <f aca="false">IF(Policy!A115="","",Policy!U115)</f>
        <v/>
      </c>
      <c r="T115" s="17" t="str">
        <f aca="false">IF(OR(A115="",Policy!L115=""),"",MONTH(Policy!L115))</f>
        <v/>
      </c>
      <c r="U115" s="17" t="str">
        <f aca="false">IF(OR(A115="",Policy!L115=""),"",YEAR(Policy!L115))</f>
        <v/>
      </c>
      <c r="V115" s="17" t="str">
        <f aca="false">IF(Policy!A115="","",Policy!J115)</f>
        <v/>
      </c>
      <c r="W115" s="14"/>
    </row>
    <row r="116" customFormat="false" ht="15" hidden="false" customHeight="false" outlineLevel="0" collapsed="false">
      <c r="A116" s="17" t="str">
        <f aca="false">IF(Policy!A116="","",Policy!A116)</f>
        <v/>
      </c>
      <c r="B116" s="17" t="str">
        <f aca="false">IF(Policy!A116="","",Policy!B116)</f>
        <v/>
      </c>
      <c r="C116" s="17" t="str">
        <f aca="false">IF(Policy!A116="","",Policy!E116)</f>
        <v/>
      </c>
      <c r="D116" s="17" t="str">
        <f aca="false">IF(Policy!A116="","",Policy!G116)</f>
        <v/>
      </c>
      <c r="E116" s="17" t="str">
        <f aca="false">IF(Policy!A116="","",Policy!H116)</f>
        <v/>
      </c>
      <c r="F116" s="22" t="str">
        <f aca="false">IF(Policy!A116="","",Risk!D116)</f>
        <v/>
      </c>
      <c r="G116" s="23"/>
      <c r="H116" s="24" t="str">
        <f aca="false">IF(A116="","",G116*(1-M116/100))</f>
        <v/>
      </c>
      <c r="I116" s="24" t="str">
        <f aca="false">IF(A116="","",G116*F116/100)</f>
        <v/>
      </c>
      <c r="J116" s="24" t="str">
        <f aca="false">IF(A116="","",I116*(1-M116/100))</f>
        <v/>
      </c>
      <c r="K116" s="25"/>
      <c r="L116" s="25"/>
      <c r="M116" s="26" t="str">
        <f aca="false">IF(A116="","",K116+L116)</f>
        <v/>
      </c>
      <c r="N116" s="25"/>
      <c r="O116" s="23"/>
      <c r="P116" s="23"/>
      <c r="Q116" s="24" t="str">
        <f aca="false">IF(A116="","",J116*(1-N116/100)-O116-P116)</f>
        <v/>
      </c>
      <c r="R116" s="25"/>
      <c r="S116" s="17" t="str">
        <f aca="false">IF(Policy!A116="","",Policy!U116)</f>
        <v/>
      </c>
      <c r="T116" s="17" t="str">
        <f aca="false">IF(OR(A116="",Policy!L116=""),"",MONTH(Policy!L116))</f>
        <v/>
      </c>
      <c r="U116" s="17" t="str">
        <f aca="false">IF(OR(A116="",Policy!L116=""),"",YEAR(Policy!L116))</f>
        <v/>
      </c>
      <c r="V116" s="17" t="str">
        <f aca="false">IF(Policy!A116="","",Policy!J116)</f>
        <v/>
      </c>
      <c r="W116" s="14"/>
    </row>
    <row r="117" customFormat="false" ht="15" hidden="false" customHeight="false" outlineLevel="0" collapsed="false">
      <c r="A117" s="17" t="str">
        <f aca="false">IF(Policy!A117="","",Policy!A117)</f>
        <v/>
      </c>
      <c r="B117" s="17" t="str">
        <f aca="false">IF(Policy!A117="","",Policy!B117)</f>
        <v/>
      </c>
      <c r="C117" s="17" t="str">
        <f aca="false">IF(Policy!A117="","",Policy!E117)</f>
        <v/>
      </c>
      <c r="D117" s="17" t="str">
        <f aca="false">IF(Policy!A117="","",Policy!G117)</f>
        <v/>
      </c>
      <c r="E117" s="17" t="str">
        <f aca="false">IF(Policy!A117="","",Policy!H117)</f>
        <v/>
      </c>
      <c r="F117" s="22" t="str">
        <f aca="false">IF(Policy!A117="","",Risk!D117)</f>
        <v/>
      </c>
      <c r="G117" s="23"/>
      <c r="H117" s="24" t="str">
        <f aca="false">IF(A117="","",G117*(1-M117/100))</f>
        <v/>
      </c>
      <c r="I117" s="24" t="str">
        <f aca="false">IF(A117="","",G117*F117/100)</f>
        <v/>
      </c>
      <c r="J117" s="24" t="str">
        <f aca="false">IF(A117="","",I117*(1-M117/100))</f>
        <v/>
      </c>
      <c r="K117" s="25"/>
      <c r="L117" s="25"/>
      <c r="M117" s="26" t="str">
        <f aca="false">IF(A117="","",K117+L117)</f>
        <v/>
      </c>
      <c r="N117" s="25"/>
      <c r="O117" s="23"/>
      <c r="P117" s="23"/>
      <c r="Q117" s="24" t="str">
        <f aca="false">IF(A117="","",J117*(1-N117/100)-O117-P117)</f>
        <v/>
      </c>
      <c r="R117" s="25"/>
      <c r="S117" s="17" t="str">
        <f aca="false">IF(Policy!A117="","",Policy!U117)</f>
        <v/>
      </c>
      <c r="T117" s="17" t="str">
        <f aca="false">IF(OR(A117="",Policy!L117=""),"",MONTH(Policy!L117))</f>
        <v/>
      </c>
      <c r="U117" s="17" t="str">
        <f aca="false">IF(OR(A117="",Policy!L117=""),"",YEAR(Policy!L117))</f>
        <v/>
      </c>
      <c r="V117" s="17" t="str">
        <f aca="false">IF(Policy!A117="","",Policy!J117)</f>
        <v/>
      </c>
      <c r="W117" s="14"/>
    </row>
    <row r="118" customFormat="false" ht="15" hidden="false" customHeight="false" outlineLevel="0" collapsed="false">
      <c r="A118" s="17" t="str">
        <f aca="false">IF(Policy!A118="","",Policy!A118)</f>
        <v/>
      </c>
      <c r="B118" s="17" t="str">
        <f aca="false">IF(Policy!A118="","",Policy!B118)</f>
        <v/>
      </c>
      <c r="C118" s="17" t="str">
        <f aca="false">IF(Policy!A118="","",Policy!E118)</f>
        <v/>
      </c>
      <c r="D118" s="17" t="str">
        <f aca="false">IF(Policy!A118="","",Policy!G118)</f>
        <v/>
      </c>
      <c r="E118" s="17" t="str">
        <f aca="false">IF(Policy!A118="","",Policy!H118)</f>
        <v/>
      </c>
      <c r="F118" s="22" t="str">
        <f aca="false">IF(Policy!A118="","",Risk!D118)</f>
        <v/>
      </c>
      <c r="G118" s="23"/>
      <c r="H118" s="24" t="str">
        <f aca="false">IF(A118="","",G118*(1-M118/100))</f>
        <v/>
      </c>
      <c r="I118" s="24" t="str">
        <f aca="false">IF(A118="","",G118*F118/100)</f>
        <v/>
      </c>
      <c r="J118" s="24" t="str">
        <f aca="false">IF(A118="","",I118*(1-M118/100))</f>
        <v/>
      </c>
      <c r="K118" s="25"/>
      <c r="L118" s="25"/>
      <c r="M118" s="26" t="str">
        <f aca="false">IF(A118="","",K118+L118)</f>
        <v/>
      </c>
      <c r="N118" s="25"/>
      <c r="O118" s="23"/>
      <c r="P118" s="23"/>
      <c r="Q118" s="24" t="str">
        <f aca="false">IF(A118="","",J118*(1-N118/100)-O118-P118)</f>
        <v/>
      </c>
      <c r="R118" s="25"/>
      <c r="S118" s="17" t="str">
        <f aca="false">IF(Policy!A118="","",Policy!U118)</f>
        <v/>
      </c>
      <c r="T118" s="17" t="str">
        <f aca="false">IF(OR(A118="",Policy!L118=""),"",MONTH(Policy!L118))</f>
        <v/>
      </c>
      <c r="U118" s="17" t="str">
        <f aca="false">IF(OR(A118="",Policy!L118=""),"",YEAR(Policy!L118))</f>
        <v/>
      </c>
      <c r="V118" s="17" t="str">
        <f aca="false">IF(Policy!A118="","",Policy!J118)</f>
        <v/>
      </c>
      <c r="W118" s="14"/>
    </row>
    <row r="119" customFormat="false" ht="15" hidden="false" customHeight="false" outlineLevel="0" collapsed="false">
      <c r="A119" s="17" t="str">
        <f aca="false">IF(Policy!A119="","",Policy!A119)</f>
        <v/>
      </c>
      <c r="B119" s="17" t="str">
        <f aca="false">IF(Policy!A119="","",Policy!B119)</f>
        <v/>
      </c>
      <c r="C119" s="17" t="str">
        <f aca="false">IF(Policy!A119="","",Policy!E119)</f>
        <v/>
      </c>
      <c r="D119" s="17" t="str">
        <f aca="false">IF(Policy!A119="","",Policy!G119)</f>
        <v/>
      </c>
      <c r="E119" s="17" t="str">
        <f aca="false">IF(Policy!A119="","",Policy!H119)</f>
        <v/>
      </c>
      <c r="F119" s="22" t="str">
        <f aca="false">IF(Policy!A119="","",Risk!D119)</f>
        <v/>
      </c>
      <c r="G119" s="23"/>
      <c r="H119" s="24" t="str">
        <f aca="false">IF(A119="","",G119*(1-M119/100))</f>
        <v/>
      </c>
      <c r="I119" s="24" t="str">
        <f aca="false">IF(A119="","",G119*F119/100)</f>
        <v/>
      </c>
      <c r="J119" s="24" t="str">
        <f aca="false">IF(A119="","",I119*(1-M119/100))</f>
        <v/>
      </c>
      <c r="K119" s="25"/>
      <c r="L119" s="25"/>
      <c r="M119" s="26" t="str">
        <f aca="false">IF(A119="","",K119+L119)</f>
        <v/>
      </c>
      <c r="N119" s="25"/>
      <c r="O119" s="23"/>
      <c r="P119" s="23"/>
      <c r="Q119" s="24" t="str">
        <f aca="false">IF(A119="","",J119*(1-N119/100)-O119-P119)</f>
        <v/>
      </c>
      <c r="R119" s="25"/>
      <c r="S119" s="17" t="str">
        <f aca="false">IF(Policy!A119="","",Policy!U119)</f>
        <v/>
      </c>
      <c r="T119" s="17" t="str">
        <f aca="false">IF(OR(A119="",Policy!L119=""),"",MONTH(Policy!L119))</f>
        <v/>
      </c>
      <c r="U119" s="17" t="str">
        <f aca="false">IF(OR(A119="",Policy!L119=""),"",YEAR(Policy!L119))</f>
        <v/>
      </c>
      <c r="V119" s="17" t="str">
        <f aca="false">IF(Policy!A119="","",Policy!J119)</f>
        <v/>
      </c>
      <c r="W119" s="14"/>
    </row>
    <row r="120" customFormat="false" ht="15" hidden="false" customHeight="false" outlineLevel="0" collapsed="false">
      <c r="A120" s="17" t="str">
        <f aca="false">IF(Policy!A120="","",Policy!A120)</f>
        <v/>
      </c>
      <c r="B120" s="17" t="str">
        <f aca="false">IF(Policy!A120="","",Policy!B120)</f>
        <v/>
      </c>
      <c r="C120" s="17" t="str">
        <f aca="false">IF(Policy!A120="","",Policy!E120)</f>
        <v/>
      </c>
      <c r="D120" s="17" t="str">
        <f aca="false">IF(Policy!A120="","",Policy!G120)</f>
        <v/>
      </c>
      <c r="E120" s="17" t="str">
        <f aca="false">IF(Policy!A120="","",Policy!H120)</f>
        <v/>
      </c>
      <c r="F120" s="22" t="str">
        <f aca="false">IF(Policy!A120="","",Risk!D120)</f>
        <v/>
      </c>
      <c r="G120" s="23"/>
      <c r="H120" s="24" t="str">
        <f aca="false">IF(A120="","",G120*(1-M120/100))</f>
        <v/>
      </c>
      <c r="I120" s="24" t="str">
        <f aca="false">IF(A120="","",G120*F120/100)</f>
        <v/>
      </c>
      <c r="J120" s="24" t="str">
        <f aca="false">IF(A120="","",I120*(1-M120/100))</f>
        <v/>
      </c>
      <c r="K120" s="25"/>
      <c r="L120" s="25"/>
      <c r="M120" s="26" t="str">
        <f aca="false">IF(A120="","",K120+L120)</f>
        <v/>
      </c>
      <c r="N120" s="25"/>
      <c r="O120" s="23"/>
      <c r="P120" s="23"/>
      <c r="Q120" s="24" t="str">
        <f aca="false">IF(A120="","",J120*(1-N120/100)-O120-P120)</f>
        <v/>
      </c>
      <c r="R120" s="25"/>
      <c r="S120" s="17" t="str">
        <f aca="false">IF(Policy!A120="","",Policy!U120)</f>
        <v/>
      </c>
      <c r="T120" s="17" t="str">
        <f aca="false">IF(OR(A120="",Policy!L120=""),"",MONTH(Policy!L120))</f>
        <v/>
      </c>
      <c r="U120" s="17" t="str">
        <f aca="false">IF(OR(A120="",Policy!L120=""),"",YEAR(Policy!L120))</f>
        <v/>
      </c>
      <c r="V120" s="17" t="str">
        <f aca="false">IF(Policy!A120="","",Policy!J120)</f>
        <v/>
      </c>
      <c r="W120" s="14"/>
    </row>
    <row r="121" customFormat="false" ht="15" hidden="false" customHeight="false" outlineLevel="0" collapsed="false">
      <c r="A121" s="17" t="str">
        <f aca="false">IF(Policy!A121="","",Policy!A121)</f>
        <v/>
      </c>
      <c r="B121" s="17" t="str">
        <f aca="false">IF(Policy!A121="","",Policy!B121)</f>
        <v/>
      </c>
      <c r="C121" s="17" t="str">
        <f aca="false">IF(Policy!A121="","",Policy!E121)</f>
        <v/>
      </c>
      <c r="D121" s="17" t="str">
        <f aca="false">IF(Policy!A121="","",Policy!G121)</f>
        <v/>
      </c>
      <c r="E121" s="17" t="str">
        <f aca="false">IF(Policy!A121="","",Policy!H121)</f>
        <v/>
      </c>
      <c r="F121" s="22" t="str">
        <f aca="false">IF(Policy!A121="","",Risk!D121)</f>
        <v/>
      </c>
      <c r="G121" s="23"/>
      <c r="H121" s="24" t="str">
        <f aca="false">IF(A121="","",G121*(1-M121/100))</f>
        <v/>
      </c>
      <c r="I121" s="24" t="str">
        <f aca="false">IF(A121="","",G121*F121/100)</f>
        <v/>
      </c>
      <c r="J121" s="24" t="str">
        <f aca="false">IF(A121="","",I121*(1-M121/100))</f>
        <v/>
      </c>
      <c r="K121" s="25"/>
      <c r="L121" s="25"/>
      <c r="M121" s="26" t="str">
        <f aca="false">IF(A121="","",K121+L121)</f>
        <v/>
      </c>
      <c r="N121" s="25"/>
      <c r="O121" s="23"/>
      <c r="P121" s="23"/>
      <c r="Q121" s="24" t="str">
        <f aca="false">IF(A121="","",J121*(1-N121/100)-O121-P121)</f>
        <v/>
      </c>
      <c r="R121" s="25"/>
      <c r="S121" s="17" t="str">
        <f aca="false">IF(Policy!A121="","",Policy!U121)</f>
        <v/>
      </c>
      <c r="T121" s="17" t="str">
        <f aca="false">IF(OR(A121="",Policy!L121=""),"",MONTH(Policy!L121))</f>
        <v/>
      </c>
      <c r="U121" s="17" t="str">
        <f aca="false">IF(OR(A121="",Policy!L121=""),"",YEAR(Policy!L121))</f>
        <v/>
      </c>
      <c r="V121" s="17" t="str">
        <f aca="false">IF(Policy!A121="","",Policy!J121)</f>
        <v/>
      </c>
      <c r="W121" s="14"/>
    </row>
    <row r="122" customFormat="false" ht="15" hidden="false" customHeight="false" outlineLevel="0" collapsed="false">
      <c r="A122" s="17" t="str">
        <f aca="false">IF(Policy!A122="","",Policy!A122)</f>
        <v/>
      </c>
      <c r="B122" s="17" t="str">
        <f aca="false">IF(Policy!A122="","",Policy!B122)</f>
        <v/>
      </c>
      <c r="C122" s="17" t="str">
        <f aca="false">IF(Policy!A122="","",Policy!E122)</f>
        <v/>
      </c>
      <c r="D122" s="17" t="str">
        <f aca="false">IF(Policy!A122="","",Policy!G122)</f>
        <v/>
      </c>
      <c r="E122" s="17" t="str">
        <f aca="false">IF(Policy!A122="","",Policy!H122)</f>
        <v/>
      </c>
      <c r="F122" s="22" t="str">
        <f aca="false">IF(Policy!A122="","",Risk!D122)</f>
        <v/>
      </c>
      <c r="G122" s="23"/>
      <c r="H122" s="24" t="str">
        <f aca="false">IF(A122="","",G122*(1-M122/100))</f>
        <v/>
      </c>
      <c r="I122" s="24" t="str">
        <f aca="false">IF(A122="","",G122*F122/100)</f>
        <v/>
      </c>
      <c r="J122" s="24" t="str">
        <f aca="false">IF(A122="","",I122*(1-M122/100))</f>
        <v/>
      </c>
      <c r="K122" s="25"/>
      <c r="L122" s="25"/>
      <c r="M122" s="26" t="str">
        <f aca="false">IF(A122="","",K122+L122)</f>
        <v/>
      </c>
      <c r="N122" s="25"/>
      <c r="O122" s="23"/>
      <c r="P122" s="23"/>
      <c r="Q122" s="24" t="str">
        <f aca="false">IF(A122="","",J122*(1-N122/100)-O122-P122)</f>
        <v/>
      </c>
      <c r="R122" s="25"/>
      <c r="S122" s="17" t="str">
        <f aca="false">IF(Policy!A122="","",Policy!U122)</f>
        <v/>
      </c>
      <c r="T122" s="17" t="str">
        <f aca="false">IF(OR(A122="",Policy!L122=""),"",MONTH(Policy!L122))</f>
        <v/>
      </c>
      <c r="U122" s="17" t="str">
        <f aca="false">IF(OR(A122="",Policy!L122=""),"",YEAR(Policy!L122))</f>
        <v/>
      </c>
      <c r="V122" s="17" t="str">
        <f aca="false">IF(Policy!A122="","",Policy!J122)</f>
        <v/>
      </c>
      <c r="W122" s="14"/>
    </row>
    <row r="123" customFormat="false" ht="15" hidden="false" customHeight="false" outlineLevel="0" collapsed="false">
      <c r="A123" s="17" t="str">
        <f aca="false">IF(Policy!A123="","",Policy!A123)</f>
        <v/>
      </c>
      <c r="B123" s="17" t="str">
        <f aca="false">IF(Policy!A123="","",Policy!B123)</f>
        <v/>
      </c>
      <c r="C123" s="17" t="str">
        <f aca="false">IF(Policy!A123="","",Policy!E123)</f>
        <v/>
      </c>
      <c r="D123" s="17" t="str">
        <f aca="false">IF(Policy!A123="","",Policy!G123)</f>
        <v/>
      </c>
      <c r="E123" s="17" t="str">
        <f aca="false">IF(Policy!A123="","",Policy!H123)</f>
        <v/>
      </c>
      <c r="F123" s="22" t="str">
        <f aca="false">IF(Policy!A123="","",Risk!D123)</f>
        <v/>
      </c>
      <c r="G123" s="23"/>
      <c r="H123" s="24" t="str">
        <f aca="false">IF(A123="","",G123*(1-M123/100))</f>
        <v/>
      </c>
      <c r="I123" s="24" t="str">
        <f aca="false">IF(A123="","",G123*F123/100)</f>
        <v/>
      </c>
      <c r="J123" s="24" t="str">
        <f aca="false">IF(A123="","",I123*(1-M123/100))</f>
        <v/>
      </c>
      <c r="K123" s="25"/>
      <c r="L123" s="25"/>
      <c r="M123" s="26" t="str">
        <f aca="false">IF(A123="","",K123+L123)</f>
        <v/>
      </c>
      <c r="N123" s="25"/>
      <c r="O123" s="23"/>
      <c r="P123" s="23"/>
      <c r="Q123" s="24" t="str">
        <f aca="false">IF(A123="","",J123*(1-N123/100)-O123-P123)</f>
        <v/>
      </c>
      <c r="R123" s="25"/>
      <c r="S123" s="17" t="str">
        <f aca="false">IF(Policy!A123="","",Policy!U123)</f>
        <v/>
      </c>
      <c r="T123" s="17" t="str">
        <f aca="false">IF(OR(A123="",Policy!L123=""),"",MONTH(Policy!L123))</f>
        <v/>
      </c>
      <c r="U123" s="17" t="str">
        <f aca="false">IF(OR(A123="",Policy!L123=""),"",YEAR(Policy!L123))</f>
        <v/>
      </c>
      <c r="V123" s="17" t="str">
        <f aca="false">IF(Policy!A123="","",Policy!J123)</f>
        <v/>
      </c>
      <c r="W123" s="14"/>
    </row>
    <row r="124" customFormat="false" ht="15" hidden="false" customHeight="false" outlineLevel="0" collapsed="false">
      <c r="A124" s="17" t="str">
        <f aca="false">IF(Policy!A124="","",Policy!A124)</f>
        <v/>
      </c>
      <c r="B124" s="17" t="str">
        <f aca="false">IF(Policy!A124="","",Policy!B124)</f>
        <v/>
      </c>
      <c r="C124" s="17" t="str">
        <f aca="false">IF(Policy!A124="","",Policy!E124)</f>
        <v/>
      </c>
      <c r="D124" s="17" t="str">
        <f aca="false">IF(Policy!A124="","",Policy!G124)</f>
        <v/>
      </c>
      <c r="E124" s="17" t="str">
        <f aca="false">IF(Policy!A124="","",Policy!H124)</f>
        <v/>
      </c>
      <c r="F124" s="22" t="str">
        <f aca="false">IF(Policy!A124="","",Risk!D124)</f>
        <v/>
      </c>
      <c r="G124" s="23"/>
      <c r="H124" s="24" t="str">
        <f aca="false">IF(A124="","",G124*(1-M124/100))</f>
        <v/>
      </c>
      <c r="I124" s="24" t="str">
        <f aca="false">IF(A124="","",G124*F124/100)</f>
        <v/>
      </c>
      <c r="J124" s="24" t="str">
        <f aca="false">IF(A124="","",I124*(1-M124/100))</f>
        <v/>
      </c>
      <c r="K124" s="25"/>
      <c r="L124" s="25"/>
      <c r="M124" s="26" t="str">
        <f aca="false">IF(A124="","",K124+L124)</f>
        <v/>
      </c>
      <c r="N124" s="25"/>
      <c r="O124" s="23"/>
      <c r="P124" s="23"/>
      <c r="Q124" s="24" t="str">
        <f aca="false">IF(A124="","",J124*(1-N124/100)-O124-P124)</f>
        <v/>
      </c>
      <c r="R124" s="25"/>
      <c r="S124" s="17" t="str">
        <f aca="false">IF(Policy!A124="","",Policy!U124)</f>
        <v/>
      </c>
      <c r="T124" s="17" t="str">
        <f aca="false">IF(OR(A124="",Policy!L124=""),"",MONTH(Policy!L124))</f>
        <v/>
      </c>
      <c r="U124" s="17" t="str">
        <f aca="false">IF(OR(A124="",Policy!L124=""),"",YEAR(Policy!L124))</f>
        <v/>
      </c>
      <c r="V124" s="17" t="str">
        <f aca="false">IF(Policy!A124="","",Policy!J124)</f>
        <v/>
      </c>
      <c r="W124" s="14"/>
    </row>
    <row r="125" customFormat="false" ht="15" hidden="false" customHeight="false" outlineLevel="0" collapsed="false">
      <c r="A125" s="17" t="str">
        <f aca="false">IF(Policy!A125="","",Policy!A125)</f>
        <v/>
      </c>
      <c r="B125" s="17" t="str">
        <f aca="false">IF(Policy!A125="","",Policy!B125)</f>
        <v/>
      </c>
      <c r="C125" s="17" t="str">
        <f aca="false">IF(Policy!A125="","",Policy!E125)</f>
        <v/>
      </c>
      <c r="D125" s="17" t="str">
        <f aca="false">IF(Policy!A125="","",Policy!G125)</f>
        <v/>
      </c>
      <c r="E125" s="17" t="str">
        <f aca="false">IF(Policy!A125="","",Policy!H125)</f>
        <v/>
      </c>
      <c r="F125" s="22" t="str">
        <f aca="false">IF(Policy!A125="","",Risk!D125)</f>
        <v/>
      </c>
      <c r="G125" s="23"/>
      <c r="H125" s="24" t="str">
        <f aca="false">IF(A125="","",G125*(1-M125/100))</f>
        <v/>
      </c>
      <c r="I125" s="24" t="str">
        <f aca="false">IF(A125="","",G125*F125/100)</f>
        <v/>
      </c>
      <c r="J125" s="24" t="str">
        <f aca="false">IF(A125="","",I125*(1-M125/100))</f>
        <v/>
      </c>
      <c r="K125" s="25"/>
      <c r="L125" s="25"/>
      <c r="M125" s="26" t="str">
        <f aca="false">IF(A125="","",K125+L125)</f>
        <v/>
      </c>
      <c r="N125" s="25"/>
      <c r="O125" s="23"/>
      <c r="P125" s="23"/>
      <c r="Q125" s="24" t="str">
        <f aca="false">IF(A125="","",J125*(1-N125/100)-O125-P125)</f>
        <v/>
      </c>
      <c r="R125" s="25"/>
      <c r="S125" s="17" t="str">
        <f aca="false">IF(Policy!A125="","",Policy!U125)</f>
        <v/>
      </c>
      <c r="T125" s="17" t="str">
        <f aca="false">IF(OR(A125="",Policy!L125=""),"",MONTH(Policy!L125))</f>
        <v/>
      </c>
      <c r="U125" s="17" t="str">
        <f aca="false">IF(OR(A125="",Policy!L125=""),"",YEAR(Policy!L125))</f>
        <v/>
      </c>
      <c r="V125" s="17" t="str">
        <f aca="false">IF(Policy!A125="","",Policy!J125)</f>
        <v/>
      </c>
      <c r="W125" s="14"/>
    </row>
    <row r="126" customFormat="false" ht="15" hidden="false" customHeight="false" outlineLevel="0" collapsed="false">
      <c r="A126" s="17" t="str">
        <f aca="false">IF(Policy!A126="","",Policy!A126)</f>
        <v/>
      </c>
      <c r="B126" s="17" t="str">
        <f aca="false">IF(Policy!A126="","",Policy!B126)</f>
        <v/>
      </c>
      <c r="C126" s="17" t="str">
        <f aca="false">IF(Policy!A126="","",Policy!E126)</f>
        <v/>
      </c>
      <c r="D126" s="17" t="str">
        <f aca="false">IF(Policy!A126="","",Policy!G126)</f>
        <v/>
      </c>
      <c r="E126" s="17" t="str">
        <f aca="false">IF(Policy!A126="","",Policy!H126)</f>
        <v/>
      </c>
      <c r="F126" s="22" t="str">
        <f aca="false">IF(Policy!A126="","",Risk!D126)</f>
        <v/>
      </c>
      <c r="G126" s="23"/>
      <c r="H126" s="24" t="str">
        <f aca="false">IF(A126="","",G126*(1-M126/100))</f>
        <v/>
      </c>
      <c r="I126" s="24" t="str">
        <f aca="false">IF(A126="","",G126*F126/100)</f>
        <v/>
      </c>
      <c r="J126" s="24" t="str">
        <f aca="false">IF(A126="","",I126*(1-M126/100))</f>
        <v/>
      </c>
      <c r="K126" s="25"/>
      <c r="L126" s="25"/>
      <c r="M126" s="26" t="str">
        <f aca="false">IF(A126="","",K126+L126)</f>
        <v/>
      </c>
      <c r="N126" s="25"/>
      <c r="O126" s="23"/>
      <c r="P126" s="23"/>
      <c r="Q126" s="24" t="str">
        <f aca="false">IF(A126="","",J126*(1-N126/100)-O126-P126)</f>
        <v/>
      </c>
      <c r="R126" s="25"/>
      <c r="S126" s="17" t="str">
        <f aca="false">IF(Policy!A126="","",Policy!U126)</f>
        <v/>
      </c>
      <c r="T126" s="17" t="str">
        <f aca="false">IF(OR(A126="",Policy!L126=""),"",MONTH(Policy!L126))</f>
        <v/>
      </c>
      <c r="U126" s="17" t="str">
        <f aca="false">IF(OR(A126="",Policy!L126=""),"",YEAR(Policy!L126))</f>
        <v/>
      </c>
      <c r="V126" s="17" t="str">
        <f aca="false">IF(Policy!A126="","",Policy!J126)</f>
        <v/>
      </c>
      <c r="W126" s="14"/>
    </row>
    <row r="127" customFormat="false" ht="15" hidden="false" customHeight="false" outlineLevel="0" collapsed="false">
      <c r="A127" s="17" t="str">
        <f aca="false">IF(Policy!A127="","",Policy!A127)</f>
        <v/>
      </c>
      <c r="B127" s="17" t="str">
        <f aca="false">IF(Policy!A127="","",Policy!B127)</f>
        <v/>
      </c>
      <c r="C127" s="17" t="str">
        <f aca="false">IF(Policy!A127="","",Policy!E127)</f>
        <v/>
      </c>
      <c r="D127" s="17" t="str">
        <f aca="false">IF(Policy!A127="","",Policy!G127)</f>
        <v/>
      </c>
      <c r="E127" s="17" t="str">
        <f aca="false">IF(Policy!A127="","",Policy!H127)</f>
        <v/>
      </c>
      <c r="F127" s="22" t="str">
        <f aca="false">IF(Policy!A127="","",Risk!D127)</f>
        <v/>
      </c>
      <c r="G127" s="23"/>
      <c r="H127" s="24" t="str">
        <f aca="false">IF(A127="","",G127*(1-M127/100))</f>
        <v/>
      </c>
      <c r="I127" s="24" t="str">
        <f aca="false">IF(A127="","",G127*F127/100)</f>
        <v/>
      </c>
      <c r="J127" s="24" t="str">
        <f aca="false">IF(A127="","",I127*(1-M127/100))</f>
        <v/>
      </c>
      <c r="K127" s="25"/>
      <c r="L127" s="25"/>
      <c r="M127" s="26" t="str">
        <f aca="false">IF(A127="","",K127+L127)</f>
        <v/>
      </c>
      <c r="N127" s="25"/>
      <c r="O127" s="23"/>
      <c r="P127" s="23"/>
      <c r="Q127" s="24" t="str">
        <f aca="false">IF(A127="","",J127*(1-N127/100)-O127-P127)</f>
        <v/>
      </c>
      <c r="R127" s="25"/>
      <c r="S127" s="17" t="str">
        <f aca="false">IF(Policy!A127="","",Policy!U127)</f>
        <v/>
      </c>
      <c r="T127" s="17" t="str">
        <f aca="false">IF(OR(A127="",Policy!L127=""),"",MONTH(Policy!L127))</f>
        <v/>
      </c>
      <c r="U127" s="17" t="str">
        <f aca="false">IF(OR(A127="",Policy!L127=""),"",YEAR(Policy!L127))</f>
        <v/>
      </c>
      <c r="V127" s="17" t="str">
        <f aca="false">IF(Policy!A127="","",Policy!J127)</f>
        <v/>
      </c>
      <c r="W127" s="14"/>
    </row>
    <row r="128" customFormat="false" ht="15" hidden="false" customHeight="false" outlineLevel="0" collapsed="false">
      <c r="A128" s="17" t="str">
        <f aca="false">IF(Policy!A128="","",Policy!A128)</f>
        <v/>
      </c>
      <c r="B128" s="17" t="str">
        <f aca="false">IF(Policy!A128="","",Policy!B128)</f>
        <v/>
      </c>
      <c r="C128" s="17" t="str">
        <f aca="false">IF(Policy!A128="","",Policy!E128)</f>
        <v/>
      </c>
      <c r="D128" s="17" t="str">
        <f aca="false">IF(Policy!A128="","",Policy!G128)</f>
        <v/>
      </c>
      <c r="E128" s="17" t="str">
        <f aca="false">IF(Policy!A128="","",Policy!H128)</f>
        <v/>
      </c>
      <c r="F128" s="22" t="str">
        <f aca="false">IF(Policy!A128="","",Risk!D128)</f>
        <v/>
      </c>
      <c r="G128" s="23"/>
      <c r="H128" s="24" t="str">
        <f aca="false">IF(A128="","",G128*(1-M128/100))</f>
        <v/>
      </c>
      <c r="I128" s="24" t="str">
        <f aca="false">IF(A128="","",G128*F128/100)</f>
        <v/>
      </c>
      <c r="J128" s="24" t="str">
        <f aca="false">IF(A128="","",I128*(1-M128/100))</f>
        <v/>
      </c>
      <c r="K128" s="25"/>
      <c r="L128" s="25"/>
      <c r="M128" s="26" t="str">
        <f aca="false">IF(A128="","",K128+L128)</f>
        <v/>
      </c>
      <c r="N128" s="25"/>
      <c r="O128" s="23"/>
      <c r="P128" s="23"/>
      <c r="Q128" s="24" t="str">
        <f aca="false">IF(A128="","",J128*(1-N128/100)-O128-P128)</f>
        <v/>
      </c>
      <c r="R128" s="25"/>
      <c r="S128" s="17" t="str">
        <f aca="false">IF(Policy!A128="","",Policy!U128)</f>
        <v/>
      </c>
      <c r="T128" s="17" t="str">
        <f aca="false">IF(OR(A128="",Policy!L128=""),"",MONTH(Policy!L128))</f>
        <v/>
      </c>
      <c r="U128" s="17" t="str">
        <f aca="false">IF(OR(A128="",Policy!L128=""),"",YEAR(Policy!L128))</f>
        <v/>
      </c>
      <c r="V128" s="17" t="str">
        <f aca="false">IF(Policy!A128="","",Policy!J128)</f>
        <v/>
      </c>
      <c r="W128" s="14"/>
    </row>
    <row r="129" customFormat="false" ht="15" hidden="false" customHeight="false" outlineLevel="0" collapsed="false">
      <c r="A129" s="17" t="str">
        <f aca="false">IF(Policy!A129="","",Policy!A129)</f>
        <v/>
      </c>
      <c r="B129" s="17" t="str">
        <f aca="false">IF(Policy!A129="","",Policy!B129)</f>
        <v/>
      </c>
      <c r="C129" s="17" t="str">
        <f aca="false">IF(Policy!A129="","",Policy!E129)</f>
        <v/>
      </c>
      <c r="D129" s="17" t="str">
        <f aca="false">IF(Policy!A129="","",Policy!G129)</f>
        <v/>
      </c>
      <c r="E129" s="17" t="str">
        <f aca="false">IF(Policy!A129="","",Policy!H129)</f>
        <v/>
      </c>
      <c r="F129" s="22" t="str">
        <f aca="false">IF(Policy!A129="","",Risk!D129)</f>
        <v/>
      </c>
      <c r="G129" s="23"/>
      <c r="H129" s="24" t="str">
        <f aca="false">IF(A129="","",G129*(1-M129/100))</f>
        <v/>
      </c>
      <c r="I129" s="24" t="str">
        <f aca="false">IF(A129="","",G129*F129/100)</f>
        <v/>
      </c>
      <c r="J129" s="24" t="str">
        <f aca="false">IF(A129="","",I129*(1-M129/100))</f>
        <v/>
      </c>
      <c r="K129" s="25"/>
      <c r="L129" s="25"/>
      <c r="M129" s="26" t="str">
        <f aca="false">IF(A129="","",K129+L129)</f>
        <v/>
      </c>
      <c r="N129" s="25"/>
      <c r="O129" s="23"/>
      <c r="P129" s="23"/>
      <c r="Q129" s="24" t="str">
        <f aca="false">IF(A129="","",J129*(1-N129/100)-O129-P129)</f>
        <v/>
      </c>
      <c r="R129" s="25"/>
      <c r="S129" s="17" t="str">
        <f aca="false">IF(Policy!A129="","",Policy!U129)</f>
        <v/>
      </c>
      <c r="T129" s="17" t="str">
        <f aca="false">IF(OR(A129="",Policy!L129=""),"",MONTH(Policy!L129))</f>
        <v/>
      </c>
      <c r="U129" s="17" t="str">
        <f aca="false">IF(OR(A129="",Policy!L129=""),"",YEAR(Policy!L129))</f>
        <v/>
      </c>
      <c r="V129" s="17" t="str">
        <f aca="false">IF(Policy!A129="","",Policy!J129)</f>
        <v/>
      </c>
      <c r="W129" s="14"/>
    </row>
    <row r="130" customFormat="false" ht="15" hidden="false" customHeight="false" outlineLevel="0" collapsed="false">
      <c r="A130" s="17" t="str">
        <f aca="false">IF(Policy!A130="","",Policy!A130)</f>
        <v/>
      </c>
      <c r="B130" s="17" t="str">
        <f aca="false">IF(Policy!A130="","",Policy!B130)</f>
        <v/>
      </c>
      <c r="C130" s="17" t="str">
        <f aca="false">IF(Policy!A130="","",Policy!E130)</f>
        <v/>
      </c>
      <c r="D130" s="17" t="str">
        <f aca="false">IF(Policy!A130="","",Policy!G130)</f>
        <v/>
      </c>
      <c r="E130" s="17" t="str">
        <f aca="false">IF(Policy!A130="","",Policy!H130)</f>
        <v/>
      </c>
      <c r="F130" s="22" t="str">
        <f aca="false">IF(Policy!A130="","",Risk!D130)</f>
        <v/>
      </c>
      <c r="G130" s="23"/>
      <c r="H130" s="24" t="str">
        <f aca="false">IF(A130="","",G130*(1-M130/100))</f>
        <v/>
      </c>
      <c r="I130" s="24" t="str">
        <f aca="false">IF(A130="","",G130*F130/100)</f>
        <v/>
      </c>
      <c r="J130" s="24" t="str">
        <f aca="false">IF(A130="","",I130*(1-M130/100))</f>
        <v/>
      </c>
      <c r="K130" s="25"/>
      <c r="L130" s="25"/>
      <c r="M130" s="26" t="str">
        <f aca="false">IF(A130="","",K130+L130)</f>
        <v/>
      </c>
      <c r="N130" s="25"/>
      <c r="O130" s="23"/>
      <c r="P130" s="23"/>
      <c r="Q130" s="24" t="str">
        <f aca="false">IF(A130="","",J130*(1-N130/100)-O130-P130)</f>
        <v/>
      </c>
      <c r="R130" s="25"/>
      <c r="S130" s="17" t="str">
        <f aca="false">IF(Policy!A130="","",Policy!U130)</f>
        <v/>
      </c>
      <c r="T130" s="17" t="str">
        <f aca="false">IF(OR(A130="",Policy!L130=""),"",MONTH(Policy!L130))</f>
        <v/>
      </c>
      <c r="U130" s="17" t="str">
        <f aca="false">IF(OR(A130="",Policy!L130=""),"",YEAR(Policy!L130))</f>
        <v/>
      </c>
      <c r="V130" s="17" t="str">
        <f aca="false">IF(Policy!A130="","",Policy!J130)</f>
        <v/>
      </c>
      <c r="W130" s="14"/>
    </row>
    <row r="131" customFormat="false" ht="15" hidden="false" customHeight="false" outlineLevel="0" collapsed="false">
      <c r="A131" s="17" t="str">
        <f aca="false">IF(Policy!A131="","",Policy!A131)</f>
        <v/>
      </c>
      <c r="B131" s="17" t="str">
        <f aca="false">IF(Policy!A131="","",Policy!B131)</f>
        <v/>
      </c>
      <c r="C131" s="17" t="str">
        <f aca="false">IF(Policy!A131="","",Policy!E131)</f>
        <v/>
      </c>
      <c r="D131" s="17" t="str">
        <f aca="false">IF(Policy!A131="","",Policy!G131)</f>
        <v/>
      </c>
      <c r="E131" s="17" t="str">
        <f aca="false">IF(Policy!A131="","",Policy!H131)</f>
        <v/>
      </c>
      <c r="F131" s="22" t="str">
        <f aca="false">IF(Policy!A131="","",Risk!D131)</f>
        <v/>
      </c>
      <c r="G131" s="23"/>
      <c r="H131" s="24" t="str">
        <f aca="false">IF(A131="","",G131*(1-M131/100))</f>
        <v/>
      </c>
      <c r="I131" s="24" t="str">
        <f aca="false">IF(A131="","",G131*F131/100)</f>
        <v/>
      </c>
      <c r="J131" s="24" t="str">
        <f aca="false">IF(A131="","",I131*(1-M131/100))</f>
        <v/>
      </c>
      <c r="K131" s="25"/>
      <c r="L131" s="25"/>
      <c r="M131" s="26" t="str">
        <f aca="false">IF(A131="","",K131+L131)</f>
        <v/>
      </c>
      <c r="N131" s="25"/>
      <c r="O131" s="23"/>
      <c r="P131" s="23"/>
      <c r="Q131" s="24" t="str">
        <f aca="false">IF(A131="","",J131*(1-N131/100)-O131-P131)</f>
        <v/>
      </c>
      <c r="R131" s="25"/>
      <c r="S131" s="17" t="str">
        <f aca="false">IF(Policy!A131="","",Policy!U131)</f>
        <v/>
      </c>
      <c r="T131" s="17" t="str">
        <f aca="false">IF(OR(A131="",Policy!L131=""),"",MONTH(Policy!L131))</f>
        <v/>
      </c>
      <c r="U131" s="17" t="str">
        <f aca="false">IF(OR(A131="",Policy!L131=""),"",YEAR(Policy!L131))</f>
        <v/>
      </c>
      <c r="V131" s="17" t="str">
        <f aca="false">IF(Policy!A131="","",Policy!J131)</f>
        <v/>
      </c>
      <c r="W131" s="14"/>
    </row>
    <row r="132" customFormat="false" ht="15" hidden="false" customHeight="false" outlineLevel="0" collapsed="false">
      <c r="A132" s="17" t="str">
        <f aca="false">IF(Policy!A132="","",Policy!A132)</f>
        <v/>
      </c>
      <c r="B132" s="17" t="str">
        <f aca="false">IF(Policy!A132="","",Policy!B132)</f>
        <v/>
      </c>
      <c r="C132" s="17" t="str">
        <f aca="false">IF(Policy!A132="","",Policy!E132)</f>
        <v/>
      </c>
      <c r="D132" s="17" t="str">
        <f aca="false">IF(Policy!A132="","",Policy!G132)</f>
        <v/>
      </c>
      <c r="E132" s="17" t="str">
        <f aca="false">IF(Policy!A132="","",Policy!H132)</f>
        <v/>
      </c>
      <c r="F132" s="22" t="str">
        <f aca="false">IF(Policy!A132="","",Risk!D132)</f>
        <v/>
      </c>
      <c r="G132" s="23"/>
      <c r="H132" s="24" t="str">
        <f aca="false">IF(A132="","",G132*(1-M132/100))</f>
        <v/>
      </c>
      <c r="I132" s="24" t="str">
        <f aca="false">IF(A132="","",G132*F132/100)</f>
        <v/>
      </c>
      <c r="J132" s="24" t="str">
        <f aca="false">IF(A132="","",I132*(1-M132/100))</f>
        <v/>
      </c>
      <c r="K132" s="25"/>
      <c r="L132" s="25"/>
      <c r="M132" s="26" t="str">
        <f aca="false">IF(A132="","",K132+L132)</f>
        <v/>
      </c>
      <c r="N132" s="25"/>
      <c r="O132" s="23"/>
      <c r="P132" s="23"/>
      <c r="Q132" s="24" t="str">
        <f aca="false">IF(A132="","",J132*(1-N132/100)-O132-P132)</f>
        <v/>
      </c>
      <c r="R132" s="25"/>
      <c r="S132" s="17" t="str">
        <f aca="false">IF(Policy!A132="","",Policy!U132)</f>
        <v/>
      </c>
      <c r="T132" s="17" t="str">
        <f aca="false">IF(OR(A132="",Policy!L132=""),"",MONTH(Policy!L132))</f>
        <v/>
      </c>
      <c r="U132" s="17" t="str">
        <f aca="false">IF(OR(A132="",Policy!L132=""),"",YEAR(Policy!L132))</f>
        <v/>
      </c>
      <c r="V132" s="17" t="str">
        <f aca="false">IF(Policy!A132="","",Policy!J132)</f>
        <v/>
      </c>
      <c r="W132" s="14"/>
    </row>
    <row r="133" customFormat="false" ht="15" hidden="false" customHeight="false" outlineLevel="0" collapsed="false">
      <c r="A133" s="17" t="str">
        <f aca="false">IF(Policy!A133="","",Policy!A133)</f>
        <v/>
      </c>
      <c r="B133" s="17" t="str">
        <f aca="false">IF(Policy!A133="","",Policy!B133)</f>
        <v/>
      </c>
      <c r="C133" s="17" t="str">
        <f aca="false">IF(Policy!A133="","",Policy!E133)</f>
        <v/>
      </c>
      <c r="D133" s="17" t="str">
        <f aca="false">IF(Policy!A133="","",Policy!G133)</f>
        <v/>
      </c>
      <c r="E133" s="17" t="str">
        <f aca="false">IF(Policy!A133="","",Policy!H133)</f>
        <v/>
      </c>
      <c r="F133" s="22" t="str">
        <f aca="false">IF(Policy!A133="","",Risk!D133)</f>
        <v/>
      </c>
      <c r="G133" s="23"/>
      <c r="H133" s="24" t="str">
        <f aca="false">IF(A133="","",G133*(1-M133/100))</f>
        <v/>
      </c>
      <c r="I133" s="24" t="str">
        <f aca="false">IF(A133="","",G133*F133/100)</f>
        <v/>
      </c>
      <c r="J133" s="24" t="str">
        <f aca="false">IF(A133="","",I133*(1-M133/100))</f>
        <v/>
      </c>
      <c r="K133" s="25"/>
      <c r="L133" s="25"/>
      <c r="M133" s="26" t="str">
        <f aca="false">IF(A133="","",K133+L133)</f>
        <v/>
      </c>
      <c r="N133" s="25"/>
      <c r="O133" s="23"/>
      <c r="P133" s="23"/>
      <c r="Q133" s="24" t="str">
        <f aca="false">IF(A133="","",J133*(1-N133/100)-O133-P133)</f>
        <v/>
      </c>
      <c r="R133" s="25"/>
      <c r="S133" s="17" t="str">
        <f aca="false">IF(Policy!A133="","",Policy!U133)</f>
        <v/>
      </c>
      <c r="T133" s="17" t="str">
        <f aca="false">IF(OR(A133="",Policy!L133=""),"",MONTH(Policy!L133))</f>
        <v/>
      </c>
      <c r="U133" s="17" t="str">
        <f aca="false">IF(OR(A133="",Policy!L133=""),"",YEAR(Policy!L133))</f>
        <v/>
      </c>
      <c r="V133" s="17" t="str">
        <f aca="false">IF(Policy!A133="","",Policy!J133)</f>
        <v/>
      </c>
      <c r="W133" s="14"/>
    </row>
    <row r="134" customFormat="false" ht="15" hidden="false" customHeight="false" outlineLevel="0" collapsed="false">
      <c r="A134" s="17" t="str">
        <f aca="false">IF(Policy!A134="","",Policy!A134)</f>
        <v/>
      </c>
      <c r="B134" s="17" t="str">
        <f aca="false">IF(Policy!A134="","",Policy!B134)</f>
        <v/>
      </c>
      <c r="C134" s="17" t="str">
        <f aca="false">IF(Policy!A134="","",Policy!E134)</f>
        <v/>
      </c>
      <c r="D134" s="17" t="str">
        <f aca="false">IF(Policy!A134="","",Policy!G134)</f>
        <v/>
      </c>
      <c r="E134" s="17" t="str">
        <f aca="false">IF(Policy!A134="","",Policy!H134)</f>
        <v/>
      </c>
      <c r="F134" s="22" t="str">
        <f aca="false">IF(Policy!A134="","",Risk!D134)</f>
        <v/>
      </c>
      <c r="G134" s="23"/>
      <c r="H134" s="24" t="str">
        <f aca="false">IF(A134="","",G134*(1-M134/100))</f>
        <v/>
      </c>
      <c r="I134" s="24" t="str">
        <f aca="false">IF(A134="","",G134*F134/100)</f>
        <v/>
      </c>
      <c r="J134" s="24" t="str">
        <f aca="false">IF(A134="","",I134*(1-M134/100))</f>
        <v/>
      </c>
      <c r="K134" s="25"/>
      <c r="L134" s="25"/>
      <c r="M134" s="26" t="str">
        <f aca="false">IF(A134="","",K134+L134)</f>
        <v/>
      </c>
      <c r="N134" s="25"/>
      <c r="O134" s="23"/>
      <c r="P134" s="23"/>
      <c r="Q134" s="24" t="str">
        <f aca="false">IF(A134="","",J134*(1-N134/100)-O134-P134)</f>
        <v/>
      </c>
      <c r="R134" s="25"/>
      <c r="S134" s="17" t="str">
        <f aca="false">IF(Policy!A134="","",Policy!U134)</f>
        <v/>
      </c>
      <c r="T134" s="17" t="str">
        <f aca="false">IF(OR(A134="",Policy!L134=""),"",MONTH(Policy!L134))</f>
        <v/>
      </c>
      <c r="U134" s="17" t="str">
        <f aca="false">IF(OR(A134="",Policy!L134=""),"",YEAR(Policy!L134))</f>
        <v/>
      </c>
      <c r="V134" s="17" t="str">
        <f aca="false">IF(Policy!A134="","",Policy!J134)</f>
        <v/>
      </c>
      <c r="W134" s="14"/>
    </row>
    <row r="135" customFormat="false" ht="15" hidden="false" customHeight="false" outlineLevel="0" collapsed="false">
      <c r="A135" s="17" t="str">
        <f aca="false">IF(Policy!A135="","",Policy!A135)</f>
        <v/>
      </c>
      <c r="B135" s="17" t="str">
        <f aca="false">IF(Policy!A135="","",Policy!B135)</f>
        <v/>
      </c>
      <c r="C135" s="17" t="str">
        <f aca="false">IF(Policy!A135="","",Policy!E135)</f>
        <v/>
      </c>
      <c r="D135" s="17" t="str">
        <f aca="false">IF(Policy!A135="","",Policy!G135)</f>
        <v/>
      </c>
      <c r="E135" s="17" t="str">
        <f aca="false">IF(Policy!A135="","",Policy!H135)</f>
        <v/>
      </c>
      <c r="F135" s="22" t="str">
        <f aca="false">IF(Policy!A135="","",Risk!D135)</f>
        <v/>
      </c>
      <c r="G135" s="23"/>
      <c r="H135" s="24" t="str">
        <f aca="false">IF(A135="","",G135*(1-M135/100))</f>
        <v/>
      </c>
      <c r="I135" s="24" t="str">
        <f aca="false">IF(A135="","",G135*F135/100)</f>
        <v/>
      </c>
      <c r="J135" s="24" t="str">
        <f aca="false">IF(A135="","",I135*(1-M135/100))</f>
        <v/>
      </c>
      <c r="K135" s="25"/>
      <c r="L135" s="25"/>
      <c r="M135" s="26" t="str">
        <f aca="false">IF(A135="","",K135+L135)</f>
        <v/>
      </c>
      <c r="N135" s="25"/>
      <c r="O135" s="23"/>
      <c r="P135" s="23"/>
      <c r="Q135" s="24" t="str">
        <f aca="false">IF(A135="","",J135*(1-N135/100)-O135-P135)</f>
        <v/>
      </c>
      <c r="R135" s="25"/>
      <c r="S135" s="17" t="str">
        <f aca="false">IF(Policy!A135="","",Policy!U135)</f>
        <v/>
      </c>
      <c r="T135" s="17" t="str">
        <f aca="false">IF(OR(A135="",Policy!L135=""),"",MONTH(Policy!L135))</f>
        <v/>
      </c>
      <c r="U135" s="17" t="str">
        <f aca="false">IF(OR(A135="",Policy!L135=""),"",YEAR(Policy!L135))</f>
        <v/>
      </c>
      <c r="V135" s="17" t="str">
        <f aca="false">IF(Policy!A135="","",Policy!J135)</f>
        <v/>
      </c>
      <c r="W135" s="14"/>
    </row>
    <row r="136" customFormat="false" ht="15" hidden="false" customHeight="false" outlineLevel="0" collapsed="false">
      <c r="A136" s="17" t="str">
        <f aca="false">IF(Policy!A136="","",Policy!A136)</f>
        <v/>
      </c>
      <c r="B136" s="17" t="str">
        <f aca="false">IF(Policy!A136="","",Policy!B136)</f>
        <v/>
      </c>
      <c r="C136" s="17" t="str">
        <f aca="false">IF(Policy!A136="","",Policy!E136)</f>
        <v/>
      </c>
      <c r="D136" s="17" t="str">
        <f aca="false">IF(Policy!A136="","",Policy!G136)</f>
        <v/>
      </c>
      <c r="E136" s="17" t="str">
        <f aca="false">IF(Policy!A136="","",Policy!H136)</f>
        <v/>
      </c>
      <c r="F136" s="22" t="str">
        <f aca="false">IF(Policy!A136="","",Risk!D136)</f>
        <v/>
      </c>
      <c r="G136" s="23"/>
      <c r="H136" s="24" t="str">
        <f aca="false">IF(A136="","",G136*(1-M136/100))</f>
        <v/>
      </c>
      <c r="I136" s="24" t="str">
        <f aca="false">IF(A136="","",G136*F136/100)</f>
        <v/>
      </c>
      <c r="J136" s="24" t="str">
        <f aca="false">IF(A136="","",I136*(1-M136/100))</f>
        <v/>
      </c>
      <c r="K136" s="25"/>
      <c r="L136" s="25"/>
      <c r="M136" s="26" t="str">
        <f aca="false">IF(A136="","",K136+L136)</f>
        <v/>
      </c>
      <c r="N136" s="25"/>
      <c r="O136" s="23"/>
      <c r="P136" s="23"/>
      <c r="Q136" s="24" t="str">
        <f aca="false">IF(A136="","",J136*(1-N136/100)-O136-P136)</f>
        <v/>
      </c>
      <c r="R136" s="25"/>
      <c r="S136" s="17" t="str">
        <f aca="false">IF(Policy!A136="","",Policy!U136)</f>
        <v/>
      </c>
      <c r="T136" s="17" t="str">
        <f aca="false">IF(OR(A136="",Policy!L136=""),"",MONTH(Policy!L136))</f>
        <v/>
      </c>
      <c r="U136" s="17" t="str">
        <f aca="false">IF(OR(A136="",Policy!L136=""),"",YEAR(Policy!L136))</f>
        <v/>
      </c>
      <c r="V136" s="17" t="str">
        <f aca="false">IF(Policy!A136="","",Policy!J136)</f>
        <v/>
      </c>
      <c r="W136" s="14"/>
    </row>
    <row r="137" customFormat="false" ht="15" hidden="false" customHeight="false" outlineLevel="0" collapsed="false">
      <c r="A137" s="17" t="str">
        <f aca="false">IF(Policy!A137="","",Policy!A137)</f>
        <v/>
      </c>
      <c r="B137" s="17" t="str">
        <f aca="false">IF(Policy!A137="","",Policy!B137)</f>
        <v/>
      </c>
      <c r="C137" s="17" t="str">
        <f aca="false">IF(Policy!A137="","",Policy!E137)</f>
        <v/>
      </c>
      <c r="D137" s="17" t="str">
        <f aca="false">IF(Policy!A137="","",Policy!G137)</f>
        <v/>
      </c>
      <c r="E137" s="17" t="str">
        <f aca="false">IF(Policy!A137="","",Policy!H137)</f>
        <v/>
      </c>
      <c r="F137" s="22" t="str">
        <f aca="false">IF(Policy!A137="","",Risk!D137)</f>
        <v/>
      </c>
      <c r="G137" s="23"/>
      <c r="H137" s="24" t="str">
        <f aca="false">IF(A137="","",G137*(1-M137/100))</f>
        <v/>
      </c>
      <c r="I137" s="24" t="str">
        <f aca="false">IF(A137="","",G137*F137/100)</f>
        <v/>
      </c>
      <c r="J137" s="24" t="str">
        <f aca="false">IF(A137="","",I137*(1-M137/100))</f>
        <v/>
      </c>
      <c r="K137" s="25"/>
      <c r="L137" s="25"/>
      <c r="M137" s="26" t="str">
        <f aca="false">IF(A137="","",K137+L137)</f>
        <v/>
      </c>
      <c r="N137" s="25"/>
      <c r="O137" s="23"/>
      <c r="P137" s="23"/>
      <c r="Q137" s="24" t="str">
        <f aca="false">IF(A137="","",J137*(1-N137/100)-O137-P137)</f>
        <v/>
      </c>
      <c r="R137" s="25"/>
      <c r="S137" s="17" t="str">
        <f aca="false">IF(Policy!A137="","",Policy!U137)</f>
        <v/>
      </c>
      <c r="T137" s="17" t="str">
        <f aca="false">IF(OR(A137="",Policy!L137=""),"",MONTH(Policy!L137))</f>
        <v/>
      </c>
      <c r="U137" s="17" t="str">
        <f aca="false">IF(OR(A137="",Policy!L137=""),"",YEAR(Policy!L137))</f>
        <v/>
      </c>
      <c r="V137" s="17" t="str">
        <f aca="false">IF(Policy!A137="","",Policy!J137)</f>
        <v/>
      </c>
      <c r="W137" s="14"/>
    </row>
    <row r="138" customFormat="false" ht="15" hidden="false" customHeight="false" outlineLevel="0" collapsed="false">
      <c r="A138" s="17" t="str">
        <f aca="false">IF(Policy!A138="","",Policy!A138)</f>
        <v/>
      </c>
      <c r="B138" s="17" t="str">
        <f aca="false">IF(Policy!A138="","",Policy!B138)</f>
        <v/>
      </c>
      <c r="C138" s="17" t="str">
        <f aca="false">IF(Policy!A138="","",Policy!E138)</f>
        <v/>
      </c>
      <c r="D138" s="17" t="str">
        <f aca="false">IF(Policy!A138="","",Policy!G138)</f>
        <v/>
      </c>
      <c r="E138" s="17" t="str">
        <f aca="false">IF(Policy!A138="","",Policy!H138)</f>
        <v/>
      </c>
      <c r="F138" s="22" t="str">
        <f aca="false">IF(Policy!A138="","",Risk!D138)</f>
        <v/>
      </c>
      <c r="G138" s="23"/>
      <c r="H138" s="24" t="str">
        <f aca="false">IF(A138="","",G138*(1-M138/100))</f>
        <v/>
      </c>
      <c r="I138" s="24" t="str">
        <f aca="false">IF(A138="","",G138*F138/100)</f>
        <v/>
      </c>
      <c r="J138" s="24" t="str">
        <f aca="false">IF(A138="","",I138*(1-M138/100))</f>
        <v/>
      </c>
      <c r="K138" s="25"/>
      <c r="L138" s="25"/>
      <c r="M138" s="26" t="str">
        <f aca="false">IF(A138="","",K138+L138)</f>
        <v/>
      </c>
      <c r="N138" s="25"/>
      <c r="O138" s="23"/>
      <c r="P138" s="23"/>
      <c r="Q138" s="24" t="str">
        <f aca="false">IF(A138="","",J138*(1-N138/100)-O138-P138)</f>
        <v/>
      </c>
      <c r="R138" s="25"/>
      <c r="S138" s="17" t="str">
        <f aca="false">IF(Policy!A138="","",Policy!U138)</f>
        <v/>
      </c>
      <c r="T138" s="17" t="str">
        <f aca="false">IF(OR(A138="",Policy!L138=""),"",MONTH(Policy!L138))</f>
        <v/>
      </c>
      <c r="U138" s="17" t="str">
        <f aca="false">IF(OR(A138="",Policy!L138=""),"",YEAR(Policy!L138))</f>
        <v/>
      </c>
      <c r="V138" s="17" t="str">
        <f aca="false">IF(Policy!A138="","",Policy!J138)</f>
        <v/>
      </c>
      <c r="W138" s="14"/>
    </row>
    <row r="139" customFormat="false" ht="15" hidden="false" customHeight="false" outlineLevel="0" collapsed="false">
      <c r="A139" s="17" t="str">
        <f aca="false">IF(Policy!A139="","",Policy!A139)</f>
        <v/>
      </c>
      <c r="B139" s="17" t="str">
        <f aca="false">IF(Policy!A139="","",Policy!B139)</f>
        <v/>
      </c>
      <c r="C139" s="17" t="str">
        <f aca="false">IF(Policy!A139="","",Policy!E139)</f>
        <v/>
      </c>
      <c r="D139" s="17" t="str">
        <f aca="false">IF(Policy!A139="","",Policy!G139)</f>
        <v/>
      </c>
      <c r="E139" s="17" t="str">
        <f aca="false">IF(Policy!A139="","",Policy!H139)</f>
        <v/>
      </c>
      <c r="F139" s="22" t="str">
        <f aca="false">IF(Policy!A139="","",Risk!D139)</f>
        <v/>
      </c>
      <c r="G139" s="23"/>
      <c r="H139" s="24" t="str">
        <f aca="false">IF(A139="","",G139*(1-M139/100))</f>
        <v/>
      </c>
      <c r="I139" s="24" t="str">
        <f aca="false">IF(A139="","",G139*F139/100)</f>
        <v/>
      </c>
      <c r="J139" s="24" t="str">
        <f aca="false">IF(A139="","",I139*(1-M139/100))</f>
        <v/>
      </c>
      <c r="K139" s="25"/>
      <c r="L139" s="25"/>
      <c r="M139" s="26" t="str">
        <f aca="false">IF(A139="","",K139+L139)</f>
        <v/>
      </c>
      <c r="N139" s="25"/>
      <c r="O139" s="23"/>
      <c r="P139" s="23"/>
      <c r="Q139" s="24" t="str">
        <f aca="false">IF(A139="","",J139*(1-N139/100)-O139-P139)</f>
        <v/>
      </c>
      <c r="R139" s="25"/>
      <c r="S139" s="17" t="str">
        <f aca="false">IF(Policy!A139="","",Policy!U139)</f>
        <v/>
      </c>
      <c r="T139" s="17" t="str">
        <f aca="false">IF(OR(A139="",Policy!L139=""),"",MONTH(Policy!L139))</f>
        <v/>
      </c>
      <c r="U139" s="17" t="str">
        <f aca="false">IF(OR(A139="",Policy!L139=""),"",YEAR(Policy!L139))</f>
        <v/>
      </c>
      <c r="V139" s="17" t="str">
        <f aca="false">IF(Policy!A139="","",Policy!J139)</f>
        <v/>
      </c>
      <c r="W139" s="14"/>
    </row>
    <row r="140" customFormat="false" ht="15" hidden="false" customHeight="false" outlineLevel="0" collapsed="false">
      <c r="A140" s="17" t="str">
        <f aca="false">IF(Policy!A140="","",Policy!A140)</f>
        <v/>
      </c>
      <c r="B140" s="17" t="str">
        <f aca="false">IF(Policy!A140="","",Policy!B140)</f>
        <v/>
      </c>
      <c r="C140" s="17" t="str">
        <f aca="false">IF(Policy!A140="","",Policy!E140)</f>
        <v/>
      </c>
      <c r="D140" s="17" t="str">
        <f aca="false">IF(Policy!A140="","",Policy!G140)</f>
        <v/>
      </c>
      <c r="E140" s="17" t="str">
        <f aca="false">IF(Policy!A140="","",Policy!H140)</f>
        <v/>
      </c>
      <c r="F140" s="22" t="str">
        <f aca="false">IF(Policy!A140="","",Risk!D140)</f>
        <v/>
      </c>
      <c r="G140" s="23"/>
      <c r="H140" s="24" t="str">
        <f aca="false">IF(A140="","",G140*(1-M140/100))</f>
        <v/>
      </c>
      <c r="I140" s="24" t="str">
        <f aca="false">IF(A140="","",G140*F140/100)</f>
        <v/>
      </c>
      <c r="J140" s="24" t="str">
        <f aca="false">IF(A140="","",I140*(1-M140/100))</f>
        <v/>
      </c>
      <c r="K140" s="25"/>
      <c r="L140" s="25"/>
      <c r="M140" s="26" t="str">
        <f aca="false">IF(A140="","",K140+L140)</f>
        <v/>
      </c>
      <c r="N140" s="25"/>
      <c r="O140" s="23"/>
      <c r="P140" s="23"/>
      <c r="Q140" s="24" t="str">
        <f aca="false">IF(A140="","",J140*(1-N140/100)-O140-P140)</f>
        <v/>
      </c>
      <c r="R140" s="25"/>
      <c r="S140" s="17" t="str">
        <f aca="false">IF(Policy!A140="","",Policy!U140)</f>
        <v/>
      </c>
      <c r="T140" s="17" t="str">
        <f aca="false">IF(OR(A140="",Policy!L140=""),"",MONTH(Policy!L140))</f>
        <v/>
      </c>
      <c r="U140" s="17" t="str">
        <f aca="false">IF(OR(A140="",Policy!L140=""),"",YEAR(Policy!L140))</f>
        <v/>
      </c>
      <c r="V140" s="17" t="str">
        <f aca="false">IF(Policy!A140="","",Policy!J140)</f>
        <v/>
      </c>
      <c r="W140" s="14"/>
    </row>
    <row r="141" customFormat="false" ht="15" hidden="false" customHeight="false" outlineLevel="0" collapsed="false">
      <c r="A141" s="17" t="str">
        <f aca="false">IF(Policy!A141="","",Policy!A141)</f>
        <v/>
      </c>
      <c r="B141" s="17" t="str">
        <f aca="false">IF(Policy!A141="","",Policy!B141)</f>
        <v/>
      </c>
      <c r="C141" s="17" t="str">
        <f aca="false">IF(Policy!A141="","",Policy!E141)</f>
        <v/>
      </c>
      <c r="D141" s="17" t="str">
        <f aca="false">IF(Policy!A141="","",Policy!G141)</f>
        <v/>
      </c>
      <c r="E141" s="17" t="str">
        <f aca="false">IF(Policy!A141="","",Policy!H141)</f>
        <v/>
      </c>
      <c r="F141" s="22" t="str">
        <f aca="false">IF(Policy!A141="","",Risk!D141)</f>
        <v/>
      </c>
      <c r="G141" s="23"/>
      <c r="H141" s="24" t="str">
        <f aca="false">IF(A141="","",G141*(1-M141/100))</f>
        <v/>
      </c>
      <c r="I141" s="24" t="str">
        <f aca="false">IF(A141="","",G141*F141/100)</f>
        <v/>
      </c>
      <c r="J141" s="24" t="str">
        <f aca="false">IF(A141="","",I141*(1-M141/100))</f>
        <v/>
      </c>
      <c r="K141" s="25"/>
      <c r="L141" s="25"/>
      <c r="M141" s="26" t="str">
        <f aca="false">IF(A141="","",K141+L141)</f>
        <v/>
      </c>
      <c r="N141" s="25"/>
      <c r="O141" s="23"/>
      <c r="P141" s="23"/>
      <c r="Q141" s="24" t="str">
        <f aca="false">IF(A141="","",J141*(1-N141/100)-O141-P141)</f>
        <v/>
      </c>
      <c r="R141" s="25"/>
      <c r="S141" s="17" t="str">
        <f aca="false">IF(Policy!A141="","",Policy!U141)</f>
        <v/>
      </c>
      <c r="T141" s="17" t="str">
        <f aca="false">IF(OR(A141="",Policy!L141=""),"",MONTH(Policy!L141))</f>
        <v/>
      </c>
      <c r="U141" s="17" t="str">
        <f aca="false">IF(OR(A141="",Policy!L141=""),"",YEAR(Policy!L141))</f>
        <v/>
      </c>
      <c r="V141" s="17" t="str">
        <f aca="false">IF(Policy!A141="","",Policy!J141)</f>
        <v/>
      </c>
      <c r="W141" s="14"/>
    </row>
    <row r="142" customFormat="false" ht="15" hidden="false" customHeight="false" outlineLevel="0" collapsed="false">
      <c r="A142" s="17" t="str">
        <f aca="false">IF(Policy!A142="","",Policy!A142)</f>
        <v/>
      </c>
      <c r="B142" s="17" t="str">
        <f aca="false">IF(Policy!A142="","",Policy!B142)</f>
        <v/>
      </c>
      <c r="C142" s="17" t="str">
        <f aca="false">IF(Policy!A142="","",Policy!E142)</f>
        <v/>
      </c>
      <c r="D142" s="17" t="str">
        <f aca="false">IF(Policy!A142="","",Policy!G142)</f>
        <v/>
      </c>
      <c r="E142" s="17" t="str">
        <f aca="false">IF(Policy!A142="","",Policy!H142)</f>
        <v/>
      </c>
      <c r="F142" s="22" t="str">
        <f aca="false">IF(Policy!A142="","",Risk!D142)</f>
        <v/>
      </c>
      <c r="G142" s="23"/>
      <c r="H142" s="24" t="str">
        <f aca="false">IF(A142="","",G142*(1-M142/100))</f>
        <v/>
      </c>
      <c r="I142" s="24" t="str">
        <f aca="false">IF(A142="","",G142*F142/100)</f>
        <v/>
      </c>
      <c r="J142" s="24" t="str">
        <f aca="false">IF(A142="","",I142*(1-M142/100))</f>
        <v/>
      </c>
      <c r="K142" s="25"/>
      <c r="L142" s="25"/>
      <c r="M142" s="26" t="str">
        <f aca="false">IF(A142="","",K142+L142)</f>
        <v/>
      </c>
      <c r="N142" s="25"/>
      <c r="O142" s="23"/>
      <c r="P142" s="23"/>
      <c r="Q142" s="24" t="str">
        <f aca="false">IF(A142="","",J142*(1-N142/100)-O142-P142)</f>
        <v/>
      </c>
      <c r="R142" s="25"/>
      <c r="S142" s="17" t="str">
        <f aca="false">IF(Policy!A142="","",Policy!U142)</f>
        <v/>
      </c>
      <c r="T142" s="17" t="str">
        <f aca="false">IF(OR(A142="",Policy!L142=""),"",MONTH(Policy!L142))</f>
        <v/>
      </c>
      <c r="U142" s="17" t="str">
        <f aca="false">IF(OR(A142="",Policy!L142=""),"",YEAR(Policy!L142))</f>
        <v/>
      </c>
      <c r="V142" s="17" t="str">
        <f aca="false">IF(Policy!A142="","",Policy!J142)</f>
        <v/>
      </c>
      <c r="W142" s="14"/>
    </row>
    <row r="143" customFormat="false" ht="15" hidden="false" customHeight="false" outlineLevel="0" collapsed="false">
      <c r="A143" s="17" t="str">
        <f aca="false">IF(Policy!A143="","",Policy!A143)</f>
        <v/>
      </c>
      <c r="B143" s="17" t="str">
        <f aca="false">IF(Policy!A143="","",Policy!B143)</f>
        <v/>
      </c>
      <c r="C143" s="17" t="str">
        <f aca="false">IF(Policy!A143="","",Policy!E143)</f>
        <v/>
      </c>
      <c r="D143" s="17" t="str">
        <f aca="false">IF(Policy!A143="","",Policy!G143)</f>
        <v/>
      </c>
      <c r="E143" s="17" t="str">
        <f aca="false">IF(Policy!A143="","",Policy!H143)</f>
        <v/>
      </c>
      <c r="F143" s="22" t="str">
        <f aca="false">IF(Policy!A143="","",Risk!D143)</f>
        <v/>
      </c>
      <c r="G143" s="23"/>
      <c r="H143" s="24" t="str">
        <f aca="false">IF(A143="","",G143*(1-M143/100))</f>
        <v/>
      </c>
      <c r="I143" s="24" t="str">
        <f aca="false">IF(A143="","",G143*F143/100)</f>
        <v/>
      </c>
      <c r="J143" s="24" t="str">
        <f aca="false">IF(A143="","",I143*(1-M143/100))</f>
        <v/>
      </c>
      <c r="K143" s="25"/>
      <c r="L143" s="25"/>
      <c r="M143" s="26" t="str">
        <f aca="false">IF(A143="","",K143+L143)</f>
        <v/>
      </c>
      <c r="N143" s="25"/>
      <c r="O143" s="23"/>
      <c r="P143" s="23"/>
      <c r="Q143" s="24" t="str">
        <f aca="false">IF(A143="","",J143*(1-N143/100)-O143-P143)</f>
        <v/>
      </c>
      <c r="R143" s="25"/>
      <c r="S143" s="17" t="str">
        <f aca="false">IF(Policy!A143="","",Policy!U143)</f>
        <v/>
      </c>
      <c r="T143" s="17" t="str">
        <f aca="false">IF(OR(A143="",Policy!L143=""),"",MONTH(Policy!L143))</f>
        <v/>
      </c>
      <c r="U143" s="17" t="str">
        <f aca="false">IF(OR(A143="",Policy!L143=""),"",YEAR(Policy!L143))</f>
        <v/>
      </c>
      <c r="V143" s="17" t="str">
        <f aca="false">IF(Policy!A143="","",Policy!J143)</f>
        <v/>
      </c>
      <c r="W143" s="14"/>
    </row>
    <row r="144" customFormat="false" ht="15" hidden="false" customHeight="false" outlineLevel="0" collapsed="false">
      <c r="A144" s="17" t="str">
        <f aca="false">IF(Policy!A144="","",Policy!A144)</f>
        <v/>
      </c>
      <c r="B144" s="17" t="str">
        <f aca="false">IF(Policy!A144="","",Policy!B144)</f>
        <v/>
      </c>
      <c r="C144" s="17" t="str">
        <f aca="false">IF(Policy!A144="","",Policy!E144)</f>
        <v/>
      </c>
      <c r="D144" s="17" t="str">
        <f aca="false">IF(Policy!A144="","",Policy!G144)</f>
        <v/>
      </c>
      <c r="E144" s="17" t="str">
        <f aca="false">IF(Policy!A144="","",Policy!H144)</f>
        <v/>
      </c>
      <c r="F144" s="22" t="str">
        <f aca="false">IF(Policy!A144="","",Risk!D144)</f>
        <v/>
      </c>
      <c r="G144" s="23"/>
      <c r="H144" s="24" t="str">
        <f aca="false">IF(A144="","",G144*(1-M144/100))</f>
        <v/>
      </c>
      <c r="I144" s="24" t="str">
        <f aca="false">IF(A144="","",G144*F144/100)</f>
        <v/>
      </c>
      <c r="J144" s="24" t="str">
        <f aca="false">IF(A144="","",I144*(1-M144/100))</f>
        <v/>
      </c>
      <c r="K144" s="25"/>
      <c r="L144" s="25"/>
      <c r="M144" s="26" t="str">
        <f aca="false">IF(A144="","",K144+L144)</f>
        <v/>
      </c>
      <c r="N144" s="25"/>
      <c r="O144" s="23"/>
      <c r="P144" s="23"/>
      <c r="Q144" s="24" t="str">
        <f aca="false">IF(A144="","",J144*(1-N144/100)-O144-P144)</f>
        <v/>
      </c>
      <c r="R144" s="25"/>
      <c r="S144" s="17" t="str">
        <f aca="false">IF(Policy!A144="","",Policy!U144)</f>
        <v/>
      </c>
      <c r="T144" s="17" t="str">
        <f aca="false">IF(OR(A144="",Policy!L144=""),"",MONTH(Policy!L144))</f>
        <v/>
      </c>
      <c r="U144" s="17" t="str">
        <f aca="false">IF(OR(A144="",Policy!L144=""),"",YEAR(Policy!L144))</f>
        <v/>
      </c>
      <c r="V144" s="17" t="str">
        <f aca="false">IF(Policy!A144="","",Policy!J144)</f>
        <v/>
      </c>
      <c r="W144" s="14"/>
    </row>
    <row r="145" customFormat="false" ht="15" hidden="false" customHeight="false" outlineLevel="0" collapsed="false">
      <c r="A145" s="17" t="str">
        <f aca="false">IF(Policy!A145="","",Policy!A145)</f>
        <v/>
      </c>
      <c r="B145" s="17" t="str">
        <f aca="false">IF(Policy!A145="","",Policy!B145)</f>
        <v/>
      </c>
      <c r="C145" s="17" t="str">
        <f aca="false">IF(Policy!A145="","",Policy!E145)</f>
        <v/>
      </c>
      <c r="D145" s="17" t="str">
        <f aca="false">IF(Policy!A145="","",Policy!G145)</f>
        <v/>
      </c>
      <c r="E145" s="17" t="str">
        <f aca="false">IF(Policy!A145="","",Policy!H145)</f>
        <v/>
      </c>
      <c r="F145" s="22" t="str">
        <f aca="false">IF(Policy!A145="","",Risk!D145)</f>
        <v/>
      </c>
      <c r="G145" s="23"/>
      <c r="H145" s="24" t="str">
        <f aca="false">IF(A145="","",G145*(1-M145/100))</f>
        <v/>
      </c>
      <c r="I145" s="24" t="str">
        <f aca="false">IF(A145="","",G145*F145/100)</f>
        <v/>
      </c>
      <c r="J145" s="24" t="str">
        <f aca="false">IF(A145="","",I145*(1-M145/100))</f>
        <v/>
      </c>
      <c r="K145" s="25"/>
      <c r="L145" s="25"/>
      <c r="M145" s="26" t="str">
        <f aca="false">IF(A145="","",K145+L145)</f>
        <v/>
      </c>
      <c r="N145" s="25"/>
      <c r="O145" s="23"/>
      <c r="P145" s="23"/>
      <c r="Q145" s="24" t="str">
        <f aca="false">IF(A145="","",J145*(1-N145/100)-O145-P145)</f>
        <v/>
      </c>
      <c r="R145" s="25"/>
      <c r="S145" s="17" t="str">
        <f aca="false">IF(Policy!A145="","",Policy!U145)</f>
        <v/>
      </c>
      <c r="T145" s="17" t="str">
        <f aca="false">IF(OR(A145="",Policy!L145=""),"",MONTH(Policy!L145))</f>
        <v/>
      </c>
      <c r="U145" s="17" t="str">
        <f aca="false">IF(OR(A145="",Policy!L145=""),"",YEAR(Policy!L145))</f>
        <v/>
      </c>
      <c r="V145" s="17" t="str">
        <f aca="false">IF(Policy!A145="","",Policy!J145)</f>
        <v/>
      </c>
      <c r="W145" s="14"/>
    </row>
    <row r="146" customFormat="false" ht="15" hidden="false" customHeight="false" outlineLevel="0" collapsed="false">
      <c r="A146" s="17" t="str">
        <f aca="false">IF(Policy!A146="","",Policy!A146)</f>
        <v/>
      </c>
      <c r="B146" s="17" t="str">
        <f aca="false">IF(Policy!A146="","",Policy!B146)</f>
        <v/>
      </c>
      <c r="C146" s="17" t="str">
        <f aca="false">IF(Policy!A146="","",Policy!E146)</f>
        <v/>
      </c>
      <c r="D146" s="17" t="str">
        <f aca="false">IF(Policy!A146="","",Policy!G146)</f>
        <v/>
      </c>
      <c r="E146" s="17" t="str">
        <f aca="false">IF(Policy!A146="","",Policy!H146)</f>
        <v/>
      </c>
      <c r="F146" s="22" t="str">
        <f aca="false">IF(Policy!A146="","",Risk!D146)</f>
        <v/>
      </c>
      <c r="G146" s="23"/>
      <c r="H146" s="24" t="str">
        <f aca="false">IF(A146="","",G146*(1-M146/100))</f>
        <v/>
      </c>
      <c r="I146" s="24" t="str">
        <f aca="false">IF(A146="","",G146*F146/100)</f>
        <v/>
      </c>
      <c r="J146" s="24" t="str">
        <f aca="false">IF(A146="","",I146*(1-M146/100))</f>
        <v/>
      </c>
      <c r="K146" s="25"/>
      <c r="L146" s="25"/>
      <c r="M146" s="26" t="str">
        <f aca="false">IF(A146="","",K146+L146)</f>
        <v/>
      </c>
      <c r="N146" s="25"/>
      <c r="O146" s="23"/>
      <c r="P146" s="23"/>
      <c r="Q146" s="24" t="str">
        <f aca="false">IF(A146="","",J146*(1-N146/100)-O146-P146)</f>
        <v/>
      </c>
      <c r="R146" s="25"/>
      <c r="S146" s="17" t="str">
        <f aca="false">IF(Policy!A146="","",Policy!U146)</f>
        <v/>
      </c>
      <c r="T146" s="17" t="str">
        <f aca="false">IF(OR(A146="",Policy!L146=""),"",MONTH(Policy!L146))</f>
        <v/>
      </c>
      <c r="U146" s="17" t="str">
        <f aca="false">IF(OR(A146="",Policy!L146=""),"",YEAR(Policy!L146))</f>
        <v/>
      </c>
      <c r="V146" s="17" t="str">
        <f aca="false">IF(Policy!A146="","",Policy!J146)</f>
        <v/>
      </c>
      <c r="W146" s="14"/>
    </row>
    <row r="147" customFormat="false" ht="15" hidden="false" customHeight="false" outlineLevel="0" collapsed="false">
      <c r="A147" s="17" t="str">
        <f aca="false">IF(Policy!A147="","",Policy!A147)</f>
        <v/>
      </c>
      <c r="B147" s="17" t="str">
        <f aca="false">IF(Policy!A147="","",Policy!B147)</f>
        <v/>
      </c>
      <c r="C147" s="17" t="str">
        <f aca="false">IF(Policy!A147="","",Policy!E147)</f>
        <v/>
      </c>
      <c r="D147" s="17" t="str">
        <f aca="false">IF(Policy!A147="","",Policy!G147)</f>
        <v/>
      </c>
      <c r="E147" s="17" t="str">
        <f aca="false">IF(Policy!A147="","",Policy!H147)</f>
        <v/>
      </c>
      <c r="F147" s="22" t="str">
        <f aca="false">IF(Policy!A147="","",Risk!D147)</f>
        <v/>
      </c>
      <c r="G147" s="23"/>
      <c r="H147" s="24" t="str">
        <f aca="false">IF(A147="","",G147*(1-M147/100))</f>
        <v/>
      </c>
      <c r="I147" s="24" t="str">
        <f aca="false">IF(A147="","",G147*F147/100)</f>
        <v/>
      </c>
      <c r="J147" s="24" t="str">
        <f aca="false">IF(A147="","",I147*(1-M147/100))</f>
        <v/>
      </c>
      <c r="K147" s="25"/>
      <c r="L147" s="25"/>
      <c r="M147" s="26" t="str">
        <f aca="false">IF(A147="","",K147+L147)</f>
        <v/>
      </c>
      <c r="N147" s="25"/>
      <c r="O147" s="23"/>
      <c r="P147" s="23"/>
      <c r="Q147" s="24" t="str">
        <f aca="false">IF(A147="","",J147*(1-N147/100)-O147-P147)</f>
        <v/>
      </c>
      <c r="R147" s="25"/>
      <c r="S147" s="17" t="str">
        <f aca="false">IF(Policy!A147="","",Policy!U147)</f>
        <v/>
      </c>
      <c r="T147" s="17" t="str">
        <f aca="false">IF(OR(A147="",Policy!L147=""),"",MONTH(Policy!L147))</f>
        <v/>
      </c>
      <c r="U147" s="17" t="str">
        <f aca="false">IF(OR(A147="",Policy!L147=""),"",YEAR(Policy!L147))</f>
        <v/>
      </c>
      <c r="V147" s="17" t="str">
        <f aca="false">IF(Policy!A147="","",Policy!J147)</f>
        <v/>
      </c>
      <c r="W147" s="14"/>
    </row>
    <row r="148" customFormat="false" ht="15" hidden="false" customHeight="false" outlineLevel="0" collapsed="false">
      <c r="A148" s="17" t="str">
        <f aca="false">IF(Policy!A148="","",Policy!A148)</f>
        <v/>
      </c>
      <c r="B148" s="17" t="str">
        <f aca="false">IF(Policy!A148="","",Policy!B148)</f>
        <v/>
      </c>
      <c r="C148" s="17" t="str">
        <f aca="false">IF(Policy!A148="","",Policy!E148)</f>
        <v/>
      </c>
      <c r="D148" s="17" t="str">
        <f aca="false">IF(Policy!A148="","",Policy!G148)</f>
        <v/>
      </c>
      <c r="E148" s="17" t="str">
        <f aca="false">IF(Policy!A148="","",Policy!H148)</f>
        <v/>
      </c>
      <c r="F148" s="22" t="str">
        <f aca="false">IF(Policy!A148="","",Risk!D148)</f>
        <v/>
      </c>
      <c r="G148" s="23"/>
      <c r="H148" s="24" t="str">
        <f aca="false">IF(A148="","",G148*(1-M148/100))</f>
        <v/>
      </c>
      <c r="I148" s="24" t="str">
        <f aca="false">IF(A148="","",G148*F148/100)</f>
        <v/>
      </c>
      <c r="J148" s="24" t="str">
        <f aca="false">IF(A148="","",I148*(1-M148/100))</f>
        <v/>
      </c>
      <c r="K148" s="25"/>
      <c r="L148" s="25"/>
      <c r="M148" s="26" t="str">
        <f aca="false">IF(A148="","",K148+L148)</f>
        <v/>
      </c>
      <c r="N148" s="25"/>
      <c r="O148" s="23"/>
      <c r="P148" s="23"/>
      <c r="Q148" s="24" t="str">
        <f aca="false">IF(A148="","",J148*(1-N148/100)-O148-P148)</f>
        <v/>
      </c>
      <c r="R148" s="25"/>
      <c r="S148" s="17" t="str">
        <f aca="false">IF(Policy!A148="","",Policy!U148)</f>
        <v/>
      </c>
      <c r="T148" s="17" t="str">
        <f aca="false">IF(OR(A148="",Policy!L148=""),"",MONTH(Policy!L148))</f>
        <v/>
      </c>
      <c r="U148" s="17" t="str">
        <f aca="false">IF(OR(A148="",Policy!L148=""),"",YEAR(Policy!L148))</f>
        <v/>
      </c>
      <c r="V148" s="17" t="str">
        <f aca="false">IF(Policy!A148="","",Policy!J148)</f>
        <v/>
      </c>
      <c r="W148" s="14"/>
    </row>
    <row r="149" customFormat="false" ht="15" hidden="false" customHeight="false" outlineLevel="0" collapsed="false">
      <c r="A149" s="17" t="str">
        <f aca="false">IF(Policy!A149="","",Policy!A149)</f>
        <v/>
      </c>
      <c r="B149" s="17" t="str">
        <f aca="false">IF(Policy!A149="","",Policy!B149)</f>
        <v/>
      </c>
      <c r="C149" s="17" t="str">
        <f aca="false">IF(Policy!A149="","",Policy!E149)</f>
        <v/>
      </c>
      <c r="D149" s="17" t="str">
        <f aca="false">IF(Policy!A149="","",Policy!G149)</f>
        <v/>
      </c>
      <c r="E149" s="17" t="str">
        <f aca="false">IF(Policy!A149="","",Policy!H149)</f>
        <v/>
      </c>
      <c r="F149" s="22" t="str">
        <f aca="false">IF(Policy!A149="","",Risk!D149)</f>
        <v/>
      </c>
      <c r="G149" s="23"/>
      <c r="H149" s="24" t="str">
        <f aca="false">IF(A149="","",G149*(1-M149/100))</f>
        <v/>
      </c>
      <c r="I149" s="24" t="str">
        <f aca="false">IF(A149="","",G149*F149/100)</f>
        <v/>
      </c>
      <c r="J149" s="24" t="str">
        <f aca="false">IF(A149="","",I149*(1-M149/100))</f>
        <v/>
      </c>
      <c r="K149" s="25"/>
      <c r="L149" s="25"/>
      <c r="M149" s="26" t="str">
        <f aca="false">IF(A149="","",K149+L149)</f>
        <v/>
      </c>
      <c r="N149" s="25"/>
      <c r="O149" s="23"/>
      <c r="P149" s="23"/>
      <c r="Q149" s="24" t="str">
        <f aca="false">IF(A149="","",J149*(1-N149/100)-O149-P149)</f>
        <v/>
      </c>
      <c r="R149" s="25"/>
      <c r="S149" s="17" t="str">
        <f aca="false">IF(Policy!A149="","",Policy!U149)</f>
        <v/>
      </c>
      <c r="T149" s="17" t="str">
        <f aca="false">IF(OR(A149="",Policy!L149=""),"",MONTH(Policy!L149))</f>
        <v/>
      </c>
      <c r="U149" s="17" t="str">
        <f aca="false">IF(OR(A149="",Policy!L149=""),"",YEAR(Policy!L149))</f>
        <v/>
      </c>
      <c r="V149" s="17" t="str">
        <f aca="false">IF(Policy!A149="","",Policy!J149)</f>
        <v/>
      </c>
      <c r="W149" s="14"/>
    </row>
    <row r="150" customFormat="false" ht="15" hidden="false" customHeight="false" outlineLevel="0" collapsed="false">
      <c r="A150" s="17" t="str">
        <f aca="false">IF(Policy!A150="","",Policy!A150)</f>
        <v/>
      </c>
      <c r="B150" s="17" t="str">
        <f aca="false">IF(Policy!A150="","",Policy!B150)</f>
        <v/>
      </c>
      <c r="C150" s="17" t="str">
        <f aca="false">IF(Policy!A150="","",Policy!E150)</f>
        <v/>
      </c>
      <c r="D150" s="17" t="str">
        <f aca="false">IF(Policy!A150="","",Policy!G150)</f>
        <v/>
      </c>
      <c r="E150" s="17" t="str">
        <f aca="false">IF(Policy!A150="","",Policy!H150)</f>
        <v/>
      </c>
      <c r="F150" s="22" t="str">
        <f aca="false">IF(Policy!A150="","",Risk!D150)</f>
        <v/>
      </c>
      <c r="G150" s="23"/>
      <c r="H150" s="24" t="str">
        <f aca="false">IF(A150="","",G150*(1-M150/100))</f>
        <v/>
      </c>
      <c r="I150" s="24" t="str">
        <f aca="false">IF(A150="","",G150*F150/100)</f>
        <v/>
      </c>
      <c r="J150" s="24" t="str">
        <f aca="false">IF(A150="","",I150*(1-M150/100))</f>
        <v/>
      </c>
      <c r="K150" s="25"/>
      <c r="L150" s="25"/>
      <c r="M150" s="26" t="str">
        <f aca="false">IF(A150="","",K150+L150)</f>
        <v/>
      </c>
      <c r="N150" s="25"/>
      <c r="O150" s="23"/>
      <c r="P150" s="23"/>
      <c r="Q150" s="24" t="str">
        <f aca="false">IF(A150="","",J150*(1-N150/100)-O150-P150)</f>
        <v/>
      </c>
      <c r="R150" s="25"/>
      <c r="S150" s="17" t="str">
        <f aca="false">IF(Policy!A150="","",Policy!U150)</f>
        <v/>
      </c>
      <c r="T150" s="17" t="str">
        <f aca="false">IF(OR(A150="",Policy!L150=""),"",MONTH(Policy!L150))</f>
        <v/>
      </c>
      <c r="U150" s="17" t="str">
        <f aca="false">IF(OR(A150="",Policy!L150=""),"",YEAR(Policy!L150))</f>
        <v/>
      </c>
      <c r="V150" s="17" t="str">
        <f aca="false">IF(Policy!A150="","",Policy!J150)</f>
        <v/>
      </c>
      <c r="W150" s="14"/>
    </row>
    <row r="151" customFormat="false" ht="15" hidden="false" customHeight="false" outlineLevel="0" collapsed="false">
      <c r="A151" s="17" t="str">
        <f aca="false">IF(Policy!A151="","",Policy!A151)</f>
        <v/>
      </c>
      <c r="B151" s="17" t="str">
        <f aca="false">IF(Policy!A151="","",Policy!B151)</f>
        <v/>
      </c>
      <c r="C151" s="17" t="str">
        <f aca="false">IF(Policy!A151="","",Policy!E151)</f>
        <v/>
      </c>
      <c r="D151" s="17" t="str">
        <f aca="false">IF(Policy!A151="","",Policy!G151)</f>
        <v/>
      </c>
      <c r="E151" s="17" t="str">
        <f aca="false">IF(Policy!A151="","",Policy!H151)</f>
        <v/>
      </c>
      <c r="F151" s="22" t="str">
        <f aca="false">IF(Policy!A151="","",Risk!D151)</f>
        <v/>
      </c>
      <c r="G151" s="23"/>
      <c r="H151" s="24" t="str">
        <f aca="false">IF(A151="","",G151*(1-M151/100))</f>
        <v/>
      </c>
      <c r="I151" s="24" t="str">
        <f aca="false">IF(A151="","",G151*F151/100)</f>
        <v/>
      </c>
      <c r="J151" s="24" t="str">
        <f aca="false">IF(A151="","",I151*(1-M151/100))</f>
        <v/>
      </c>
      <c r="K151" s="25"/>
      <c r="L151" s="25"/>
      <c r="M151" s="26" t="str">
        <f aca="false">IF(A151="","",K151+L151)</f>
        <v/>
      </c>
      <c r="N151" s="25"/>
      <c r="O151" s="23"/>
      <c r="P151" s="23"/>
      <c r="Q151" s="24" t="str">
        <f aca="false">IF(A151="","",J151*(1-N151/100)-O151-P151)</f>
        <v/>
      </c>
      <c r="R151" s="25"/>
      <c r="S151" s="17" t="str">
        <f aca="false">IF(Policy!A151="","",Policy!U151)</f>
        <v/>
      </c>
      <c r="T151" s="17" t="str">
        <f aca="false">IF(OR(A151="",Policy!L151=""),"",MONTH(Policy!L151))</f>
        <v/>
      </c>
      <c r="U151" s="17" t="str">
        <f aca="false">IF(OR(A151="",Policy!L151=""),"",YEAR(Policy!L151))</f>
        <v/>
      </c>
      <c r="V151" s="17" t="str">
        <f aca="false">IF(Policy!A151="","",Policy!J151)</f>
        <v/>
      </c>
      <c r="W151" s="14"/>
    </row>
    <row r="152" customFormat="false" ht="15" hidden="false" customHeight="false" outlineLevel="0" collapsed="false">
      <c r="A152" s="17" t="str">
        <f aca="false">IF(Policy!A152="","",Policy!A152)</f>
        <v/>
      </c>
      <c r="B152" s="17" t="str">
        <f aca="false">IF(Policy!A152="","",Policy!B152)</f>
        <v/>
      </c>
      <c r="C152" s="17" t="str">
        <f aca="false">IF(Policy!A152="","",Policy!E152)</f>
        <v/>
      </c>
      <c r="D152" s="17" t="str">
        <f aca="false">IF(Policy!A152="","",Policy!G152)</f>
        <v/>
      </c>
      <c r="E152" s="17" t="str">
        <f aca="false">IF(Policy!A152="","",Policy!H152)</f>
        <v/>
      </c>
      <c r="F152" s="22" t="str">
        <f aca="false">IF(Policy!A152="","",Risk!D152)</f>
        <v/>
      </c>
      <c r="G152" s="23"/>
      <c r="H152" s="24" t="str">
        <f aca="false">IF(A152="","",G152*(1-M152/100))</f>
        <v/>
      </c>
      <c r="I152" s="24" t="str">
        <f aca="false">IF(A152="","",G152*F152/100)</f>
        <v/>
      </c>
      <c r="J152" s="24" t="str">
        <f aca="false">IF(A152="","",I152*(1-M152/100))</f>
        <v/>
      </c>
      <c r="K152" s="25"/>
      <c r="L152" s="25"/>
      <c r="M152" s="26" t="str">
        <f aca="false">IF(A152="","",K152+L152)</f>
        <v/>
      </c>
      <c r="N152" s="25"/>
      <c r="O152" s="23"/>
      <c r="P152" s="23"/>
      <c r="Q152" s="24" t="str">
        <f aca="false">IF(A152="","",J152*(1-N152/100)-O152-P152)</f>
        <v/>
      </c>
      <c r="R152" s="25"/>
      <c r="S152" s="17" t="str">
        <f aca="false">IF(Policy!A152="","",Policy!U152)</f>
        <v/>
      </c>
      <c r="T152" s="17" t="str">
        <f aca="false">IF(OR(A152="",Policy!L152=""),"",MONTH(Policy!L152))</f>
        <v/>
      </c>
      <c r="U152" s="17" t="str">
        <f aca="false">IF(OR(A152="",Policy!L152=""),"",YEAR(Policy!L152))</f>
        <v/>
      </c>
      <c r="V152" s="17" t="str">
        <f aca="false">IF(Policy!A152="","",Policy!J152)</f>
        <v/>
      </c>
      <c r="W152" s="14"/>
    </row>
    <row r="153" customFormat="false" ht="15" hidden="false" customHeight="false" outlineLevel="0" collapsed="false">
      <c r="A153" s="17" t="str">
        <f aca="false">IF(Policy!A153="","",Policy!A153)</f>
        <v/>
      </c>
      <c r="B153" s="17" t="str">
        <f aca="false">IF(Policy!A153="","",Policy!B153)</f>
        <v/>
      </c>
      <c r="C153" s="17" t="str">
        <f aca="false">IF(Policy!A153="","",Policy!E153)</f>
        <v/>
      </c>
      <c r="D153" s="17" t="str">
        <f aca="false">IF(Policy!A153="","",Policy!G153)</f>
        <v/>
      </c>
      <c r="E153" s="17" t="str">
        <f aca="false">IF(Policy!A153="","",Policy!H153)</f>
        <v/>
      </c>
      <c r="F153" s="22" t="str">
        <f aca="false">IF(Policy!A153="","",Risk!D153)</f>
        <v/>
      </c>
      <c r="G153" s="23"/>
      <c r="H153" s="24" t="str">
        <f aca="false">IF(A153="","",G153*(1-M153/100))</f>
        <v/>
      </c>
      <c r="I153" s="24" t="str">
        <f aca="false">IF(A153="","",G153*F153/100)</f>
        <v/>
      </c>
      <c r="J153" s="24" t="str">
        <f aca="false">IF(A153="","",I153*(1-M153/100))</f>
        <v/>
      </c>
      <c r="K153" s="25"/>
      <c r="L153" s="25"/>
      <c r="M153" s="26" t="str">
        <f aca="false">IF(A153="","",K153+L153)</f>
        <v/>
      </c>
      <c r="N153" s="25"/>
      <c r="O153" s="23"/>
      <c r="P153" s="23"/>
      <c r="Q153" s="24" t="str">
        <f aca="false">IF(A153="","",J153*(1-N153/100)-O153-P153)</f>
        <v/>
      </c>
      <c r="R153" s="25"/>
      <c r="S153" s="17" t="str">
        <f aca="false">IF(Policy!A153="","",Policy!U153)</f>
        <v/>
      </c>
      <c r="T153" s="17" t="str">
        <f aca="false">IF(OR(A153="",Policy!L153=""),"",MONTH(Policy!L153))</f>
        <v/>
      </c>
      <c r="U153" s="17" t="str">
        <f aca="false">IF(OR(A153="",Policy!L153=""),"",YEAR(Policy!L153))</f>
        <v/>
      </c>
      <c r="V153" s="17" t="str">
        <f aca="false">IF(Policy!A153="","",Policy!J153)</f>
        <v/>
      </c>
      <c r="W153" s="14"/>
    </row>
    <row r="154" customFormat="false" ht="15" hidden="false" customHeight="false" outlineLevel="0" collapsed="false">
      <c r="A154" s="17" t="str">
        <f aca="false">IF(Policy!A154="","",Policy!A154)</f>
        <v/>
      </c>
      <c r="B154" s="17" t="str">
        <f aca="false">IF(Policy!A154="","",Policy!B154)</f>
        <v/>
      </c>
      <c r="C154" s="17" t="str">
        <f aca="false">IF(Policy!A154="","",Policy!E154)</f>
        <v/>
      </c>
      <c r="D154" s="17" t="str">
        <f aca="false">IF(Policy!A154="","",Policy!G154)</f>
        <v/>
      </c>
      <c r="E154" s="17" t="str">
        <f aca="false">IF(Policy!A154="","",Policy!H154)</f>
        <v/>
      </c>
      <c r="F154" s="22" t="str">
        <f aca="false">IF(Policy!A154="","",Risk!D154)</f>
        <v/>
      </c>
      <c r="G154" s="23"/>
      <c r="H154" s="24" t="str">
        <f aca="false">IF(A154="","",G154*(1-M154/100))</f>
        <v/>
      </c>
      <c r="I154" s="24" t="str">
        <f aca="false">IF(A154="","",G154*F154/100)</f>
        <v/>
      </c>
      <c r="J154" s="24" t="str">
        <f aca="false">IF(A154="","",I154*(1-M154/100))</f>
        <v/>
      </c>
      <c r="K154" s="25"/>
      <c r="L154" s="25"/>
      <c r="M154" s="26" t="str">
        <f aca="false">IF(A154="","",K154+L154)</f>
        <v/>
      </c>
      <c r="N154" s="25"/>
      <c r="O154" s="23"/>
      <c r="P154" s="23"/>
      <c r="Q154" s="24" t="str">
        <f aca="false">IF(A154="","",J154*(1-N154/100)-O154-P154)</f>
        <v/>
      </c>
      <c r="R154" s="25"/>
      <c r="S154" s="17" t="str">
        <f aca="false">IF(Policy!A154="","",Policy!U154)</f>
        <v/>
      </c>
      <c r="T154" s="17" t="str">
        <f aca="false">IF(OR(A154="",Policy!L154=""),"",MONTH(Policy!L154))</f>
        <v/>
      </c>
      <c r="U154" s="17" t="str">
        <f aca="false">IF(OR(A154="",Policy!L154=""),"",YEAR(Policy!L154))</f>
        <v/>
      </c>
      <c r="V154" s="17" t="str">
        <f aca="false">IF(Policy!A154="","",Policy!J154)</f>
        <v/>
      </c>
      <c r="W154" s="14"/>
    </row>
    <row r="155" customFormat="false" ht="15" hidden="false" customHeight="false" outlineLevel="0" collapsed="false">
      <c r="A155" s="17" t="str">
        <f aca="false">IF(Policy!A155="","",Policy!A155)</f>
        <v/>
      </c>
      <c r="B155" s="17" t="str">
        <f aca="false">IF(Policy!A155="","",Policy!B155)</f>
        <v/>
      </c>
      <c r="C155" s="17" t="str">
        <f aca="false">IF(Policy!A155="","",Policy!E155)</f>
        <v/>
      </c>
      <c r="D155" s="17" t="str">
        <f aca="false">IF(Policy!A155="","",Policy!G155)</f>
        <v/>
      </c>
      <c r="E155" s="17" t="str">
        <f aca="false">IF(Policy!A155="","",Policy!H155)</f>
        <v/>
      </c>
      <c r="F155" s="22" t="str">
        <f aca="false">IF(Policy!A155="","",Risk!D155)</f>
        <v/>
      </c>
      <c r="G155" s="23"/>
      <c r="H155" s="24" t="str">
        <f aca="false">IF(A155="","",G155*(1-M155/100))</f>
        <v/>
      </c>
      <c r="I155" s="24" t="str">
        <f aca="false">IF(A155="","",G155*F155/100)</f>
        <v/>
      </c>
      <c r="J155" s="24" t="str">
        <f aca="false">IF(A155="","",I155*(1-M155/100))</f>
        <v/>
      </c>
      <c r="K155" s="25"/>
      <c r="L155" s="25"/>
      <c r="M155" s="26" t="str">
        <f aca="false">IF(A155="","",K155+L155)</f>
        <v/>
      </c>
      <c r="N155" s="25"/>
      <c r="O155" s="23"/>
      <c r="P155" s="23"/>
      <c r="Q155" s="24" t="str">
        <f aca="false">IF(A155="","",J155*(1-N155/100)-O155-P155)</f>
        <v/>
      </c>
      <c r="R155" s="25"/>
      <c r="S155" s="17" t="str">
        <f aca="false">IF(Policy!A155="","",Policy!U155)</f>
        <v/>
      </c>
      <c r="T155" s="17" t="str">
        <f aca="false">IF(OR(A155="",Policy!L155=""),"",MONTH(Policy!L155))</f>
        <v/>
      </c>
      <c r="U155" s="17" t="str">
        <f aca="false">IF(OR(A155="",Policy!L155=""),"",YEAR(Policy!L155))</f>
        <v/>
      </c>
      <c r="V155" s="17" t="str">
        <f aca="false">IF(Policy!A155="","",Policy!J155)</f>
        <v/>
      </c>
      <c r="W155" s="14"/>
    </row>
    <row r="156" customFormat="false" ht="15" hidden="false" customHeight="false" outlineLevel="0" collapsed="false">
      <c r="A156" s="17" t="str">
        <f aca="false">IF(Policy!A156="","",Policy!A156)</f>
        <v/>
      </c>
      <c r="B156" s="17" t="str">
        <f aca="false">IF(Policy!A156="","",Policy!B156)</f>
        <v/>
      </c>
      <c r="C156" s="17" t="str">
        <f aca="false">IF(Policy!A156="","",Policy!E156)</f>
        <v/>
      </c>
      <c r="D156" s="17" t="str">
        <f aca="false">IF(Policy!A156="","",Policy!G156)</f>
        <v/>
      </c>
      <c r="E156" s="17" t="str">
        <f aca="false">IF(Policy!A156="","",Policy!H156)</f>
        <v/>
      </c>
      <c r="F156" s="22" t="str">
        <f aca="false">IF(Policy!A156="","",Risk!D156)</f>
        <v/>
      </c>
      <c r="G156" s="23"/>
      <c r="H156" s="24" t="str">
        <f aca="false">IF(A156="","",G156*(1-M156/100))</f>
        <v/>
      </c>
      <c r="I156" s="24" t="str">
        <f aca="false">IF(A156="","",G156*F156/100)</f>
        <v/>
      </c>
      <c r="J156" s="24" t="str">
        <f aca="false">IF(A156="","",I156*(1-M156/100))</f>
        <v/>
      </c>
      <c r="K156" s="25"/>
      <c r="L156" s="25"/>
      <c r="M156" s="26" t="str">
        <f aca="false">IF(A156="","",K156+L156)</f>
        <v/>
      </c>
      <c r="N156" s="25"/>
      <c r="O156" s="23"/>
      <c r="P156" s="23"/>
      <c r="Q156" s="24" t="str">
        <f aca="false">IF(A156="","",J156*(1-N156/100)-O156-P156)</f>
        <v/>
      </c>
      <c r="R156" s="25"/>
      <c r="S156" s="17" t="str">
        <f aca="false">IF(Policy!A156="","",Policy!U156)</f>
        <v/>
      </c>
      <c r="T156" s="17" t="str">
        <f aca="false">IF(OR(A156="",Policy!L156=""),"",MONTH(Policy!L156))</f>
        <v/>
      </c>
      <c r="U156" s="17" t="str">
        <f aca="false">IF(OR(A156="",Policy!L156=""),"",YEAR(Policy!L156))</f>
        <v/>
      </c>
      <c r="V156" s="17" t="str">
        <f aca="false">IF(Policy!A156="","",Policy!J156)</f>
        <v/>
      </c>
      <c r="W156" s="14"/>
    </row>
    <row r="157" customFormat="false" ht="15" hidden="false" customHeight="false" outlineLevel="0" collapsed="false">
      <c r="A157" s="17" t="str">
        <f aca="false">IF(Policy!A157="","",Policy!A157)</f>
        <v/>
      </c>
      <c r="B157" s="17" t="str">
        <f aca="false">IF(Policy!A157="","",Policy!B157)</f>
        <v/>
      </c>
      <c r="C157" s="17" t="str">
        <f aca="false">IF(Policy!A157="","",Policy!E157)</f>
        <v/>
      </c>
      <c r="D157" s="17" t="str">
        <f aca="false">IF(Policy!A157="","",Policy!G157)</f>
        <v/>
      </c>
      <c r="E157" s="17" t="str">
        <f aca="false">IF(Policy!A157="","",Policy!H157)</f>
        <v/>
      </c>
      <c r="F157" s="22" t="str">
        <f aca="false">IF(Policy!A157="","",Risk!D157)</f>
        <v/>
      </c>
      <c r="G157" s="23"/>
      <c r="H157" s="24" t="str">
        <f aca="false">IF(A157="","",G157*(1-M157/100))</f>
        <v/>
      </c>
      <c r="I157" s="24" t="str">
        <f aca="false">IF(A157="","",G157*F157/100)</f>
        <v/>
      </c>
      <c r="J157" s="24" t="str">
        <f aca="false">IF(A157="","",I157*(1-M157/100))</f>
        <v/>
      </c>
      <c r="K157" s="25"/>
      <c r="L157" s="25"/>
      <c r="M157" s="26" t="str">
        <f aca="false">IF(A157="","",K157+L157)</f>
        <v/>
      </c>
      <c r="N157" s="25"/>
      <c r="O157" s="23"/>
      <c r="P157" s="23"/>
      <c r="Q157" s="24" t="str">
        <f aca="false">IF(A157="","",J157*(1-N157/100)-O157-P157)</f>
        <v/>
      </c>
      <c r="R157" s="25"/>
      <c r="S157" s="17" t="str">
        <f aca="false">IF(Policy!A157="","",Policy!U157)</f>
        <v/>
      </c>
      <c r="T157" s="17" t="str">
        <f aca="false">IF(OR(A157="",Policy!L157=""),"",MONTH(Policy!L157))</f>
        <v/>
      </c>
      <c r="U157" s="17" t="str">
        <f aca="false">IF(OR(A157="",Policy!L157=""),"",YEAR(Policy!L157))</f>
        <v/>
      </c>
      <c r="V157" s="17" t="str">
        <f aca="false">IF(Policy!A157="","",Policy!J157)</f>
        <v/>
      </c>
      <c r="W157" s="14"/>
    </row>
    <row r="158" customFormat="false" ht="15" hidden="false" customHeight="false" outlineLevel="0" collapsed="false">
      <c r="A158" s="17" t="str">
        <f aca="false">IF(Policy!A158="","",Policy!A158)</f>
        <v/>
      </c>
      <c r="B158" s="17" t="str">
        <f aca="false">IF(Policy!A158="","",Policy!B158)</f>
        <v/>
      </c>
      <c r="C158" s="17" t="str">
        <f aca="false">IF(Policy!A158="","",Policy!E158)</f>
        <v/>
      </c>
      <c r="D158" s="17" t="str">
        <f aca="false">IF(Policy!A158="","",Policy!G158)</f>
        <v/>
      </c>
      <c r="E158" s="17" t="str">
        <f aca="false">IF(Policy!A158="","",Policy!H158)</f>
        <v/>
      </c>
      <c r="F158" s="22" t="str">
        <f aca="false">IF(Policy!A158="","",Risk!D158)</f>
        <v/>
      </c>
      <c r="G158" s="23"/>
      <c r="H158" s="24" t="str">
        <f aca="false">IF(A158="","",G158*(1-M158/100))</f>
        <v/>
      </c>
      <c r="I158" s="24" t="str">
        <f aca="false">IF(A158="","",G158*F158/100)</f>
        <v/>
      </c>
      <c r="J158" s="24" t="str">
        <f aca="false">IF(A158="","",I158*(1-M158/100))</f>
        <v/>
      </c>
      <c r="K158" s="25"/>
      <c r="L158" s="25"/>
      <c r="M158" s="26" t="str">
        <f aca="false">IF(A158="","",K158+L158)</f>
        <v/>
      </c>
      <c r="N158" s="25"/>
      <c r="O158" s="23"/>
      <c r="P158" s="23"/>
      <c r="Q158" s="24" t="str">
        <f aca="false">IF(A158="","",J158*(1-N158/100)-O158-P158)</f>
        <v/>
      </c>
      <c r="R158" s="25"/>
      <c r="S158" s="17" t="str">
        <f aca="false">IF(Policy!A158="","",Policy!U158)</f>
        <v/>
      </c>
      <c r="T158" s="17" t="str">
        <f aca="false">IF(OR(A158="",Policy!L158=""),"",MONTH(Policy!L158))</f>
        <v/>
      </c>
      <c r="U158" s="17" t="str">
        <f aca="false">IF(OR(A158="",Policy!L158=""),"",YEAR(Policy!L158))</f>
        <v/>
      </c>
      <c r="V158" s="17" t="str">
        <f aca="false">IF(Policy!A158="","",Policy!J158)</f>
        <v/>
      </c>
      <c r="W158" s="14"/>
    </row>
    <row r="159" customFormat="false" ht="15" hidden="false" customHeight="false" outlineLevel="0" collapsed="false">
      <c r="A159" s="17" t="str">
        <f aca="false">IF(Policy!A159="","",Policy!A159)</f>
        <v/>
      </c>
      <c r="B159" s="17" t="str">
        <f aca="false">IF(Policy!A159="","",Policy!B159)</f>
        <v/>
      </c>
      <c r="C159" s="17" t="str">
        <f aca="false">IF(Policy!A159="","",Policy!E159)</f>
        <v/>
      </c>
      <c r="D159" s="17" t="str">
        <f aca="false">IF(Policy!A159="","",Policy!G159)</f>
        <v/>
      </c>
      <c r="E159" s="17" t="str">
        <f aca="false">IF(Policy!A159="","",Policy!H159)</f>
        <v/>
      </c>
      <c r="F159" s="22" t="str">
        <f aca="false">IF(Policy!A159="","",Risk!D159)</f>
        <v/>
      </c>
      <c r="G159" s="23"/>
      <c r="H159" s="24" t="str">
        <f aca="false">IF(A159="","",G159*(1-M159/100))</f>
        <v/>
      </c>
      <c r="I159" s="24" t="str">
        <f aca="false">IF(A159="","",G159*F159/100)</f>
        <v/>
      </c>
      <c r="J159" s="24" t="str">
        <f aca="false">IF(A159="","",I159*(1-M159/100))</f>
        <v/>
      </c>
      <c r="K159" s="25"/>
      <c r="L159" s="25"/>
      <c r="M159" s="26" t="str">
        <f aca="false">IF(A159="","",K159+L159)</f>
        <v/>
      </c>
      <c r="N159" s="25"/>
      <c r="O159" s="23"/>
      <c r="P159" s="23"/>
      <c r="Q159" s="24" t="str">
        <f aca="false">IF(A159="","",J159*(1-N159/100)-O159-P159)</f>
        <v/>
      </c>
      <c r="R159" s="25"/>
      <c r="S159" s="17" t="str">
        <f aca="false">IF(Policy!A159="","",Policy!U159)</f>
        <v/>
      </c>
      <c r="T159" s="17" t="str">
        <f aca="false">IF(OR(A159="",Policy!L159=""),"",MONTH(Policy!L159))</f>
        <v/>
      </c>
      <c r="U159" s="17" t="str">
        <f aca="false">IF(OR(A159="",Policy!L159=""),"",YEAR(Policy!L159))</f>
        <v/>
      </c>
      <c r="V159" s="17" t="str">
        <f aca="false">IF(Policy!A159="","",Policy!J159)</f>
        <v/>
      </c>
      <c r="W159" s="14"/>
    </row>
    <row r="160" customFormat="false" ht="15" hidden="false" customHeight="false" outlineLevel="0" collapsed="false">
      <c r="A160" s="17" t="str">
        <f aca="false">IF(Policy!A160="","",Policy!A160)</f>
        <v/>
      </c>
      <c r="B160" s="17" t="str">
        <f aca="false">IF(Policy!A160="","",Policy!B160)</f>
        <v/>
      </c>
      <c r="C160" s="17" t="str">
        <f aca="false">IF(Policy!A160="","",Policy!E160)</f>
        <v/>
      </c>
      <c r="D160" s="17" t="str">
        <f aca="false">IF(Policy!A160="","",Policy!G160)</f>
        <v/>
      </c>
      <c r="E160" s="17" t="str">
        <f aca="false">IF(Policy!A160="","",Policy!H160)</f>
        <v/>
      </c>
      <c r="F160" s="22" t="str">
        <f aca="false">IF(Policy!A160="","",Risk!D160)</f>
        <v/>
      </c>
      <c r="G160" s="23"/>
      <c r="H160" s="24" t="str">
        <f aca="false">IF(A160="","",G160*(1-M160/100))</f>
        <v/>
      </c>
      <c r="I160" s="24" t="str">
        <f aca="false">IF(A160="","",G160*F160/100)</f>
        <v/>
      </c>
      <c r="J160" s="24" t="str">
        <f aca="false">IF(A160="","",I160*(1-M160/100))</f>
        <v/>
      </c>
      <c r="K160" s="25"/>
      <c r="L160" s="25"/>
      <c r="M160" s="26" t="str">
        <f aca="false">IF(A160="","",K160+L160)</f>
        <v/>
      </c>
      <c r="N160" s="25"/>
      <c r="O160" s="23"/>
      <c r="P160" s="23"/>
      <c r="Q160" s="24" t="str">
        <f aca="false">IF(A160="","",J160*(1-N160/100)-O160-P160)</f>
        <v/>
      </c>
      <c r="R160" s="25"/>
      <c r="S160" s="17" t="str">
        <f aca="false">IF(Policy!A160="","",Policy!U160)</f>
        <v/>
      </c>
      <c r="T160" s="17" t="str">
        <f aca="false">IF(OR(A160="",Policy!L160=""),"",MONTH(Policy!L160))</f>
        <v/>
      </c>
      <c r="U160" s="17" t="str">
        <f aca="false">IF(OR(A160="",Policy!L160=""),"",YEAR(Policy!L160))</f>
        <v/>
      </c>
      <c r="V160" s="17" t="str">
        <f aca="false">IF(Policy!A160="","",Policy!J160)</f>
        <v/>
      </c>
      <c r="W160" s="14"/>
    </row>
    <row r="161" customFormat="false" ht="15" hidden="false" customHeight="false" outlineLevel="0" collapsed="false">
      <c r="A161" s="17" t="str">
        <f aca="false">IF(Policy!A161="","",Policy!A161)</f>
        <v/>
      </c>
      <c r="B161" s="17" t="str">
        <f aca="false">IF(Policy!A161="","",Policy!B161)</f>
        <v/>
      </c>
      <c r="C161" s="17" t="str">
        <f aca="false">IF(Policy!A161="","",Policy!E161)</f>
        <v/>
      </c>
      <c r="D161" s="17" t="str">
        <f aca="false">IF(Policy!A161="","",Policy!G161)</f>
        <v/>
      </c>
      <c r="E161" s="17" t="str">
        <f aca="false">IF(Policy!A161="","",Policy!H161)</f>
        <v/>
      </c>
      <c r="F161" s="22" t="str">
        <f aca="false">IF(Policy!A161="","",Risk!D161)</f>
        <v/>
      </c>
      <c r="G161" s="23"/>
      <c r="H161" s="24" t="str">
        <f aca="false">IF(A161="","",G161*(1-M161/100))</f>
        <v/>
      </c>
      <c r="I161" s="24" t="str">
        <f aca="false">IF(A161="","",G161*F161/100)</f>
        <v/>
      </c>
      <c r="J161" s="24" t="str">
        <f aca="false">IF(A161="","",I161*(1-M161/100))</f>
        <v/>
      </c>
      <c r="K161" s="25"/>
      <c r="L161" s="25"/>
      <c r="M161" s="26" t="str">
        <f aca="false">IF(A161="","",K161+L161)</f>
        <v/>
      </c>
      <c r="N161" s="25"/>
      <c r="O161" s="23"/>
      <c r="P161" s="23"/>
      <c r="Q161" s="24" t="str">
        <f aca="false">IF(A161="","",J161*(1-N161/100)-O161-P161)</f>
        <v/>
      </c>
      <c r="R161" s="25"/>
      <c r="S161" s="17" t="str">
        <f aca="false">IF(Policy!A161="","",Policy!U161)</f>
        <v/>
      </c>
      <c r="T161" s="17" t="str">
        <f aca="false">IF(OR(A161="",Policy!L161=""),"",MONTH(Policy!L161))</f>
        <v/>
      </c>
      <c r="U161" s="17" t="str">
        <f aca="false">IF(OR(A161="",Policy!L161=""),"",YEAR(Policy!L161))</f>
        <v/>
      </c>
      <c r="V161" s="17" t="str">
        <f aca="false">IF(Policy!A161="","",Policy!J161)</f>
        <v/>
      </c>
      <c r="W161" s="14"/>
    </row>
    <row r="162" customFormat="false" ht="15" hidden="false" customHeight="false" outlineLevel="0" collapsed="false">
      <c r="A162" s="17" t="str">
        <f aca="false">IF(Policy!A162="","",Policy!A162)</f>
        <v/>
      </c>
      <c r="B162" s="17" t="str">
        <f aca="false">IF(Policy!A162="","",Policy!B162)</f>
        <v/>
      </c>
      <c r="C162" s="17" t="str">
        <f aca="false">IF(Policy!A162="","",Policy!E162)</f>
        <v/>
      </c>
      <c r="D162" s="17" t="str">
        <f aca="false">IF(Policy!A162="","",Policy!G162)</f>
        <v/>
      </c>
      <c r="E162" s="17" t="str">
        <f aca="false">IF(Policy!A162="","",Policy!H162)</f>
        <v/>
      </c>
      <c r="F162" s="22" t="str">
        <f aca="false">IF(Policy!A162="","",Risk!D162)</f>
        <v/>
      </c>
      <c r="G162" s="23"/>
      <c r="H162" s="24" t="str">
        <f aca="false">IF(A162="","",G162*(1-M162/100))</f>
        <v/>
      </c>
      <c r="I162" s="24" t="str">
        <f aca="false">IF(A162="","",G162*F162/100)</f>
        <v/>
      </c>
      <c r="J162" s="24" t="str">
        <f aca="false">IF(A162="","",I162*(1-M162/100))</f>
        <v/>
      </c>
      <c r="K162" s="25"/>
      <c r="L162" s="25"/>
      <c r="M162" s="26" t="str">
        <f aca="false">IF(A162="","",K162+L162)</f>
        <v/>
      </c>
      <c r="N162" s="25"/>
      <c r="O162" s="23"/>
      <c r="P162" s="23"/>
      <c r="Q162" s="24" t="str">
        <f aca="false">IF(A162="","",J162*(1-N162/100)-O162-P162)</f>
        <v/>
      </c>
      <c r="R162" s="25"/>
      <c r="S162" s="17" t="str">
        <f aca="false">IF(Policy!A162="","",Policy!U162)</f>
        <v/>
      </c>
      <c r="T162" s="17" t="str">
        <f aca="false">IF(OR(A162="",Policy!L162=""),"",MONTH(Policy!L162))</f>
        <v/>
      </c>
      <c r="U162" s="17" t="str">
        <f aca="false">IF(OR(A162="",Policy!L162=""),"",YEAR(Policy!L162))</f>
        <v/>
      </c>
      <c r="V162" s="17" t="str">
        <f aca="false">IF(Policy!A162="","",Policy!J162)</f>
        <v/>
      </c>
      <c r="W162" s="14"/>
    </row>
    <row r="163" customFormat="false" ht="15" hidden="false" customHeight="false" outlineLevel="0" collapsed="false">
      <c r="A163" s="17" t="str">
        <f aca="false">IF(Policy!A163="","",Policy!A163)</f>
        <v/>
      </c>
      <c r="B163" s="17" t="str">
        <f aca="false">IF(Policy!A163="","",Policy!B163)</f>
        <v/>
      </c>
      <c r="C163" s="17" t="str">
        <f aca="false">IF(Policy!A163="","",Policy!E163)</f>
        <v/>
      </c>
      <c r="D163" s="17" t="str">
        <f aca="false">IF(Policy!A163="","",Policy!G163)</f>
        <v/>
      </c>
      <c r="E163" s="17" t="str">
        <f aca="false">IF(Policy!A163="","",Policy!H163)</f>
        <v/>
      </c>
      <c r="F163" s="22" t="str">
        <f aca="false">IF(Policy!A163="","",Risk!D163)</f>
        <v/>
      </c>
      <c r="G163" s="23"/>
      <c r="H163" s="24" t="str">
        <f aca="false">IF(A163="","",G163*(1-M163/100))</f>
        <v/>
      </c>
      <c r="I163" s="24" t="str">
        <f aca="false">IF(A163="","",G163*F163/100)</f>
        <v/>
      </c>
      <c r="J163" s="24" t="str">
        <f aca="false">IF(A163="","",I163*(1-M163/100))</f>
        <v/>
      </c>
      <c r="K163" s="25"/>
      <c r="L163" s="25"/>
      <c r="M163" s="26" t="str">
        <f aca="false">IF(A163="","",K163+L163)</f>
        <v/>
      </c>
      <c r="N163" s="25"/>
      <c r="O163" s="23"/>
      <c r="P163" s="23"/>
      <c r="Q163" s="24" t="str">
        <f aca="false">IF(A163="","",J163*(1-N163/100)-O163-P163)</f>
        <v/>
      </c>
      <c r="R163" s="25"/>
      <c r="S163" s="17" t="str">
        <f aca="false">IF(Policy!A163="","",Policy!U163)</f>
        <v/>
      </c>
      <c r="T163" s="17" t="str">
        <f aca="false">IF(OR(A163="",Policy!L163=""),"",MONTH(Policy!L163))</f>
        <v/>
      </c>
      <c r="U163" s="17" t="str">
        <f aca="false">IF(OR(A163="",Policy!L163=""),"",YEAR(Policy!L163))</f>
        <v/>
      </c>
      <c r="V163" s="17" t="str">
        <f aca="false">IF(Policy!A163="","",Policy!J163)</f>
        <v/>
      </c>
      <c r="W163" s="14"/>
    </row>
    <row r="164" customFormat="false" ht="15" hidden="false" customHeight="false" outlineLevel="0" collapsed="false">
      <c r="A164" s="17" t="str">
        <f aca="false">IF(Policy!A164="","",Policy!A164)</f>
        <v/>
      </c>
      <c r="B164" s="17" t="str">
        <f aca="false">IF(Policy!A164="","",Policy!B164)</f>
        <v/>
      </c>
      <c r="C164" s="17" t="str">
        <f aca="false">IF(Policy!A164="","",Policy!E164)</f>
        <v/>
      </c>
      <c r="D164" s="17" t="str">
        <f aca="false">IF(Policy!A164="","",Policy!G164)</f>
        <v/>
      </c>
      <c r="E164" s="17" t="str">
        <f aca="false">IF(Policy!A164="","",Policy!H164)</f>
        <v/>
      </c>
      <c r="F164" s="22" t="str">
        <f aca="false">IF(Policy!A164="","",Risk!D164)</f>
        <v/>
      </c>
      <c r="G164" s="23"/>
      <c r="H164" s="24" t="str">
        <f aca="false">IF(A164="","",G164*(1-M164/100))</f>
        <v/>
      </c>
      <c r="I164" s="24" t="str">
        <f aca="false">IF(A164="","",G164*F164/100)</f>
        <v/>
      </c>
      <c r="J164" s="24" t="str">
        <f aca="false">IF(A164="","",I164*(1-M164/100))</f>
        <v/>
      </c>
      <c r="K164" s="25"/>
      <c r="L164" s="25"/>
      <c r="M164" s="26" t="str">
        <f aca="false">IF(A164="","",K164+L164)</f>
        <v/>
      </c>
      <c r="N164" s="25"/>
      <c r="O164" s="23"/>
      <c r="P164" s="23"/>
      <c r="Q164" s="24" t="str">
        <f aca="false">IF(A164="","",J164*(1-N164/100)-O164-P164)</f>
        <v/>
      </c>
      <c r="R164" s="25"/>
      <c r="S164" s="17" t="str">
        <f aca="false">IF(Policy!A164="","",Policy!U164)</f>
        <v/>
      </c>
      <c r="T164" s="17" t="str">
        <f aca="false">IF(OR(A164="",Policy!L164=""),"",MONTH(Policy!L164))</f>
        <v/>
      </c>
      <c r="U164" s="17" t="str">
        <f aca="false">IF(OR(A164="",Policy!L164=""),"",YEAR(Policy!L164))</f>
        <v/>
      </c>
      <c r="V164" s="17" t="str">
        <f aca="false">IF(Policy!A164="","",Policy!J164)</f>
        <v/>
      </c>
      <c r="W164" s="14"/>
    </row>
    <row r="165" customFormat="false" ht="15" hidden="false" customHeight="false" outlineLevel="0" collapsed="false">
      <c r="A165" s="17" t="str">
        <f aca="false">IF(Policy!A165="","",Policy!A165)</f>
        <v/>
      </c>
      <c r="B165" s="17" t="str">
        <f aca="false">IF(Policy!A165="","",Policy!B165)</f>
        <v/>
      </c>
      <c r="C165" s="17" t="str">
        <f aca="false">IF(Policy!A165="","",Policy!E165)</f>
        <v/>
      </c>
      <c r="D165" s="17" t="str">
        <f aca="false">IF(Policy!A165="","",Policy!G165)</f>
        <v/>
      </c>
      <c r="E165" s="17" t="str">
        <f aca="false">IF(Policy!A165="","",Policy!H165)</f>
        <v/>
      </c>
      <c r="F165" s="22" t="str">
        <f aca="false">IF(Policy!A165="","",Risk!D165)</f>
        <v/>
      </c>
      <c r="G165" s="23"/>
      <c r="H165" s="24" t="str">
        <f aca="false">IF(A165="","",G165*(1-M165/100))</f>
        <v/>
      </c>
      <c r="I165" s="24" t="str">
        <f aca="false">IF(A165="","",G165*F165/100)</f>
        <v/>
      </c>
      <c r="J165" s="24" t="str">
        <f aca="false">IF(A165="","",I165*(1-M165/100))</f>
        <v/>
      </c>
      <c r="K165" s="25"/>
      <c r="L165" s="25"/>
      <c r="M165" s="26" t="str">
        <f aca="false">IF(A165="","",K165+L165)</f>
        <v/>
      </c>
      <c r="N165" s="25"/>
      <c r="O165" s="23"/>
      <c r="P165" s="23"/>
      <c r="Q165" s="24" t="str">
        <f aca="false">IF(A165="","",J165*(1-N165/100)-O165-P165)</f>
        <v/>
      </c>
      <c r="R165" s="25"/>
      <c r="S165" s="17" t="str">
        <f aca="false">IF(Policy!A165="","",Policy!U165)</f>
        <v/>
      </c>
      <c r="T165" s="17" t="str">
        <f aca="false">IF(OR(A165="",Policy!L165=""),"",MONTH(Policy!L165))</f>
        <v/>
      </c>
      <c r="U165" s="17" t="str">
        <f aca="false">IF(OR(A165="",Policy!L165=""),"",YEAR(Policy!L165))</f>
        <v/>
      </c>
      <c r="V165" s="17" t="str">
        <f aca="false">IF(Policy!A165="","",Policy!J165)</f>
        <v/>
      </c>
      <c r="W165" s="14"/>
    </row>
    <row r="166" customFormat="false" ht="15" hidden="false" customHeight="false" outlineLevel="0" collapsed="false">
      <c r="A166" s="17" t="str">
        <f aca="false">IF(Policy!A166="","",Policy!A166)</f>
        <v/>
      </c>
      <c r="B166" s="17" t="str">
        <f aca="false">IF(Policy!A166="","",Policy!B166)</f>
        <v/>
      </c>
      <c r="C166" s="17" t="str">
        <f aca="false">IF(Policy!A166="","",Policy!E166)</f>
        <v/>
      </c>
      <c r="D166" s="17" t="str">
        <f aca="false">IF(Policy!A166="","",Policy!G166)</f>
        <v/>
      </c>
      <c r="E166" s="17" t="str">
        <f aca="false">IF(Policy!A166="","",Policy!H166)</f>
        <v/>
      </c>
      <c r="F166" s="22" t="str">
        <f aca="false">IF(Policy!A166="","",Risk!D166)</f>
        <v/>
      </c>
      <c r="G166" s="23"/>
      <c r="H166" s="24" t="str">
        <f aca="false">IF(A166="","",G166*(1-M166/100))</f>
        <v/>
      </c>
      <c r="I166" s="24" t="str">
        <f aca="false">IF(A166="","",G166*F166/100)</f>
        <v/>
      </c>
      <c r="J166" s="24" t="str">
        <f aca="false">IF(A166="","",I166*(1-M166/100))</f>
        <v/>
      </c>
      <c r="K166" s="25"/>
      <c r="L166" s="25"/>
      <c r="M166" s="26" t="str">
        <f aca="false">IF(A166="","",K166+L166)</f>
        <v/>
      </c>
      <c r="N166" s="25"/>
      <c r="O166" s="23"/>
      <c r="P166" s="23"/>
      <c r="Q166" s="24" t="str">
        <f aca="false">IF(A166="","",J166*(1-N166/100)-O166-P166)</f>
        <v/>
      </c>
      <c r="R166" s="25"/>
      <c r="S166" s="17" t="str">
        <f aca="false">IF(Policy!A166="","",Policy!U166)</f>
        <v/>
      </c>
      <c r="T166" s="17" t="str">
        <f aca="false">IF(OR(A166="",Policy!L166=""),"",MONTH(Policy!L166))</f>
        <v/>
      </c>
      <c r="U166" s="17" t="str">
        <f aca="false">IF(OR(A166="",Policy!L166=""),"",YEAR(Policy!L166))</f>
        <v/>
      </c>
      <c r="V166" s="17" t="str">
        <f aca="false">IF(Policy!A166="","",Policy!J166)</f>
        <v/>
      </c>
      <c r="W166" s="14"/>
    </row>
    <row r="167" customFormat="false" ht="15" hidden="false" customHeight="false" outlineLevel="0" collapsed="false">
      <c r="A167" s="17" t="str">
        <f aca="false">IF(Policy!A167="","",Policy!A167)</f>
        <v/>
      </c>
      <c r="B167" s="17" t="str">
        <f aca="false">IF(Policy!A167="","",Policy!B167)</f>
        <v/>
      </c>
      <c r="C167" s="17" t="str">
        <f aca="false">IF(Policy!A167="","",Policy!E167)</f>
        <v/>
      </c>
      <c r="D167" s="17" t="str">
        <f aca="false">IF(Policy!A167="","",Policy!G167)</f>
        <v/>
      </c>
      <c r="E167" s="17" t="str">
        <f aca="false">IF(Policy!A167="","",Policy!H167)</f>
        <v/>
      </c>
      <c r="F167" s="22" t="str">
        <f aca="false">IF(Policy!A167="","",Risk!D167)</f>
        <v/>
      </c>
      <c r="G167" s="23"/>
      <c r="H167" s="24" t="str">
        <f aca="false">IF(A167="","",G167*(1-M167/100))</f>
        <v/>
      </c>
      <c r="I167" s="24" t="str">
        <f aca="false">IF(A167="","",G167*F167/100)</f>
        <v/>
      </c>
      <c r="J167" s="24" t="str">
        <f aca="false">IF(A167="","",I167*(1-M167/100))</f>
        <v/>
      </c>
      <c r="K167" s="25"/>
      <c r="L167" s="25"/>
      <c r="M167" s="26" t="str">
        <f aca="false">IF(A167="","",K167+L167)</f>
        <v/>
      </c>
      <c r="N167" s="25"/>
      <c r="O167" s="23"/>
      <c r="P167" s="23"/>
      <c r="Q167" s="24" t="str">
        <f aca="false">IF(A167="","",J167*(1-N167/100)-O167-P167)</f>
        <v/>
      </c>
      <c r="R167" s="25"/>
      <c r="S167" s="17" t="str">
        <f aca="false">IF(Policy!A167="","",Policy!U167)</f>
        <v/>
      </c>
      <c r="T167" s="17" t="str">
        <f aca="false">IF(OR(A167="",Policy!L167=""),"",MONTH(Policy!L167))</f>
        <v/>
      </c>
      <c r="U167" s="17" t="str">
        <f aca="false">IF(OR(A167="",Policy!L167=""),"",YEAR(Policy!L167))</f>
        <v/>
      </c>
      <c r="V167" s="17" t="str">
        <f aca="false">IF(Policy!A167="","",Policy!J167)</f>
        <v/>
      </c>
      <c r="W167" s="14"/>
    </row>
    <row r="168" customFormat="false" ht="15" hidden="false" customHeight="false" outlineLevel="0" collapsed="false">
      <c r="A168" s="17" t="str">
        <f aca="false">IF(Policy!A168="","",Policy!A168)</f>
        <v/>
      </c>
      <c r="B168" s="17" t="str">
        <f aca="false">IF(Policy!A168="","",Policy!B168)</f>
        <v/>
      </c>
      <c r="C168" s="17" t="str">
        <f aca="false">IF(Policy!A168="","",Policy!E168)</f>
        <v/>
      </c>
      <c r="D168" s="17" t="str">
        <f aca="false">IF(Policy!A168="","",Policy!G168)</f>
        <v/>
      </c>
      <c r="E168" s="17" t="str">
        <f aca="false">IF(Policy!A168="","",Policy!H168)</f>
        <v/>
      </c>
      <c r="F168" s="22" t="str">
        <f aca="false">IF(Policy!A168="","",Risk!D168)</f>
        <v/>
      </c>
      <c r="G168" s="23"/>
      <c r="H168" s="24" t="str">
        <f aca="false">IF(A168="","",G168*(1-M168/100))</f>
        <v/>
      </c>
      <c r="I168" s="24" t="str">
        <f aca="false">IF(A168="","",G168*F168/100)</f>
        <v/>
      </c>
      <c r="J168" s="24" t="str">
        <f aca="false">IF(A168="","",I168*(1-M168/100))</f>
        <v/>
      </c>
      <c r="K168" s="25"/>
      <c r="L168" s="25"/>
      <c r="M168" s="26" t="str">
        <f aca="false">IF(A168="","",K168+L168)</f>
        <v/>
      </c>
      <c r="N168" s="25"/>
      <c r="O168" s="23"/>
      <c r="P168" s="23"/>
      <c r="Q168" s="24" t="str">
        <f aca="false">IF(A168="","",J168*(1-N168/100)-O168-P168)</f>
        <v/>
      </c>
      <c r="R168" s="25"/>
      <c r="S168" s="17" t="str">
        <f aca="false">IF(Policy!A168="","",Policy!U168)</f>
        <v/>
      </c>
      <c r="T168" s="17" t="str">
        <f aca="false">IF(OR(A168="",Policy!L168=""),"",MONTH(Policy!L168))</f>
        <v/>
      </c>
      <c r="U168" s="17" t="str">
        <f aca="false">IF(OR(A168="",Policy!L168=""),"",YEAR(Policy!L168))</f>
        <v/>
      </c>
      <c r="V168" s="17" t="str">
        <f aca="false">IF(Policy!A168="","",Policy!J168)</f>
        <v/>
      </c>
      <c r="W168" s="14"/>
    </row>
    <row r="169" customFormat="false" ht="15" hidden="false" customHeight="false" outlineLevel="0" collapsed="false">
      <c r="A169" s="17" t="str">
        <f aca="false">IF(Policy!A169="","",Policy!A169)</f>
        <v/>
      </c>
      <c r="B169" s="17" t="str">
        <f aca="false">IF(Policy!A169="","",Policy!B169)</f>
        <v/>
      </c>
      <c r="C169" s="17" t="str">
        <f aca="false">IF(Policy!A169="","",Policy!E169)</f>
        <v/>
      </c>
      <c r="D169" s="17" t="str">
        <f aca="false">IF(Policy!A169="","",Policy!G169)</f>
        <v/>
      </c>
      <c r="E169" s="17" t="str">
        <f aca="false">IF(Policy!A169="","",Policy!H169)</f>
        <v/>
      </c>
      <c r="F169" s="22" t="str">
        <f aca="false">IF(Policy!A169="","",Risk!D169)</f>
        <v/>
      </c>
      <c r="G169" s="23"/>
      <c r="H169" s="24" t="str">
        <f aca="false">IF(A169="","",G169*(1-M169/100))</f>
        <v/>
      </c>
      <c r="I169" s="24" t="str">
        <f aca="false">IF(A169="","",G169*F169/100)</f>
        <v/>
      </c>
      <c r="J169" s="24" t="str">
        <f aca="false">IF(A169="","",I169*(1-M169/100))</f>
        <v/>
      </c>
      <c r="K169" s="25"/>
      <c r="L169" s="25"/>
      <c r="M169" s="26" t="str">
        <f aca="false">IF(A169="","",K169+L169)</f>
        <v/>
      </c>
      <c r="N169" s="25"/>
      <c r="O169" s="23"/>
      <c r="P169" s="23"/>
      <c r="Q169" s="24" t="str">
        <f aca="false">IF(A169="","",J169*(1-N169/100)-O169-P169)</f>
        <v/>
      </c>
      <c r="R169" s="25"/>
      <c r="S169" s="17" t="str">
        <f aca="false">IF(Policy!A169="","",Policy!U169)</f>
        <v/>
      </c>
      <c r="T169" s="17" t="str">
        <f aca="false">IF(OR(A169="",Policy!L169=""),"",MONTH(Policy!L169))</f>
        <v/>
      </c>
      <c r="U169" s="17" t="str">
        <f aca="false">IF(OR(A169="",Policy!L169=""),"",YEAR(Policy!L169))</f>
        <v/>
      </c>
      <c r="V169" s="17" t="str">
        <f aca="false">IF(Policy!A169="","",Policy!J169)</f>
        <v/>
      </c>
      <c r="W169" s="14"/>
    </row>
    <row r="170" customFormat="false" ht="15" hidden="false" customHeight="false" outlineLevel="0" collapsed="false">
      <c r="A170" s="17" t="str">
        <f aca="false">IF(Policy!A170="","",Policy!A170)</f>
        <v/>
      </c>
      <c r="B170" s="17" t="str">
        <f aca="false">IF(Policy!A170="","",Policy!B170)</f>
        <v/>
      </c>
      <c r="C170" s="17" t="str">
        <f aca="false">IF(Policy!A170="","",Policy!E170)</f>
        <v/>
      </c>
      <c r="D170" s="17" t="str">
        <f aca="false">IF(Policy!A170="","",Policy!G170)</f>
        <v/>
      </c>
      <c r="E170" s="17" t="str">
        <f aca="false">IF(Policy!A170="","",Policy!H170)</f>
        <v/>
      </c>
      <c r="F170" s="22" t="str">
        <f aca="false">IF(Policy!A170="","",Risk!D170)</f>
        <v/>
      </c>
      <c r="G170" s="23"/>
      <c r="H170" s="24" t="str">
        <f aca="false">IF(A170="","",G170*(1-M170/100))</f>
        <v/>
      </c>
      <c r="I170" s="24" t="str">
        <f aca="false">IF(A170="","",G170*F170/100)</f>
        <v/>
      </c>
      <c r="J170" s="24" t="str">
        <f aca="false">IF(A170="","",I170*(1-M170/100))</f>
        <v/>
      </c>
      <c r="K170" s="25"/>
      <c r="L170" s="25"/>
      <c r="M170" s="26" t="str">
        <f aca="false">IF(A170="","",K170+L170)</f>
        <v/>
      </c>
      <c r="N170" s="25"/>
      <c r="O170" s="23"/>
      <c r="P170" s="23"/>
      <c r="Q170" s="24" t="str">
        <f aca="false">IF(A170="","",J170*(1-N170/100)-O170-P170)</f>
        <v/>
      </c>
      <c r="R170" s="25"/>
      <c r="S170" s="17" t="str">
        <f aca="false">IF(Policy!A170="","",Policy!U170)</f>
        <v/>
      </c>
      <c r="T170" s="17" t="str">
        <f aca="false">IF(OR(A170="",Policy!L170=""),"",MONTH(Policy!L170))</f>
        <v/>
      </c>
      <c r="U170" s="17" t="str">
        <f aca="false">IF(OR(A170="",Policy!L170=""),"",YEAR(Policy!L170))</f>
        <v/>
      </c>
      <c r="V170" s="17" t="str">
        <f aca="false">IF(Policy!A170="","",Policy!J170)</f>
        <v/>
      </c>
      <c r="W170" s="14"/>
    </row>
    <row r="171" customFormat="false" ht="15" hidden="false" customHeight="false" outlineLevel="0" collapsed="false">
      <c r="A171" s="17" t="str">
        <f aca="false">IF(Policy!A171="","",Policy!A171)</f>
        <v/>
      </c>
      <c r="B171" s="17" t="str">
        <f aca="false">IF(Policy!A171="","",Policy!B171)</f>
        <v/>
      </c>
      <c r="C171" s="17" t="str">
        <f aca="false">IF(Policy!A171="","",Policy!E171)</f>
        <v/>
      </c>
      <c r="D171" s="17" t="str">
        <f aca="false">IF(Policy!A171="","",Policy!G171)</f>
        <v/>
      </c>
      <c r="E171" s="17" t="str">
        <f aca="false">IF(Policy!A171="","",Policy!H171)</f>
        <v/>
      </c>
      <c r="F171" s="22" t="str">
        <f aca="false">IF(Policy!A171="","",Risk!D171)</f>
        <v/>
      </c>
      <c r="G171" s="23"/>
      <c r="H171" s="24" t="str">
        <f aca="false">IF(A171="","",G171*(1-M171/100))</f>
        <v/>
      </c>
      <c r="I171" s="24" t="str">
        <f aca="false">IF(A171="","",G171*F171/100)</f>
        <v/>
      </c>
      <c r="J171" s="24" t="str">
        <f aca="false">IF(A171="","",I171*(1-M171/100))</f>
        <v/>
      </c>
      <c r="K171" s="25"/>
      <c r="L171" s="25"/>
      <c r="M171" s="26" t="str">
        <f aca="false">IF(A171="","",K171+L171)</f>
        <v/>
      </c>
      <c r="N171" s="25"/>
      <c r="O171" s="23"/>
      <c r="P171" s="23"/>
      <c r="Q171" s="24" t="str">
        <f aca="false">IF(A171="","",J171*(1-N171/100)-O171-P171)</f>
        <v/>
      </c>
      <c r="R171" s="25"/>
      <c r="S171" s="17" t="str">
        <f aca="false">IF(Policy!A171="","",Policy!U171)</f>
        <v/>
      </c>
      <c r="T171" s="17" t="str">
        <f aca="false">IF(OR(A171="",Policy!L171=""),"",MONTH(Policy!L171))</f>
        <v/>
      </c>
      <c r="U171" s="17" t="str">
        <f aca="false">IF(OR(A171="",Policy!L171=""),"",YEAR(Policy!L171))</f>
        <v/>
      </c>
      <c r="V171" s="17" t="str">
        <f aca="false">IF(Policy!A171="","",Policy!J171)</f>
        <v/>
      </c>
      <c r="W171" s="14"/>
    </row>
    <row r="172" customFormat="false" ht="15" hidden="false" customHeight="false" outlineLevel="0" collapsed="false">
      <c r="A172" s="17" t="str">
        <f aca="false">IF(Policy!A172="","",Policy!A172)</f>
        <v/>
      </c>
      <c r="B172" s="17" t="str">
        <f aca="false">IF(Policy!A172="","",Policy!B172)</f>
        <v/>
      </c>
      <c r="C172" s="17" t="str">
        <f aca="false">IF(Policy!A172="","",Policy!E172)</f>
        <v/>
      </c>
      <c r="D172" s="17" t="str">
        <f aca="false">IF(Policy!A172="","",Policy!G172)</f>
        <v/>
      </c>
      <c r="E172" s="17" t="str">
        <f aca="false">IF(Policy!A172="","",Policy!H172)</f>
        <v/>
      </c>
      <c r="F172" s="22" t="str">
        <f aca="false">IF(Policy!A172="","",Risk!D172)</f>
        <v/>
      </c>
      <c r="G172" s="23"/>
      <c r="H172" s="24" t="str">
        <f aca="false">IF(A172="","",G172*(1-M172/100))</f>
        <v/>
      </c>
      <c r="I172" s="24" t="str">
        <f aca="false">IF(A172="","",G172*F172/100)</f>
        <v/>
      </c>
      <c r="J172" s="24" t="str">
        <f aca="false">IF(A172="","",I172*(1-M172/100))</f>
        <v/>
      </c>
      <c r="K172" s="25"/>
      <c r="L172" s="25"/>
      <c r="M172" s="26" t="str">
        <f aca="false">IF(A172="","",K172+L172)</f>
        <v/>
      </c>
      <c r="N172" s="25"/>
      <c r="O172" s="23"/>
      <c r="P172" s="23"/>
      <c r="Q172" s="24" t="str">
        <f aca="false">IF(A172="","",J172*(1-N172/100)-O172-P172)</f>
        <v/>
      </c>
      <c r="R172" s="25"/>
      <c r="S172" s="17" t="str">
        <f aca="false">IF(Policy!A172="","",Policy!U172)</f>
        <v/>
      </c>
      <c r="T172" s="17" t="str">
        <f aca="false">IF(OR(A172="",Policy!L172=""),"",MONTH(Policy!L172))</f>
        <v/>
      </c>
      <c r="U172" s="17" t="str">
        <f aca="false">IF(OR(A172="",Policy!L172=""),"",YEAR(Policy!L172))</f>
        <v/>
      </c>
      <c r="V172" s="17" t="str">
        <f aca="false">IF(Policy!A172="","",Policy!J172)</f>
        <v/>
      </c>
      <c r="W172" s="14"/>
    </row>
    <row r="173" customFormat="false" ht="15" hidden="false" customHeight="false" outlineLevel="0" collapsed="false">
      <c r="A173" s="17" t="str">
        <f aca="false">IF(Policy!A173="","",Policy!A173)</f>
        <v/>
      </c>
      <c r="B173" s="17" t="str">
        <f aca="false">IF(Policy!A173="","",Policy!B173)</f>
        <v/>
      </c>
      <c r="C173" s="17" t="str">
        <f aca="false">IF(Policy!A173="","",Policy!E173)</f>
        <v/>
      </c>
      <c r="D173" s="17" t="str">
        <f aca="false">IF(Policy!A173="","",Policy!G173)</f>
        <v/>
      </c>
      <c r="E173" s="17" t="str">
        <f aca="false">IF(Policy!A173="","",Policy!H173)</f>
        <v/>
      </c>
      <c r="F173" s="22" t="str">
        <f aca="false">IF(Policy!A173="","",Risk!D173)</f>
        <v/>
      </c>
      <c r="G173" s="23"/>
      <c r="H173" s="24" t="str">
        <f aca="false">IF(A173="","",G173*(1-M173/100))</f>
        <v/>
      </c>
      <c r="I173" s="24" t="str">
        <f aca="false">IF(A173="","",G173*F173/100)</f>
        <v/>
      </c>
      <c r="J173" s="24" t="str">
        <f aca="false">IF(A173="","",I173*(1-M173/100))</f>
        <v/>
      </c>
      <c r="K173" s="25"/>
      <c r="L173" s="25"/>
      <c r="M173" s="26" t="str">
        <f aca="false">IF(A173="","",K173+L173)</f>
        <v/>
      </c>
      <c r="N173" s="25"/>
      <c r="O173" s="23"/>
      <c r="P173" s="23"/>
      <c r="Q173" s="24" t="str">
        <f aca="false">IF(A173="","",J173*(1-N173/100)-O173-P173)</f>
        <v/>
      </c>
      <c r="R173" s="25"/>
      <c r="S173" s="17" t="str">
        <f aca="false">IF(Policy!A173="","",Policy!U173)</f>
        <v/>
      </c>
      <c r="T173" s="17" t="str">
        <f aca="false">IF(OR(A173="",Policy!L173=""),"",MONTH(Policy!L173))</f>
        <v/>
      </c>
      <c r="U173" s="17" t="str">
        <f aca="false">IF(OR(A173="",Policy!L173=""),"",YEAR(Policy!L173))</f>
        <v/>
      </c>
      <c r="V173" s="17" t="str">
        <f aca="false">IF(Policy!A173="","",Policy!J173)</f>
        <v/>
      </c>
      <c r="W173" s="14"/>
    </row>
    <row r="174" customFormat="false" ht="15" hidden="false" customHeight="false" outlineLevel="0" collapsed="false">
      <c r="A174" s="17" t="str">
        <f aca="false">IF(Policy!A174="","",Policy!A174)</f>
        <v/>
      </c>
      <c r="B174" s="17" t="str">
        <f aca="false">IF(Policy!A174="","",Policy!B174)</f>
        <v/>
      </c>
      <c r="C174" s="17" t="str">
        <f aca="false">IF(Policy!A174="","",Policy!E174)</f>
        <v/>
      </c>
      <c r="D174" s="17" t="str">
        <f aca="false">IF(Policy!A174="","",Policy!G174)</f>
        <v/>
      </c>
      <c r="E174" s="17" t="str">
        <f aca="false">IF(Policy!A174="","",Policy!H174)</f>
        <v/>
      </c>
      <c r="F174" s="22" t="str">
        <f aca="false">IF(Policy!A174="","",Risk!D174)</f>
        <v/>
      </c>
      <c r="G174" s="23"/>
      <c r="H174" s="24" t="str">
        <f aca="false">IF(A174="","",G174*(1-M174/100))</f>
        <v/>
      </c>
      <c r="I174" s="24" t="str">
        <f aca="false">IF(A174="","",G174*F174/100)</f>
        <v/>
      </c>
      <c r="J174" s="24" t="str">
        <f aca="false">IF(A174="","",I174*(1-M174/100))</f>
        <v/>
      </c>
      <c r="K174" s="25"/>
      <c r="L174" s="25"/>
      <c r="M174" s="26" t="str">
        <f aca="false">IF(A174="","",K174+L174)</f>
        <v/>
      </c>
      <c r="N174" s="25"/>
      <c r="O174" s="23"/>
      <c r="P174" s="23"/>
      <c r="Q174" s="24" t="str">
        <f aca="false">IF(A174="","",J174*(1-N174/100)-O174-P174)</f>
        <v/>
      </c>
      <c r="R174" s="25"/>
      <c r="S174" s="17" t="str">
        <f aca="false">IF(Policy!A174="","",Policy!U174)</f>
        <v/>
      </c>
      <c r="T174" s="17" t="str">
        <f aca="false">IF(OR(A174="",Policy!L174=""),"",MONTH(Policy!L174))</f>
        <v/>
      </c>
      <c r="U174" s="17" t="str">
        <f aca="false">IF(OR(A174="",Policy!L174=""),"",YEAR(Policy!L174))</f>
        <v/>
      </c>
      <c r="V174" s="17" t="str">
        <f aca="false">IF(Policy!A174="","",Policy!J174)</f>
        <v/>
      </c>
      <c r="W174" s="14"/>
    </row>
    <row r="175" customFormat="false" ht="15" hidden="false" customHeight="false" outlineLevel="0" collapsed="false">
      <c r="A175" s="17" t="str">
        <f aca="false">IF(Policy!A175="","",Policy!A175)</f>
        <v/>
      </c>
      <c r="B175" s="17" t="str">
        <f aca="false">IF(Policy!A175="","",Policy!B175)</f>
        <v/>
      </c>
      <c r="C175" s="17" t="str">
        <f aca="false">IF(Policy!A175="","",Policy!E175)</f>
        <v/>
      </c>
      <c r="D175" s="17" t="str">
        <f aca="false">IF(Policy!A175="","",Policy!G175)</f>
        <v/>
      </c>
      <c r="E175" s="17" t="str">
        <f aca="false">IF(Policy!A175="","",Policy!H175)</f>
        <v/>
      </c>
      <c r="F175" s="22" t="str">
        <f aca="false">IF(Policy!A175="","",Risk!D175)</f>
        <v/>
      </c>
      <c r="G175" s="23"/>
      <c r="H175" s="24" t="str">
        <f aca="false">IF(A175="","",G175*(1-M175/100))</f>
        <v/>
      </c>
      <c r="I175" s="24" t="str">
        <f aca="false">IF(A175="","",G175*F175/100)</f>
        <v/>
      </c>
      <c r="J175" s="24" t="str">
        <f aca="false">IF(A175="","",I175*(1-M175/100))</f>
        <v/>
      </c>
      <c r="K175" s="25"/>
      <c r="L175" s="25"/>
      <c r="M175" s="26" t="str">
        <f aca="false">IF(A175="","",K175+L175)</f>
        <v/>
      </c>
      <c r="N175" s="25"/>
      <c r="O175" s="23"/>
      <c r="P175" s="23"/>
      <c r="Q175" s="24" t="str">
        <f aca="false">IF(A175="","",J175*(1-N175/100)-O175-P175)</f>
        <v/>
      </c>
      <c r="R175" s="25"/>
      <c r="S175" s="17" t="str">
        <f aca="false">IF(Policy!A175="","",Policy!U175)</f>
        <v/>
      </c>
      <c r="T175" s="17" t="str">
        <f aca="false">IF(OR(A175="",Policy!L175=""),"",MONTH(Policy!L175))</f>
        <v/>
      </c>
      <c r="U175" s="17" t="str">
        <f aca="false">IF(OR(A175="",Policy!L175=""),"",YEAR(Policy!L175))</f>
        <v/>
      </c>
      <c r="V175" s="17" t="str">
        <f aca="false">IF(Policy!A175="","",Policy!J175)</f>
        <v/>
      </c>
      <c r="W175" s="14"/>
    </row>
    <row r="176" customFormat="false" ht="15" hidden="false" customHeight="false" outlineLevel="0" collapsed="false">
      <c r="A176" s="17" t="str">
        <f aca="false">IF(Policy!A176="","",Policy!A176)</f>
        <v/>
      </c>
      <c r="B176" s="17" t="str">
        <f aca="false">IF(Policy!A176="","",Policy!B176)</f>
        <v/>
      </c>
      <c r="C176" s="17" t="str">
        <f aca="false">IF(Policy!A176="","",Policy!E176)</f>
        <v/>
      </c>
      <c r="D176" s="17" t="str">
        <f aca="false">IF(Policy!A176="","",Policy!G176)</f>
        <v/>
      </c>
      <c r="E176" s="17" t="str">
        <f aca="false">IF(Policy!A176="","",Policy!H176)</f>
        <v/>
      </c>
      <c r="F176" s="22" t="str">
        <f aca="false">IF(Policy!A176="","",Risk!D176)</f>
        <v/>
      </c>
      <c r="G176" s="23"/>
      <c r="H176" s="24" t="str">
        <f aca="false">IF(A176="","",G176*(1-M176/100))</f>
        <v/>
      </c>
      <c r="I176" s="24" t="str">
        <f aca="false">IF(A176="","",G176*F176/100)</f>
        <v/>
      </c>
      <c r="J176" s="24" t="str">
        <f aca="false">IF(A176="","",I176*(1-M176/100))</f>
        <v/>
      </c>
      <c r="K176" s="25"/>
      <c r="L176" s="25"/>
      <c r="M176" s="26" t="str">
        <f aca="false">IF(A176="","",K176+L176)</f>
        <v/>
      </c>
      <c r="N176" s="25"/>
      <c r="O176" s="23"/>
      <c r="P176" s="23"/>
      <c r="Q176" s="24" t="str">
        <f aca="false">IF(A176="","",J176*(1-N176/100)-O176-P176)</f>
        <v/>
      </c>
      <c r="R176" s="25"/>
      <c r="S176" s="17" t="str">
        <f aca="false">IF(Policy!A176="","",Policy!U176)</f>
        <v/>
      </c>
      <c r="T176" s="17" t="str">
        <f aca="false">IF(OR(A176="",Policy!L176=""),"",MONTH(Policy!L176))</f>
        <v/>
      </c>
      <c r="U176" s="17" t="str">
        <f aca="false">IF(OR(A176="",Policy!L176=""),"",YEAR(Policy!L176))</f>
        <v/>
      </c>
      <c r="V176" s="17" t="str">
        <f aca="false">IF(Policy!A176="","",Policy!J176)</f>
        <v/>
      </c>
      <c r="W176" s="14"/>
    </row>
    <row r="177" customFormat="false" ht="15" hidden="false" customHeight="false" outlineLevel="0" collapsed="false">
      <c r="A177" s="17" t="str">
        <f aca="false">IF(Policy!A177="","",Policy!A177)</f>
        <v/>
      </c>
      <c r="B177" s="17" t="str">
        <f aca="false">IF(Policy!A177="","",Policy!B177)</f>
        <v/>
      </c>
      <c r="C177" s="17" t="str">
        <f aca="false">IF(Policy!A177="","",Policy!E177)</f>
        <v/>
      </c>
      <c r="D177" s="17" t="str">
        <f aca="false">IF(Policy!A177="","",Policy!G177)</f>
        <v/>
      </c>
      <c r="E177" s="17" t="str">
        <f aca="false">IF(Policy!A177="","",Policy!H177)</f>
        <v/>
      </c>
      <c r="F177" s="22" t="str">
        <f aca="false">IF(Policy!A177="","",Risk!D177)</f>
        <v/>
      </c>
      <c r="G177" s="23"/>
      <c r="H177" s="24" t="str">
        <f aca="false">IF(A177="","",G177*(1-M177/100))</f>
        <v/>
      </c>
      <c r="I177" s="24" t="str">
        <f aca="false">IF(A177="","",G177*F177/100)</f>
        <v/>
      </c>
      <c r="J177" s="24" t="str">
        <f aca="false">IF(A177="","",I177*(1-M177/100))</f>
        <v/>
      </c>
      <c r="K177" s="25"/>
      <c r="L177" s="25"/>
      <c r="M177" s="26" t="str">
        <f aca="false">IF(A177="","",K177+L177)</f>
        <v/>
      </c>
      <c r="N177" s="25"/>
      <c r="O177" s="23"/>
      <c r="P177" s="23"/>
      <c r="Q177" s="24" t="str">
        <f aca="false">IF(A177="","",J177*(1-N177/100)-O177-P177)</f>
        <v/>
      </c>
      <c r="R177" s="25"/>
      <c r="S177" s="17" t="str">
        <f aca="false">IF(Policy!A177="","",Policy!U177)</f>
        <v/>
      </c>
      <c r="T177" s="17" t="str">
        <f aca="false">IF(OR(A177="",Policy!L177=""),"",MONTH(Policy!L177))</f>
        <v/>
      </c>
      <c r="U177" s="17" t="str">
        <f aca="false">IF(OR(A177="",Policy!L177=""),"",YEAR(Policy!L177))</f>
        <v/>
      </c>
      <c r="V177" s="17" t="str">
        <f aca="false">IF(Policy!A177="","",Policy!J177)</f>
        <v/>
      </c>
      <c r="W177" s="14"/>
    </row>
    <row r="178" customFormat="false" ht="15" hidden="false" customHeight="false" outlineLevel="0" collapsed="false">
      <c r="A178" s="17" t="str">
        <f aca="false">IF(Policy!A178="","",Policy!A178)</f>
        <v/>
      </c>
      <c r="B178" s="17" t="str">
        <f aca="false">IF(Policy!A178="","",Policy!B178)</f>
        <v/>
      </c>
      <c r="C178" s="17" t="str">
        <f aca="false">IF(Policy!A178="","",Policy!E178)</f>
        <v/>
      </c>
      <c r="D178" s="17" t="str">
        <f aca="false">IF(Policy!A178="","",Policy!G178)</f>
        <v/>
      </c>
      <c r="E178" s="17" t="str">
        <f aca="false">IF(Policy!A178="","",Policy!H178)</f>
        <v/>
      </c>
      <c r="F178" s="22" t="str">
        <f aca="false">IF(Policy!A178="","",Risk!D178)</f>
        <v/>
      </c>
      <c r="G178" s="23"/>
      <c r="H178" s="24" t="str">
        <f aca="false">IF(A178="","",G178*(1-M178/100))</f>
        <v/>
      </c>
      <c r="I178" s="24" t="str">
        <f aca="false">IF(A178="","",G178*F178/100)</f>
        <v/>
      </c>
      <c r="J178" s="24" t="str">
        <f aca="false">IF(A178="","",I178*(1-M178/100))</f>
        <v/>
      </c>
      <c r="K178" s="25"/>
      <c r="L178" s="25"/>
      <c r="M178" s="26" t="str">
        <f aca="false">IF(A178="","",K178+L178)</f>
        <v/>
      </c>
      <c r="N178" s="25"/>
      <c r="O178" s="23"/>
      <c r="P178" s="23"/>
      <c r="Q178" s="24" t="str">
        <f aca="false">IF(A178="","",J178*(1-N178/100)-O178-P178)</f>
        <v/>
      </c>
      <c r="R178" s="25"/>
      <c r="S178" s="17" t="str">
        <f aca="false">IF(Policy!A178="","",Policy!U178)</f>
        <v/>
      </c>
      <c r="T178" s="17" t="str">
        <f aca="false">IF(OR(A178="",Policy!L178=""),"",MONTH(Policy!L178))</f>
        <v/>
      </c>
      <c r="U178" s="17" t="str">
        <f aca="false">IF(OR(A178="",Policy!L178=""),"",YEAR(Policy!L178))</f>
        <v/>
      </c>
      <c r="V178" s="17" t="str">
        <f aca="false">IF(Policy!A178="","",Policy!J178)</f>
        <v/>
      </c>
      <c r="W178" s="14"/>
    </row>
    <row r="179" customFormat="false" ht="15" hidden="false" customHeight="false" outlineLevel="0" collapsed="false">
      <c r="A179" s="17" t="str">
        <f aca="false">IF(Policy!A179="","",Policy!A179)</f>
        <v/>
      </c>
      <c r="B179" s="17" t="str">
        <f aca="false">IF(Policy!A179="","",Policy!B179)</f>
        <v/>
      </c>
      <c r="C179" s="17" t="str">
        <f aca="false">IF(Policy!A179="","",Policy!E179)</f>
        <v/>
      </c>
      <c r="D179" s="17" t="str">
        <f aca="false">IF(Policy!A179="","",Policy!G179)</f>
        <v/>
      </c>
      <c r="E179" s="17" t="str">
        <f aca="false">IF(Policy!A179="","",Policy!H179)</f>
        <v/>
      </c>
      <c r="F179" s="22" t="str">
        <f aca="false">IF(Policy!A179="","",Risk!D179)</f>
        <v/>
      </c>
      <c r="G179" s="23"/>
      <c r="H179" s="24" t="str">
        <f aca="false">IF(A179="","",G179*(1-M179/100))</f>
        <v/>
      </c>
      <c r="I179" s="24" t="str">
        <f aca="false">IF(A179="","",G179*F179/100)</f>
        <v/>
      </c>
      <c r="J179" s="24" t="str">
        <f aca="false">IF(A179="","",I179*(1-M179/100))</f>
        <v/>
      </c>
      <c r="K179" s="25"/>
      <c r="L179" s="25"/>
      <c r="M179" s="26" t="str">
        <f aca="false">IF(A179="","",K179+L179)</f>
        <v/>
      </c>
      <c r="N179" s="25"/>
      <c r="O179" s="23"/>
      <c r="P179" s="23"/>
      <c r="Q179" s="24" t="str">
        <f aca="false">IF(A179="","",J179*(1-N179/100)-O179-P179)</f>
        <v/>
      </c>
      <c r="R179" s="25"/>
      <c r="S179" s="17" t="str">
        <f aca="false">IF(Policy!A179="","",Policy!U179)</f>
        <v/>
      </c>
      <c r="T179" s="17" t="str">
        <f aca="false">IF(OR(A179="",Policy!L179=""),"",MONTH(Policy!L179))</f>
        <v/>
      </c>
      <c r="U179" s="17" t="str">
        <f aca="false">IF(OR(A179="",Policy!L179=""),"",YEAR(Policy!L179))</f>
        <v/>
      </c>
      <c r="V179" s="17" t="str">
        <f aca="false">IF(Policy!A179="","",Policy!J179)</f>
        <v/>
      </c>
      <c r="W179" s="14"/>
    </row>
    <row r="180" customFormat="false" ht="15" hidden="false" customHeight="false" outlineLevel="0" collapsed="false">
      <c r="A180" s="17" t="str">
        <f aca="false">IF(Policy!A180="","",Policy!A180)</f>
        <v/>
      </c>
      <c r="B180" s="17" t="str">
        <f aca="false">IF(Policy!A180="","",Policy!B180)</f>
        <v/>
      </c>
      <c r="C180" s="17" t="str">
        <f aca="false">IF(Policy!A180="","",Policy!E180)</f>
        <v/>
      </c>
      <c r="D180" s="17" t="str">
        <f aca="false">IF(Policy!A180="","",Policy!G180)</f>
        <v/>
      </c>
      <c r="E180" s="17" t="str">
        <f aca="false">IF(Policy!A180="","",Policy!H180)</f>
        <v/>
      </c>
      <c r="F180" s="22" t="str">
        <f aca="false">IF(Policy!A180="","",Risk!D180)</f>
        <v/>
      </c>
      <c r="G180" s="23"/>
      <c r="H180" s="24" t="str">
        <f aca="false">IF(A180="","",G180*(1-M180/100))</f>
        <v/>
      </c>
      <c r="I180" s="24" t="str">
        <f aca="false">IF(A180="","",G180*F180/100)</f>
        <v/>
      </c>
      <c r="J180" s="24" t="str">
        <f aca="false">IF(A180="","",I180*(1-M180/100))</f>
        <v/>
      </c>
      <c r="K180" s="25"/>
      <c r="L180" s="25"/>
      <c r="M180" s="26" t="str">
        <f aca="false">IF(A180="","",K180+L180)</f>
        <v/>
      </c>
      <c r="N180" s="25"/>
      <c r="O180" s="23"/>
      <c r="P180" s="23"/>
      <c r="Q180" s="24" t="str">
        <f aca="false">IF(A180="","",J180*(1-N180/100)-O180-P180)</f>
        <v/>
      </c>
      <c r="R180" s="25"/>
      <c r="S180" s="17" t="str">
        <f aca="false">IF(Policy!A180="","",Policy!U180)</f>
        <v/>
      </c>
      <c r="T180" s="17" t="str">
        <f aca="false">IF(OR(A180="",Policy!L180=""),"",MONTH(Policy!L180))</f>
        <v/>
      </c>
      <c r="U180" s="17" t="str">
        <f aca="false">IF(OR(A180="",Policy!L180=""),"",YEAR(Policy!L180))</f>
        <v/>
      </c>
      <c r="V180" s="17" t="str">
        <f aca="false">IF(Policy!A180="","",Policy!J180)</f>
        <v/>
      </c>
      <c r="W180" s="14"/>
    </row>
    <row r="181" customFormat="false" ht="15" hidden="false" customHeight="false" outlineLevel="0" collapsed="false">
      <c r="A181" s="17" t="str">
        <f aca="false">IF(Policy!A181="","",Policy!A181)</f>
        <v/>
      </c>
      <c r="B181" s="17" t="str">
        <f aca="false">IF(Policy!A181="","",Policy!B181)</f>
        <v/>
      </c>
      <c r="C181" s="17" t="str">
        <f aca="false">IF(Policy!A181="","",Policy!E181)</f>
        <v/>
      </c>
      <c r="D181" s="17" t="str">
        <f aca="false">IF(Policy!A181="","",Policy!G181)</f>
        <v/>
      </c>
      <c r="E181" s="17" t="str">
        <f aca="false">IF(Policy!A181="","",Policy!H181)</f>
        <v/>
      </c>
      <c r="F181" s="22" t="str">
        <f aca="false">IF(Policy!A181="","",Risk!D181)</f>
        <v/>
      </c>
      <c r="G181" s="23"/>
      <c r="H181" s="24" t="str">
        <f aca="false">IF(A181="","",G181*(1-M181/100))</f>
        <v/>
      </c>
      <c r="I181" s="24" t="str">
        <f aca="false">IF(A181="","",G181*F181/100)</f>
        <v/>
      </c>
      <c r="J181" s="24" t="str">
        <f aca="false">IF(A181="","",I181*(1-M181/100))</f>
        <v/>
      </c>
      <c r="K181" s="25"/>
      <c r="L181" s="25"/>
      <c r="M181" s="26" t="str">
        <f aca="false">IF(A181="","",K181+L181)</f>
        <v/>
      </c>
      <c r="N181" s="25"/>
      <c r="O181" s="23"/>
      <c r="P181" s="23"/>
      <c r="Q181" s="24" t="str">
        <f aca="false">IF(A181="","",J181*(1-N181/100)-O181-P181)</f>
        <v/>
      </c>
      <c r="R181" s="25"/>
      <c r="S181" s="17" t="str">
        <f aca="false">IF(Policy!A181="","",Policy!U181)</f>
        <v/>
      </c>
      <c r="T181" s="17" t="str">
        <f aca="false">IF(OR(A181="",Policy!L181=""),"",MONTH(Policy!L181))</f>
        <v/>
      </c>
      <c r="U181" s="17" t="str">
        <f aca="false">IF(OR(A181="",Policy!L181=""),"",YEAR(Policy!L181))</f>
        <v/>
      </c>
      <c r="V181" s="17" t="str">
        <f aca="false">IF(Policy!A181="","",Policy!J181)</f>
        <v/>
      </c>
      <c r="W181" s="14"/>
    </row>
    <row r="182" customFormat="false" ht="15" hidden="false" customHeight="false" outlineLevel="0" collapsed="false">
      <c r="A182" s="17" t="str">
        <f aca="false">IF(Policy!A182="","",Policy!A182)</f>
        <v/>
      </c>
      <c r="B182" s="17" t="str">
        <f aca="false">IF(Policy!A182="","",Policy!B182)</f>
        <v/>
      </c>
      <c r="C182" s="17" t="str">
        <f aca="false">IF(Policy!A182="","",Policy!E182)</f>
        <v/>
      </c>
      <c r="D182" s="17" t="str">
        <f aca="false">IF(Policy!A182="","",Policy!G182)</f>
        <v/>
      </c>
      <c r="E182" s="17" t="str">
        <f aca="false">IF(Policy!A182="","",Policy!H182)</f>
        <v/>
      </c>
      <c r="F182" s="22" t="str">
        <f aca="false">IF(Policy!A182="","",Risk!D182)</f>
        <v/>
      </c>
      <c r="G182" s="23"/>
      <c r="H182" s="24" t="str">
        <f aca="false">IF(A182="","",G182*(1-M182/100))</f>
        <v/>
      </c>
      <c r="I182" s="24" t="str">
        <f aca="false">IF(A182="","",G182*F182/100)</f>
        <v/>
      </c>
      <c r="J182" s="24" t="str">
        <f aca="false">IF(A182="","",I182*(1-M182/100))</f>
        <v/>
      </c>
      <c r="K182" s="25"/>
      <c r="L182" s="25"/>
      <c r="M182" s="26" t="str">
        <f aca="false">IF(A182="","",K182+L182)</f>
        <v/>
      </c>
      <c r="N182" s="25"/>
      <c r="O182" s="23"/>
      <c r="P182" s="23"/>
      <c r="Q182" s="24" t="str">
        <f aca="false">IF(A182="","",J182*(1-N182/100)-O182-P182)</f>
        <v/>
      </c>
      <c r="R182" s="25"/>
      <c r="S182" s="17" t="str">
        <f aca="false">IF(Policy!A182="","",Policy!U182)</f>
        <v/>
      </c>
      <c r="T182" s="17" t="str">
        <f aca="false">IF(OR(A182="",Policy!L182=""),"",MONTH(Policy!L182))</f>
        <v/>
      </c>
      <c r="U182" s="17" t="str">
        <f aca="false">IF(OR(A182="",Policy!L182=""),"",YEAR(Policy!L182))</f>
        <v/>
      </c>
      <c r="V182" s="17" t="str">
        <f aca="false">IF(Policy!A182="","",Policy!J182)</f>
        <v/>
      </c>
      <c r="W182" s="14"/>
    </row>
    <row r="183" customFormat="false" ht="15" hidden="false" customHeight="false" outlineLevel="0" collapsed="false">
      <c r="A183" s="17" t="str">
        <f aca="false">IF(Policy!A183="","",Policy!A183)</f>
        <v/>
      </c>
      <c r="B183" s="17" t="str">
        <f aca="false">IF(Policy!A183="","",Policy!B183)</f>
        <v/>
      </c>
      <c r="C183" s="17" t="str">
        <f aca="false">IF(Policy!A183="","",Policy!E183)</f>
        <v/>
      </c>
      <c r="D183" s="17" t="str">
        <f aca="false">IF(Policy!A183="","",Policy!G183)</f>
        <v/>
      </c>
      <c r="E183" s="17" t="str">
        <f aca="false">IF(Policy!A183="","",Policy!H183)</f>
        <v/>
      </c>
      <c r="F183" s="22" t="str">
        <f aca="false">IF(Policy!A183="","",Risk!D183)</f>
        <v/>
      </c>
      <c r="G183" s="23"/>
      <c r="H183" s="24" t="str">
        <f aca="false">IF(A183="","",G183*(1-M183/100))</f>
        <v/>
      </c>
      <c r="I183" s="24" t="str">
        <f aca="false">IF(A183="","",G183*F183/100)</f>
        <v/>
      </c>
      <c r="J183" s="24" t="str">
        <f aca="false">IF(A183="","",I183*(1-M183/100))</f>
        <v/>
      </c>
      <c r="K183" s="25"/>
      <c r="L183" s="25"/>
      <c r="M183" s="26" t="str">
        <f aca="false">IF(A183="","",K183+L183)</f>
        <v/>
      </c>
      <c r="N183" s="25"/>
      <c r="O183" s="23"/>
      <c r="P183" s="23"/>
      <c r="Q183" s="24" t="str">
        <f aca="false">IF(A183="","",J183*(1-N183/100)-O183-P183)</f>
        <v/>
      </c>
      <c r="R183" s="25"/>
      <c r="S183" s="17" t="str">
        <f aca="false">IF(Policy!A183="","",Policy!U183)</f>
        <v/>
      </c>
      <c r="T183" s="17" t="str">
        <f aca="false">IF(OR(A183="",Policy!L183=""),"",MONTH(Policy!L183))</f>
        <v/>
      </c>
      <c r="U183" s="17" t="str">
        <f aca="false">IF(OR(A183="",Policy!L183=""),"",YEAR(Policy!L183))</f>
        <v/>
      </c>
      <c r="V183" s="17" t="str">
        <f aca="false">IF(Policy!A183="","",Policy!J183)</f>
        <v/>
      </c>
      <c r="W183" s="14"/>
    </row>
    <row r="184" customFormat="false" ht="15" hidden="false" customHeight="false" outlineLevel="0" collapsed="false">
      <c r="A184" s="17" t="str">
        <f aca="false">IF(Policy!A184="","",Policy!A184)</f>
        <v/>
      </c>
      <c r="B184" s="17" t="str">
        <f aca="false">IF(Policy!A184="","",Policy!B184)</f>
        <v/>
      </c>
      <c r="C184" s="17" t="str">
        <f aca="false">IF(Policy!A184="","",Policy!E184)</f>
        <v/>
      </c>
      <c r="D184" s="17" t="str">
        <f aca="false">IF(Policy!A184="","",Policy!G184)</f>
        <v/>
      </c>
      <c r="E184" s="17" t="str">
        <f aca="false">IF(Policy!A184="","",Policy!H184)</f>
        <v/>
      </c>
      <c r="F184" s="22" t="str">
        <f aca="false">IF(Policy!A184="","",Risk!D184)</f>
        <v/>
      </c>
      <c r="G184" s="23"/>
      <c r="H184" s="24" t="str">
        <f aca="false">IF(A184="","",G184*(1-M184/100))</f>
        <v/>
      </c>
      <c r="I184" s="24" t="str">
        <f aca="false">IF(A184="","",G184*F184/100)</f>
        <v/>
      </c>
      <c r="J184" s="24" t="str">
        <f aca="false">IF(A184="","",I184*(1-M184/100))</f>
        <v/>
      </c>
      <c r="K184" s="25"/>
      <c r="L184" s="25"/>
      <c r="M184" s="26" t="str">
        <f aca="false">IF(A184="","",K184+L184)</f>
        <v/>
      </c>
      <c r="N184" s="25"/>
      <c r="O184" s="23"/>
      <c r="P184" s="23"/>
      <c r="Q184" s="24" t="str">
        <f aca="false">IF(A184="","",J184*(1-N184/100)-O184-P184)</f>
        <v/>
      </c>
      <c r="R184" s="25"/>
      <c r="S184" s="17" t="str">
        <f aca="false">IF(Policy!A184="","",Policy!U184)</f>
        <v/>
      </c>
      <c r="T184" s="17" t="str">
        <f aca="false">IF(OR(A184="",Policy!L184=""),"",MONTH(Policy!L184))</f>
        <v/>
      </c>
      <c r="U184" s="17" t="str">
        <f aca="false">IF(OR(A184="",Policy!L184=""),"",YEAR(Policy!L184))</f>
        <v/>
      </c>
      <c r="V184" s="17" t="str">
        <f aca="false">IF(Policy!A184="","",Policy!J184)</f>
        <v/>
      </c>
      <c r="W184" s="14"/>
    </row>
    <row r="185" customFormat="false" ht="15" hidden="false" customHeight="false" outlineLevel="0" collapsed="false">
      <c r="A185" s="17" t="str">
        <f aca="false">IF(Policy!A185="","",Policy!A185)</f>
        <v/>
      </c>
      <c r="B185" s="17" t="str">
        <f aca="false">IF(Policy!A185="","",Policy!B185)</f>
        <v/>
      </c>
      <c r="C185" s="17" t="str">
        <f aca="false">IF(Policy!A185="","",Policy!E185)</f>
        <v/>
      </c>
      <c r="D185" s="17" t="str">
        <f aca="false">IF(Policy!A185="","",Policy!G185)</f>
        <v/>
      </c>
      <c r="E185" s="17" t="str">
        <f aca="false">IF(Policy!A185="","",Policy!H185)</f>
        <v/>
      </c>
      <c r="F185" s="22" t="str">
        <f aca="false">IF(Policy!A185="","",Risk!D185)</f>
        <v/>
      </c>
      <c r="G185" s="23"/>
      <c r="H185" s="24" t="str">
        <f aca="false">IF(A185="","",G185*(1-M185/100))</f>
        <v/>
      </c>
      <c r="I185" s="24" t="str">
        <f aca="false">IF(A185="","",G185*F185/100)</f>
        <v/>
      </c>
      <c r="J185" s="24" t="str">
        <f aca="false">IF(A185="","",I185*(1-M185/100))</f>
        <v/>
      </c>
      <c r="K185" s="25"/>
      <c r="L185" s="25"/>
      <c r="M185" s="26" t="str">
        <f aca="false">IF(A185="","",K185+L185)</f>
        <v/>
      </c>
      <c r="N185" s="25"/>
      <c r="O185" s="23"/>
      <c r="P185" s="23"/>
      <c r="Q185" s="24" t="str">
        <f aca="false">IF(A185="","",J185*(1-N185/100)-O185-P185)</f>
        <v/>
      </c>
      <c r="R185" s="25"/>
      <c r="S185" s="17" t="str">
        <f aca="false">IF(Policy!A185="","",Policy!U185)</f>
        <v/>
      </c>
      <c r="T185" s="17" t="str">
        <f aca="false">IF(OR(A185="",Policy!L185=""),"",MONTH(Policy!L185))</f>
        <v/>
      </c>
      <c r="U185" s="17" t="str">
        <f aca="false">IF(OR(A185="",Policy!L185=""),"",YEAR(Policy!L185))</f>
        <v/>
      </c>
      <c r="V185" s="17" t="str">
        <f aca="false">IF(Policy!A185="","",Policy!J185)</f>
        <v/>
      </c>
      <c r="W185" s="14"/>
    </row>
    <row r="186" customFormat="false" ht="15" hidden="false" customHeight="false" outlineLevel="0" collapsed="false">
      <c r="A186" s="17" t="str">
        <f aca="false">IF(Policy!A186="","",Policy!A186)</f>
        <v/>
      </c>
      <c r="B186" s="17" t="str">
        <f aca="false">IF(Policy!A186="","",Policy!B186)</f>
        <v/>
      </c>
      <c r="C186" s="17" t="str">
        <f aca="false">IF(Policy!A186="","",Policy!E186)</f>
        <v/>
      </c>
      <c r="D186" s="17" t="str">
        <f aca="false">IF(Policy!A186="","",Policy!G186)</f>
        <v/>
      </c>
      <c r="E186" s="17" t="str">
        <f aca="false">IF(Policy!A186="","",Policy!H186)</f>
        <v/>
      </c>
      <c r="F186" s="22" t="str">
        <f aca="false">IF(Policy!A186="","",Risk!D186)</f>
        <v/>
      </c>
      <c r="G186" s="23"/>
      <c r="H186" s="24" t="str">
        <f aca="false">IF(A186="","",G186*(1-M186/100))</f>
        <v/>
      </c>
      <c r="I186" s="24" t="str">
        <f aca="false">IF(A186="","",G186*F186/100)</f>
        <v/>
      </c>
      <c r="J186" s="24" t="str">
        <f aca="false">IF(A186="","",I186*(1-M186/100))</f>
        <v/>
      </c>
      <c r="K186" s="25"/>
      <c r="L186" s="25"/>
      <c r="M186" s="26" t="str">
        <f aca="false">IF(A186="","",K186+L186)</f>
        <v/>
      </c>
      <c r="N186" s="25"/>
      <c r="O186" s="23"/>
      <c r="P186" s="23"/>
      <c r="Q186" s="24" t="str">
        <f aca="false">IF(A186="","",J186*(1-N186/100)-O186-P186)</f>
        <v/>
      </c>
      <c r="R186" s="25"/>
      <c r="S186" s="17" t="str">
        <f aca="false">IF(Policy!A186="","",Policy!U186)</f>
        <v/>
      </c>
      <c r="T186" s="17" t="str">
        <f aca="false">IF(OR(A186="",Policy!L186=""),"",MONTH(Policy!L186))</f>
        <v/>
      </c>
      <c r="U186" s="17" t="str">
        <f aca="false">IF(OR(A186="",Policy!L186=""),"",YEAR(Policy!L186))</f>
        <v/>
      </c>
      <c r="V186" s="17" t="str">
        <f aca="false">IF(Policy!A186="","",Policy!J186)</f>
        <v/>
      </c>
      <c r="W186" s="14"/>
    </row>
    <row r="187" customFormat="false" ht="15" hidden="false" customHeight="false" outlineLevel="0" collapsed="false">
      <c r="A187" s="17" t="str">
        <f aca="false">IF(Policy!A187="","",Policy!A187)</f>
        <v/>
      </c>
      <c r="B187" s="17" t="str">
        <f aca="false">IF(Policy!A187="","",Policy!B187)</f>
        <v/>
      </c>
      <c r="C187" s="17" t="str">
        <f aca="false">IF(Policy!A187="","",Policy!E187)</f>
        <v/>
      </c>
      <c r="D187" s="17" t="str">
        <f aca="false">IF(Policy!A187="","",Policy!G187)</f>
        <v/>
      </c>
      <c r="E187" s="17" t="str">
        <f aca="false">IF(Policy!A187="","",Policy!H187)</f>
        <v/>
      </c>
      <c r="F187" s="22" t="str">
        <f aca="false">IF(Policy!A187="","",Risk!D187)</f>
        <v/>
      </c>
      <c r="G187" s="23"/>
      <c r="H187" s="24" t="str">
        <f aca="false">IF(A187="","",G187*(1-M187/100))</f>
        <v/>
      </c>
      <c r="I187" s="24" t="str">
        <f aca="false">IF(A187="","",G187*F187/100)</f>
        <v/>
      </c>
      <c r="J187" s="24" t="str">
        <f aca="false">IF(A187="","",I187*(1-M187/100))</f>
        <v/>
      </c>
      <c r="K187" s="25"/>
      <c r="L187" s="25"/>
      <c r="M187" s="26" t="str">
        <f aca="false">IF(A187="","",K187+L187)</f>
        <v/>
      </c>
      <c r="N187" s="25"/>
      <c r="O187" s="23"/>
      <c r="P187" s="23"/>
      <c r="Q187" s="24" t="str">
        <f aca="false">IF(A187="","",J187*(1-N187/100)-O187-P187)</f>
        <v/>
      </c>
      <c r="R187" s="25"/>
      <c r="S187" s="17" t="str">
        <f aca="false">IF(Policy!A187="","",Policy!U187)</f>
        <v/>
      </c>
      <c r="T187" s="17" t="str">
        <f aca="false">IF(OR(A187="",Policy!L187=""),"",MONTH(Policy!L187))</f>
        <v/>
      </c>
      <c r="U187" s="17" t="str">
        <f aca="false">IF(OR(A187="",Policy!L187=""),"",YEAR(Policy!L187))</f>
        <v/>
      </c>
      <c r="V187" s="17" t="str">
        <f aca="false">IF(Policy!A187="","",Policy!J187)</f>
        <v/>
      </c>
      <c r="W187" s="14"/>
    </row>
    <row r="188" customFormat="false" ht="15" hidden="false" customHeight="false" outlineLevel="0" collapsed="false">
      <c r="A188" s="17" t="str">
        <f aca="false">IF(Policy!A188="","",Policy!A188)</f>
        <v/>
      </c>
      <c r="B188" s="17" t="str">
        <f aca="false">IF(Policy!A188="","",Policy!B188)</f>
        <v/>
      </c>
      <c r="C188" s="17" t="str">
        <f aca="false">IF(Policy!A188="","",Policy!E188)</f>
        <v/>
      </c>
      <c r="D188" s="17" t="str">
        <f aca="false">IF(Policy!A188="","",Policy!G188)</f>
        <v/>
      </c>
      <c r="E188" s="17" t="str">
        <f aca="false">IF(Policy!A188="","",Policy!H188)</f>
        <v/>
      </c>
      <c r="F188" s="22" t="str">
        <f aca="false">IF(Policy!A188="","",Risk!D188)</f>
        <v/>
      </c>
      <c r="G188" s="23"/>
      <c r="H188" s="24" t="str">
        <f aca="false">IF(A188="","",G188*(1-M188/100))</f>
        <v/>
      </c>
      <c r="I188" s="24" t="str">
        <f aca="false">IF(A188="","",G188*F188/100)</f>
        <v/>
      </c>
      <c r="J188" s="24" t="str">
        <f aca="false">IF(A188="","",I188*(1-M188/100))</f>
        <v/>
      </c>
      <c r="K188" s="25"/>
      <c r="L188" s="25"/>
      <c r="M188" s="26" t="str">
        <f aca="false">IF(A188="","",K188+L188)</f>
        <v/>
      </c>
      <c r="N188" s="25"/>
      <c r="O188" s="23"/>
      <c r="P188" s="23"/>
      <c r="Q188" s="24" t="str">
        <f aca="false">IF(A188="","",J188*(1-N188/100)-O188-P188)</f>
        <v/>
      </c>
      <c r="R188" s="25"/>
      <c r="S188" s="17" t="str">
        <f aca="false">IF(Policy!A188="","",Policy!U188)</f>
        <v/>
      </c>
      <c r="T188" s="17" t="str">
        <f aca="false">IF(OR(A188="",Policy!L188=""),"",MONTH(Policy!L188))</f>
        <v/>
      </c>
      <c r="U188" s="17" t="str">
        <f aca="false">IF(OR(A188="",Policy!L188=""),"",YEAR(Policy!L188))</f>
        <v/>
      </c>
      <c r="V188" s="17" t="str">
        <f aca="false">IF(Policy!A188="","",Policy!J188)</f>
        <v/>
      </c>
      <c r="W188" s="14"/>
    </row>
    <row r="189" customFormat="false" ht="15" hidden="false" customHeight="false" outlineLevel="0" collapsed="false">
      <c r="A189" s="17" t="str">
        <f aca="false">IF(Policy!A189="","",Policy!A189)</f>
        <v/>
      </c>
      <c r="B189" s="17" t="str">
        <f aca="false">IF(Policy!A189="","",Policy!B189)</f>
        <v/>
      </c>
      <c r="C189" s="17" t="str">
        <f aca="false">IF(Policy!A189="","",Policy!E189)</f>
        <v/>
      </c>
      <c r="D189" s="17" t="str">
        <f aca="false">IF(Policy!A189="","",Policy!G189)</f>
        <v/>
      </c>
      <c r="E189" s="17" t="str">
        <f aca="false">IF(Policy!A189="","",Policy!H189)</f>
        <v/>
      </c>
      <c r="F189" s="22" t="str">
        <f aca="false">IF(Policy!A189="","",Risk!D189)</f>
        <v/>
      </c>
      <c r="G189" s="23"/>
      <c r="H189" s="24" t="str">
        <f aca="false">IF(A189="","",G189*(1-M189/100))</f>
        <v/>
      </c>
      <c r="I189" s="24" t="str">
        <f aca="false">IF(A189="","",G189*F189/100)</f>
        <v/>
      </c>
      <c r="J189" s="24" t="str">
        <f aca="false">IF(A189="","",I189*(1-M189/100))</f>
        <v/>
      </c>
      <c r="K189" s="25"/>
      <c r="L189" s="25"/>
      <c r="M189" s="26" t="str">
        <f aca="false">IF(A189="","",K189+L189)</f>
        <v/>
      </c>
      <c r="N189" s="25"/>
      <c r="O189" s="23"/>
      <c r="P189" s="23"/>
      <c r="Q189" s="24" t="str">
        <f aca="false">IF(A189="","",J189*(1-N189/100)-O189-P189)</f>
        <v/>
      </c>
      <c r="R189" s="25"/>
      <c r="S189" s="17" t="str">
        <f aca="false">IF(Policy!A189="","",Policy!U189)</f>
        <v/>
      </c>
      <c r="T189" s="17" t="str">
        <f aca="false">IF(OR(A189="",Policy!L189=""),"",MONTH(Policy!L189))</f>
        <v/>
      </c>
      <c r="U189" s="17" t="str">
        <f aca="false">IF(OR(A189="",Policy!L189=""),"",YEAR(Policy!L189))</f>
        <v/>
      </c>
      <c r="V189" s="17" t="str">
        <f aca="false">IF(Policy!A189="","",Policy!J189)</f>
        <v/>
      </c>
      <c r="W189" s="14"/>
    </row>
    <row r="190" customFormat="false" ht="15" hidden="false" customHeight="false" outlineLevel="0" collapsed="false">
      <c r="A190" s="17" t="str">
        <f aca="false">IF(Policy!A190="","",Policy!A190)</f>
        <v/>
      </c>
      <c r="B190" s="17" t="str">
        <f aca="false">IF(Policy!A190="","",Policy!B190)</f>
        <v/>
      </c>
      <c r="C190" s="17" t="str">
        <f aca="false">IF(Policy!A190="","",Policy!E190)</f>
        <v/>
      </c>
      <c r="D190" s="17" t="str">
        <f aca="false">IF(Policy!A190="","",Policy!G190)</f>
        <v/>
      </c>
      <c r="E190" s="17" t="str">
        <f aca="false">IF(Policy!A190="","",Policy!H190)</f>
        <v/>
      </c>
      <c r="F190" s="22" t="str">
        <f aca="false">IF(Policy!A190="","",Risk!D190)</f>
        <v/>
      </c>
      <c r="G190" s="23"/>
      <c r="H190" s="24" t="str">
        <f aca="false">IF(A190="","",G190*(1-M190/100))</f>
        <v/>
      </c>
      <c r="I190" s="24" t="str">
        <f aca="false">IF(A190="","",G190*F190/100)</f>
        <v/>
      </c>
      <c r="J190" s="24" t="str">
        <f aca="false">IF(A190="","",I190*(1-M190/100))</f>
        <v/>
      </c>
      <c r="K190" s="25"/>
      <c r="L190" s="25"/>
      <c r="M190" s="26" t="str">
        <f aca="false">IF(A190="","",K190+L190)</f>
        <v/>
      </c>
      <c r="N190" s="25"/>
      <c r="O190" s="23"/>
      <c r="P190" s="23"/>
      <c r="Q190" s="24" t="str">
        <f aca="false">IF(A190="","",J190*(1-N190/100)-O190-P190)</f>
        <v/>
      </c>
      <c r="R190" s="25"/>
      <c r="S190" s="17" t="str">
        <f aca="false">IF(Policy!A190="","",Policy!U190)</f>
        <v/>
      </c>
      <c r="T190" s="17" t="str">
        <f aca="false">IF(OR(A190="",Policy!L190=""),"",MONTH(Policy!L190))</f>
        <v/>
      </c>
      <c r="U190" s="17" t="str">
        <f aca="false">IF(OR(A190="",Policy!L190=""),"",YEAR(Policy!L190))</f>
        <v/>
      </c>
      <c r="V190" s="17" t="str">
        <f aca="false">IF(Policy!A190="","",Policy!J190)</f>
        <v/>
      </c>
      <c r="W190" s="14"/>
    </row>
    <row r="191" customFormat="false" ht="15" hidden="false" customHeight="false" outlineLevel="0" collapsed="false">
      <c r="A191" s="17" t="str">
        <f aca="false">IF(Policy!A191="","",Policy!A191)</f>
        <v/>
      </c>
      <c r="B191" s="17" t="str">
        <f aca="false">IF(Policy!A191="","",Policy!B191)</f>
        <v/>
      </c>
      <c r="C191" s="17" t="str">
        <f aca="false">IF(Policy!A191="","",Policy!E191)</f>
        <v/>
      </c>
      <c r="D191" s="17" t="str">
        <f aca="false">IF(Policy!A191="","",Policy!G191)</f>
        <v/>
      </c>
      <c r="E191" s="17" t="str">
        <f aca="false">IF(Policy!A191="","",Policy!H191)</f>
        <v/>
      </c>
      <c r="F191" s="22" t="str">
        <f aca="false">IF(Policy!A191="","",Risk!D191)</f>
        <v/>
      </c>
      <c r="G191" s="23"/>
      <c r="H191" s="24" t="str">
        <f aca="false">IF(A191="","",G191*(1-M191/100))</f>
        <v/>
      </c>
      <c r="I191" s="24" t="str">
        <f aca="false">IF(A191="","",G191*F191/100)</f>
        <v/>
      </c>
      <c r="J191" s="24" t="str">
        <f aca="false">IF(A191="","",I191*(1-M191/100))</f>
        <v/>
      </c>
      <c r="K191" s="25"/>
      <c r="L191" s="25"/>
      <c r="M191" s="26" t="str">
        <f aca="false">IF(A191="","",K191+L191)</f>
        <v/>
      </c>
      <c r="N191" s="25"/>
      <c r="O191" s="23"/>
      <c r="P191" s="23"/>
      <c r="Q191" s="24" t="str">
        <f aca="false">IF(A191="","",J191*(1-N191/100)-O191-P191)</f>
        <v/>
      </c>
      <c r="R191" s="25"/>
      <c r="S191" s="17" t="str">
        <f aca="false">IF(Policy!A191="","",Policy!U191)</f>
        <v/>
      </c>
      <c r="T191" s="17" t="str">
        <f aca="false">IF(OR(A191="",Policy!L191=""),"",MONTH(Policy!L191))</f>
        <v/>
      </c>
      <c r="U191" s="17" t="str">
        <f aca="false">IF(OR(A191="",Policy!L191=""),"",YEAR(Policy!L191))</f>
        <v/>
      </c>
      <c r="V191" s="17" t="str">
        <f aca="false">IF(Policy!A191="","",Policy!J191)</f>
        <v/>
      </c>
      <c r="W191" s="14"/>
    </row>
    <row r="192" customFormat="false" ht="15" hidden="false" customHeight="false" outlineLevel="0" collapsed="false">
      <c r="A192" s="17" t="str">
        <f aca="false">IF(Policy!A192="","",Policy!A192)</f>
        <v/>
      </c>
      <c r="B192" s="17" t="str">
        <f aca="false">IF(Policy!A192="","",Policy!B192)</f>
        <v/>
      </c>
      <c r="C192" s="17" t="str">
        <f aca="false">IF(Policy!A192="","",Policy!E192)</f>
        <v/>
      </c>
      <c r="D192" s="17" t="str">
        <f aca="false">IF(Policy!A192="","",Policy!G192)</f>
        <v/>
      </c>
      <c r="E192" s="17" t="str">
        <f aca="false">IF(Policy!A192="","",Policy!H192)</f>
        <v/>
      </c>
      <c r="F192" s="22" t="str">
        <f aca="false">IF(Policy!A192="","",Risk!D192)</f>
        <v/>
      </c>
      <c r="G192" s="23"/>
      <c r="H192" s="24" t="str">
        <f aca="false">IF(A192="","",G192*(1-M192/100))</f>
        <v/>
      </c>
      <c r="I192" s="24" t="str">
        <f aca="false">IF(A192="","",G192*F192/100)</f>
        <v/>
      </c>
      <c r="J192" s="24" t="str">
        <f aca="false">IF(A192="","",I192*(1-M192/100))</f>
        <v/>
      </c>
      <c r="K192" s="25"/>
      <c r="L192" s="25"/>
      <c r="M192" s="26" t="str">
        <f aca="false">IF(A192="","",K192+L192)</f>
        <v/>
      </c>
      <c r="N192" s="25"/>
      <c r="O192" s="23"/>
      <c r="P192" s="23"/>
      <c r="Q192" s="24" t="str">
        <f aca="false">IF(A192="","",J192*(1-N192/100)-O192-P192)</f>
        <v/>
      </c>
      <c r="R192" s="25"/>
      <c r="S192" s="17" t="str">
        <f aca="false">IF(Policy!A192="","",Policy!U192)</f>
        <v/>
      </c>
      <c r="T192" s="17" t="str">
        <f aca="false">IF(OR(A192="",Policy!L192=""),"",MONTH(Policy!L192))</f>
        <v/>
      </c>
      <c r="U192" s="17" t="str">
        <f aca="false">IF(OR(A192="",Policy!L192=""),"",YEAR(Policy!L192))</f>
        <v/>
      </c>
      <c r="V192" s="17" t="str">
        <f aca="false">IF(Policy!A192="","",Policy!J192)</f>
        <v/>
      </c>
      <c r="W192" s="14"/>
    </row>
    <row r="193" customFormat="false" ht="15" hidden="false" customHeight="false" outlineLevel="0" collapsed="false">
      <c r="A193" s="17" t="str">
        <f aca="false">IF(Policy!A193="","",Policy!A193)</f>
        <v/>
      </c>
      <c r="B193" s="17" t="str">
        <f aca="false">IF(Policy!A193="","",Policy!B193)</f>
        <v/>
      </c>
      <c r="C193" s="17" t="str">
        <f aca="false">IF(Policy!A193="","",Policy!E193)</f>
        <v/>
      </c>
      <c r="D193" s="17" t="str">
        <f aca="false">IF(Policy!A193="","",Policy!G193)</f>
        <v/>
      </c>
      <c r="E193" s="17" t="str">
        <f aca="false">IF(Policy!A193="","",Policy!H193)</f>
        <v/>
      </c>
      <c r="F193" s="22" t="str">
        <f aca="false">IF(Policy!A193="","",Risk!D193)</f>
        <v/>
      </c>
      <c r="G193" s="23"/>
      <c r="H193" s="24" t="str">
        <f aca="false">IF(A193="","",G193*(1-M193/100))</f>
        <v/>
      </c>
      <c r="I193" s="24" t="str">
        <f aca="false">IF(A193="","",G193*F193/100)</f>
        <v/>
      </c>
      <c r="J193" s="24" t="str">
        <f aca="false">IF(A193="","",I193*(1-M193/100))</f>
        <v/>
      </c>
      <c r="K193" s="25"/>
      <c r="L193" s="25"/>
      <c r="M193" s="26" t="str">
        <f aca="false">IF(A193="","",K193+L193)</f>
        <v/>
      </c>
      <c r="N193" s="25"/>
      <c r="O193" s="23"/>
      <c r="P193" s="23"/>
      <c r="Q193" s="24" t="str">
        <f aca="false">IF(A193="","",J193*(1-N193/100)-O193-P193)</f>
        <v/>
      </c>
      <c r="R193" s="25"/>
      <c r="S193" s="17" t="str">
        <f aca="false">IF(Policy!A193="","",Policy!U193)</f>
        <v/>
      </c>
      <c r="T193" s="17" t="str">
        <f aca="false">IF(OR(A193="",Policy!L193=""),"",MONTH(Policy!L193))</f>
        <v/>
      </c>
      <c r="U193" s="17" t="str">
        <f aca="false">IF(OR(A193="",Policy!L193=""),"",YEAR(Policy!L193))</f>
        <v/>
      </c>
      <c r="V193" s="17" t="str">
        <f aca="false">IF(Policy!A193="","",Policy!J193)</f>
        <v/>
      </c>
      <c r="W193" s="14"/>
    </row>
    <row r="194" customFormat="false" ht="15" hidden="false" customHeight="false" outlineLevel="0" collapsed="false">
      <c r="A194" s="17" t="str">
        <f aca="false">IF(Policy!A194="","",Policy!A194)</f>
        <v/>
      </c>
      <c r="B194" s="17" t="str">
        <f aca="false">IF(Policy!A194="","",Policy!B194)</f>
        <v/>
      </c>
      <c r="C194" s="17" t="str">
        <f aca="false">IF(Policy!A194="","",Policy!E194)</f>
        <v/>
      </c>
      <c r="D194" s="17" t="str">
        <f aca="false">IF(Policy!A194="","",Policy!G194)</f>
        <v/>
      </c>
      <c r="E194" s="17" t="str">
        <f aca="false">IF(Policy!A194="","",Policy!H194)</f>
        <v/>
      </c>
      <c r="F194" s="22" t="str">
        <f aca="false">IF(Policy!A194="","",Risk!D194)</f>
        <v/>
      </c>
      <c r="G194" s="23"/>
      <c r="H194" s="24" t="str">
        <f aca="false">IF(A194="","",G194*(1-M194/100))</f>
        <v/>
      </c>
      <c r="I194" s="24" t="str">
        <f aca="false">IF(A194="","",G194*F194/100)</f>
        <v/>
      </c>
      <c r="J194" s="24" t="str">
        <f aca="false">IF(A194="","",I194*(1-M194/100))</f>
        <v/>
      </c>
      <c r="K194" s="25"/>
      <c r="L194" s="25"/>
      <c r="M194" s="26" t="str">
        <f aca="false">IF(A194="","",K194+L194)</f>
        <v/>
      </c>
      <c r="N194" s="25"/>
      <c r="O194" s="23"/>
      <c r="P194" s="23"/>
      <c r="Q194" s="24" t="str">
        <f aca="false">IF(A194="","",J194*(1-N194/100)-O194-P194)</f>
        <v/>
      </c>
      <c r="R194" s="25"/>
      <c r="S194" s="17" t="str">
        <f aca="false">IF(Policy!A194="","",Policy!U194)</f>
        <v/>
      </c>
      <c r="T194" s="17" t="str">
        <f aca="false">IF(OR(A194="",Policy!L194=""),"",MONTH(Policy!L194))</f>
        <v/>
      </c>
      <c r="U194" s="17" t="str">
        <f aca="false">IF(OR(A194="",Policy!L194=""),"",YEAR(Policy!L194))</f>
        <v/>
      </c>
      <c r="V194" s="17" t="str">
        <f aca="false">IF(Policy!A194="","",Policy!J194)</f>
        <v/>
      </c>
      <c r="W194" s="14"/>
    </row>
    <row r="195" customFormat="false" ht="15" hidden="false" customHeight="false" outlineLevel="0" collapsed="false">
      <c r="A195" s="17" t="str">
        <f aca="false">IF(Policy!A195="","",Policy!A195)</f>
        <v/>
      </c>
      <c r="B195" s="17" t="str">
        <f aca="false">IF(Policy!A195="","",Policy!B195)</f>
        <v/>
      </c>
      <c r="C195" s="17" t="str">
        <f aca="false">IF(Policy!A195="","",Policy!E195)</f>
        <v/>
      </c>
      <c r="D195" s="17" t="str">
        <f aca="false">IF(Policy!A195="","",Policy!G195)</f>
        <v/>
      </c>
      <c r="E195" s="17" t="str">
        <f aca="false">IF(Policy!A195="","",Policy!H195)</f>
        <v/>
      </c>
      <c r="F195" s="22" t="str">
        <f aca="false">IF(Policy!A195="","",Risk!D195)</f>
        <v/>
      </c>
      <c r="G195" s="23"/>
      <c r="H195" s="24" t="str">
        <f aca="false">IF(A195="","",G195*(1-M195/100))</f>
        <v/>
      </c>
      <c r="I195" s="24" t="str">
        <f aca="false">IF(A195="","",G195*F195/100)</f>
        <v/>
      </c>
      <c r="J195" s="24" t="str">
        <f aca="false">IF(A195="","",I195*(1-M195/100))</f>
        <v/>
      </c>
      <c r="K195" s="25"/>
      <c r="L195" s="25"/>
      <c r="M195" s="26" t="str">
        <f aca="false">IF(A195="","",K195+L195)</f>
        <v/>
      </c>
      <c r="N195" s="25"/>
      <c r="O195" s="23"/>
      <c r="P195" s="23"/>
      <c r="Q195" s="24" t="str">
        <f aca="false">IF(A195="","",J195*(1-N195/100)-O195-P195)</f>
        <v/>
      </c>
      <c r="R195" s="25"/>
      <c r="S195" s="17" t="str">
        <f aca="false">IF(Policy!A195="","",Policy!U195)</f>
        <v/>
      </c>
      <c r="T195" s="17" t="str">
        <f aca="false">IF(OR(A195="",Policy!L195=""),"",MONTH(Policy!L195))</f>
        <v/>
      </c>
      <c r="U195" s="17" t="str">
        <f aca="false">IF(OR(A195="",Policy!L195=""),"",YEAR(Policy!L195))</f>
        <v/>
      </c>
      <c r="V195" s="17" t="str">
        <f aca="false">IF(Policy!A195="","",Policy!J195)</f>
        <v/>
      </c>
      <c r="W195" s="14"/>
    </row>
    <row r="196" customFormat="false" ht="15" hidden="false" customHeight="false" outlineLevel="0" collapsed="false">
      <c r="A196" s="17" t="str">
        <f aca="false">IF(Policy!A196="","",Policy!A196)</f>
        <v/>
      </c>
      <c r="B196" s="17" t="str">
        <f aca="false">IF(Policy!A196="","",Policy!B196)</f>
        <v/>
      </c>
      <c r="C196" s="17" t="str">
        <f aca="false">IF(Policy!A196="","",Policy!E196)</f>
        <v/>
      </c>
      <c r="D196" s="17" t="str">
        <f aca="false">IF(Policy!A196="","",Policy!G196)</f>
        <v/>
      </c>
      <c r="E196" s="17" t="str">
        <f aca="false">IF(Policy!A196="","",Policy!H196)</f>
        <v/>
      </c>
      <c r="F196" s="22" t="str">
        <f aca="false">IF(Policy!A196="","",Risk!D196)</f>
        <v/>
      </c>
      <c r="G196" s="23"/>
      <c r="H196" s="24" t="str">
        <f aca="false">IF(A196="","",G196*(1-M196/100))</f>
        <v/>
      </c>
      <c r="I196" s="24" t="str">
        <f aca="false">IF(A196="","",G196*F196/100)</f>
        <v/>
      </c>
      <c r="J196" s="24" t="str">
        <f aca="false">IF(A196="","",I196*(1-M196/100))</f>
        <v/>
      </c>
      <c r="K196" s="25"/>
      <c r="L196" s="25"/>
      <c r="M196" s="26" t="str">
        <f aca="false">IF(A196="","",K196+L196)</f>
        <v/>
      </c>
      <c r="N196" s="25"/>
      <c r="O196" s="23"/>
      <c r="P196" s="23"/>
      <c r="Q196" s="24" t="str">
        <f aca="false">IF(A196="","",J196*(1-N196/100)-O196-P196)</f>
        <v/>
      </c>
      <c r="R196" s="25"/>
      <c r="S196" s="17" t="str">
        <f aca="false">IF(Policy!A196="","",Policy!U196)</f>
        <v/>
      </c>
      <c r="T196" s="17" t="str">
        <f aca="false">IF(OR(A196="",Policy!L196=""),"",MONTH(Policy!L196))</f>
        <v/>
      </c>
      <c r="U196" s="17" t="str">
        <f aca="false">IF(OR(A196="",Policy!L196=""),"",YEAR(Policy!L196))</f>
        <v/>
      </c>
      <c r="V196" s="17" t="str">
        <f aca="false">IF(Policy!A196="","",Policy!J196)</f>
        <v/>
      </c>
      <c r="W196" s="14"/>
    </row>
    <row r="197" customFormat="false" ht="15" hidden="false" customHeight="false" outlineLevel="0" collapsed="false">
      <c r="A197" s="17" t="str">
        <f aca="false">IF(Policy!A197="","",Policy!A197)</f>
        <v/>
      </c>
      <c r="B197" s="17" t="str">
        <f aca="false">IF(Policy!A197="","",Policy!B197)</f>
        <v/>
      </c>
      <c r="C197" s="17" t="str">
        <f aca="false">IF(Policy!A197="","",Policy!E197)</f>
        <v/>
      </c>
      <c r="D197" s="17" t="str">
        <f aca="false">IF(Policy!A197="","",Policy!G197)</f>
        <v/>
      </c>
      <c r="E197" s="17" t="str">
        <f aca="false">IF(Policy!A197="","",Policy!H197)</f>
        <v/>
      </c>
      <c r="F197" s="22" t="str">
        <f aca="false">IF(Policy!A197="","",Risk!D197)</f>
        <v/>
      </c>
      <c r="G197" s="23"/>
      <c r="H197" s="24" t="str">
        <f aca="false">IF(A197="","",G197*(1-M197/100))</f>
        <v/>
      </c>
      <c r="I197" s="24" t="str">
        <f aca="false">IF(A197="","",G197*F197/100)</f>
        <v/>
      </c>
      <c r="J197" s="24" t="str">
        <f aca="false">IF(A197="","",I197*(1-M197/100))</f>
        <v/>
      </c>
      <c r="K197" s="25"/>
      <c r="L197" s="25"/>
      <c r="M197" s="26" t="str">
        <f aca="false">IF(A197="","",K197+L197)</f>
        <v/>
      </c>
      <c r="N197" s="25"/>
      <c r="O197" s="23"/>
      <c r="P197" s="23"/>
      <c r="Q197" s="24" t="str">
        <f aca="false">IF(A197="","",J197*(1-N197/100)-O197-P197)</f>
        <v/>
      </c>
      <c r="R197" s="25"/>
      <c r="S197" s="17" t="str">
        <f aca="false">IF(Policy!A197="","",Policy!U197)</f>
        <v/>
      </c>
      <c r="T197" s="17" t="str">
        <f aca="false">IF(OR(A197="",Policy!L197=""),"",MONTH(Policy!L197))</f>
        <v/>
      </c>
      <c r="U197" s="17" t="str">
        <f aca="false">IF(OR(A197="",Policy!L197=""),"",YEAR(Policy!L197))</f>
        <v/>
      </c>
      <c r="V197" s="17" t="str">
        <f aca="false">IF(Policy!A197="","",Policy!J197)</f>
        <v/>
      </c>
      <c r="W197" s="14"/>
    </row>
    <row r="198" customFormat="false" ht="15" hidden="false" customHeight="false" outlineLevel="0" collapsed="false">
      <c r="A198" s="17" t="str">
        <f aca="false">IF(Policy!A198="","",Policy!A198)</f>
        <v/>
      </c>
      <c r="B198" s="17" t="str">
        <f aca="false">IF(Policy!A198="","",Policy!B198)</f>
        <v/>
      </c>
      <c r="C198" s="17" t="str">
        <f aca="false">IF(Policy!A198="","",Policy!E198)</f>
        <v/>
      </c>
      <c r="D198" s="17" t="str">
        <f aca="false">IF(Policy!A198="","",Policy!G198)</f>
        <v/>
      </c>
      <c r="E198" s="17" t="str">
        <f aca="false">IF(Policy!A198="","",Policy!H198)</f>
        <v/>
      </c>
      <c r="F198" s="22" t="str">
        <f aca="false">IF(Policy!A198="","",Risk!D198)</f>
        <v/>
      </c>
      <c r="G198" s="23"/>
      <c r="H198" s="24" t="str">
        <f aca="false">IF(A198="","",G198*(1-M198/100))</f>
        <v/>
      </c>
      <c r="I198" s="24" t="str">
        <f aca="false">IF(A198="","",G198*F198/100)</f>
        <v/>
      </c>
      <c r="J198" s="24" t="str">
        <f aca="false">IF(A198="","",I198*(1-M198/100))</f>
        <v/>
      </c>
      <c r="K198" s="25"/>
      <c r="L198" s="25"/>
      <c r="M198" s="26" t="str">
        <f aca="false">IF(A198="","",K198+L198)</f>
        <v/>
      </c>
      <c r="N198" s="25"/>
      <c r="O198" s="23"/>
      <c r="P198" s="23"/>
      <c r="Q198" s="24" t="str">
        <f aca="false">IF(A198="","",J198*(1-N198/100)-O198-P198)</f>
        <v/>
      </c>
      <c r="R198" s="25"/>
      <c r="S198" s="17" t="str">
        <f aca="false">IF(Policy!A198="","",Policy!U198)</f>
        <v/>
      </c>
      <c r="T198" s="17" t="str">
        <f aca="false">IF(OR(A198="",Policy!L198=""),"",MONTH(Policy!L198))</f>
        <v/>
      </c>
      <c r="U198" s="17" t="str">
        <f aca="false">IF(OR(A198="",Policy!L198=""),"",YEAR(Policy!L198))</f>
        <v/>
      </c>
      <c r="V198" s="17" t="str">
        <f aca="false">IF(Policy!A198="","",Policy!J198)</f>
        <v/>
      </c>
      <c r="W198" s="14"/>
    </row>
    <row r="199" customFormat="false" ht="15" hidden="false" customHeight="false" outlineLevel="0" collapsed="false">
      <c r="A199" s="17" t="str">
        <f aca="false">IF(Policy!A199="","",Policy!A199)</f>
        <v/>
      </c>
      <c r="B199" s="17" t="str">
        <f aca="false">IF(Policy!A199="","",Policy!B199)</f>
        <v/>
      </c>
      <c r="C199" s="17" t="str">
        <f aca="false">IF(Policy!A199="","",Policy!E199)</f>
        <v/>
      </c>
      <c r="D199" s="17" t="str">
        <f aca="false">IF(Policy!A199="","",Policy!G199)</f>
        <v/>
      </c>
      <c r="E199" s="17" t="str">
        <f aca="false">IF(Policy!A199="","",Policy!H199)</f>
        <v/>
      </c>
      <c r="F199" s="22" t="str">
        <f aca="false">IF(Policy!A199="","",Risk!D199)</f>
        <v/>
      </c>
      <c r="G199" s="23"/>
      <c r="H199" s="24" t="str">
        <f aca="false">IF(A199="","",G199*(1-M199/100))</f>
        <v/>
      </c>
      <c r="I199" s="24" t="str">
        <f aca="false">IF(A199="","",G199*F199/100)</f>
        <v/>
      </c>
      <c r="J199" s="24" t="str">
        <f aca="false">IF(A199="","",I199*(1-M199/100))</f>
        <v/>
      </c>
      <c r="K199" s="25"/>
      <c r="L199" s="25"/>
      <c r="M199" s="26" t="str">
        <f aca="false">IF(A199="","",K199+L199)</f>
        <v/>
      </c>
      <c r="N199" s="25"/>
      <c r="O199" s="23"/>
      <c r="P199" s="23"/>
      <c r="Q199" s="24" t="str">
        <f aca="false">IF(A199="","",J199*(1-N199/100)-O199-P199)</f>
        <v/>
      </c>
      <c r="R199" s="25"/>
      <c r="S199" s="17" t="str">
        <f aca="false">IF(Policy!A199="","",Policy!U199)</f>
        <v/>
      </c>
      <c r="T199" s="17" t="str">
        <f aca="false">IF(OR(A199="",Policy!L199=""),"",MONTH(Policy!L199))</f>
        <v/>
      </c>
      <c r="U199" s="17" t="str">
        <f aca="false">IF(OR(A199="",Policy!L199=""),"",YEAR(Policy!L199))</f>
        <v/>
      </c>
      <c r="V199" s="17" t="str">
        <f aca="false">IF(Policy!A199="","",Policy!J199)</f>
        <v/>
      </c>
      <c r="W199" s="14"/>
    </row>
    <row r="200" customFormat="false" ht="15" hidden="false" customHeight="false" outlineLevel="0" collapsed="false">
      <c r="A200" s="17" t="str">
        <f aca="false">IF(Policy!A200="","",Policy!A200)</f>
        <v/>
      </c>
      <c r="B200" s="17" t="str">
        <f aca="false">IF(Policy!A200="","",Policy!B200)</f>
        <v/>
      </c>
      <c r="C200" s="17" t="str">
        <f aca="false">IF(Policy!A200="","",Policy!E200)</f>
        <v/>
      </c>
      <c r="D200" s="17" t="str">
        <f aca="false">IF(Policy!A200="","",Policy!G200)</f>
        <v/>
      </c>
      <c r="E200" s="17" t="str">
        <f aca="false">IF(Policy!A200="","",Policy!H200)</f>
        <v/>
      </c>
      <c r="F200" s="22" t="str">
        <f aca="false">IF(Policy!A200="","",Risk!D200)</f>
        <v/>
      </c>
      <c r="G200" s="23"/>
      <c r="H200" s="24" t="str">
        <f aca="false">IF(A200="","",G200*(1-M200/100))</f>
        <v/>
      </c>
      <c r="I200" s="24" t="str">
        <f aca="false">IF(A200="","",G200*F200/100)</f>
        <v/>
      </c>
      <c r="J200" s="24" t="str">
        <f aca="false">IF(A200="","",I200*(1-M200/100))</f>
        <v/>
      </c>
      <c r="K200" s="25"/>
      <c r="L200" s="25"/>
      <c r="M200" s="26" t="str">
        <f aca="false">IF(A200="","",K200+L200)</f>
        <v/>
      </c>
      <c r="N200" s="25"/>
      <c r="O200" s="23"/>
      <c r="P200" s="23"/>
      <c r="Q200" s="24" t="str">
        <f aca="false">IF(A200="","",J200*(1-N200/100)-O200-P200)</f>
        <v/>
      </c>
      <c r="R200" s="25"/>
      <c r="S200" s="17" t="str">
        <f aca="false">IF(Policy!A200="","",Policy!U200)</f>
        <v/>
      </c>
      <c r="T200" s="17" t="str">
        <f aca="false">IF(OR(A200="",Policy!L200=""),"",MONTH(Policy!L200))</f>
        <v/>
      </c>
      <c r="U200" s="17" t="str">
        <f aca="false">IF(OR(A200="",Policy!L200=""),"",YEAR(Policy!L200))</f>
        <v/>
      </c>
      <c r="V200" s="17" t="str">
        <f aca="false">IF(Policy!A200="","",Policy!J200)</f>
        <v/>
      </c>
      <c r="W200" s="14"/>
    </row>
    <row r="201" customFormat="false" ht="15" hidden="false" customHeight="false" outlineLevel="0" collapsed="false">
      <c r="A201" s="17" t="str">
        <f aca="false">IF(Policy!A201="","",Policy!A201)</f>
        <v/>
      </c>
      <c r="B201" s="17" t="str">
        <f aca="false">IF(Policy!A201="","",Policy!B201)</f>
        <v/>
      </c>
      <c r="C201" s="17" t="str">
        <f aca="false">IF(Policy!A201="","",Policy!E201)</f>
        <v/>
      </c>
      <c r="D201" s="17" t="str">
        <f aca="false">IF(Policy!A201="","",Policy!G201)</f>
        <v/>
      </c>
      <c r="E201" s="17" t="str">
        <f aca="false">IF(Policy!A201="","",Policy!H201)</f>
        <v/>
      </c>
      <c r="F201" s="22" t="str">
        <f aca="false">IF(Policy!A201="","",Risk!D201)</f>
        <v/>
      </c>
      <c r="G201" s="23"/>
      <c r="H201" s="24" t="str">
        <f aca="false">IF(A201="","",G201*(1-M201/100))</f>
        <v/>
      </c>
      <c r="I201" s="24" t="str">
        <f aca="false">IF(A201="","",G201*F201/100)</f>
        <v/>
      </c>
      <c r="J201" s="24" t="str">
        <f aca="false">IF(A201="","",I201*(1-M201/100))</f>
        <v/>
      </c>
      <c r="K201" s="25"/>
      <c r="L201" s="25"/>
      <c r="M201" s="26" t="str">
        <f aca="false">IF(A201="","",K201+L201)</f>
        <v/>
      </c>
      <c r="N201" s="25"/>
      <c r="O201" s="23"/>
      <c r="P201" s="23"/>
      <c r="Q201" s="24" t="str">
        <f aca="false">IF(A201="","",J201*(1-N201/100)-O201-P201)</f>
        <v/>
      </c>
      <c r="R201" s="25"/>
      <c r="S201" s="17" t="str">
        <f aca="false">IF(Policy!A201="","",Policy!U201)</f>
        <v/>
      </c>
      <c r="T201" s="17" t="str">
        <f aca="false">IF(OR(A201="",Policy!L201=""),"",MONTH(Policy!L201))</f>
        <v/>
      </c>
      <c r="U201" s="17" t="str">
        <f aca="false">IF(OR(A201="",Policy!L201=""),"",YEAR(Policy!L201))</f>
        <v/>
      </c>
      <c r="V201" s="17" t="str">
        <f aca="false">IF(Policy!A201="","",Policy!J201)</f>
        <v/>
      </c>
      <c r="W201" s="14"/>
    </row>
    <row r="202" customFormat="false" ht="15" hidden="false" customHeight="false" outlineLevel="0" collapsed="false">
      <c r="A202" s="17" t="str">
        <f aca="false">IF(Policy!A202="","",Policy!A202)</f>
        <v/>
      </c>
      <c r="B202" s="17" t="str">
        <f aca="false">IF(Policy!A202="","",Policy!B202)</f>
        <v/>
      </c>
      <c r="C202" s="17" t="str">
        <f aca="false">IF(Policy!A202="","",Policy!E202)</f>
        <v/>
      </c>
      <c r="D202" s="17" t="str">
        <f aca="false">IF(Policy!A202="","",Policy!G202)</f>
        <v/>
      </c>
      <c r="E202" s="17" t="str">
        <f aca="false">IF(Policy!A202="","",Policy!H202)</f>
        <v/>
      </c>
      <c r="F202" s="22" t="str">
        <f aca="false">IF(Policy!A202="","",Risk!D202)</f>
        <v/>
      </c>
      <c r="G202" s="23"/>
      <c r="H202" s="24" t="str">
        <f aca="false">IF(A202="","",G202*(1-M202/100))</f>
        <v/>
      </c>
      <c r="I202" s="24" t="str">
        <f aca="false">IF(A202="","",G202*F202/100)</f>
        <v/>
      </c>
      <c r="J202" s="24" t="str">
        <f aca="false">IF(A202="","",I202*(1-M202/100))</f>
        <v/>
      </c>
      <c r="K202" s="25"/>
      <c r="L202" s="25"/>
      <c r="M202" s="26" t="str">
        <f aca="false">IF(A202="","",K202+L202)</f>
        <v/>
      </c>
      <c r="N202" s="25"/>
      <c r="O202" s="23"/>
      <c r="P202" s="23"/>
      <c r="Q202" s="24" t="str">
        <f aca="false">IF(A202="","",J202*(1-N202/100)-O202-P202)</f>
        <v/>
      </c>
      <c r="R202" s="25"/>
      <c r="S202" s="17" t="str">
        <f aca="false">IF(Policy!A202="","",Policy!U202)</f>
        <v/>
      </c>
      <c r="T202" s="17" t="str">
        <f aca="false">IF(OR(A202="",Policy!L202=""),"",MONTH(Policy!L202))</f>
        <v/>
      </c>
      <c r="U202" s="17" t="str">
        <f aca="false">IF(OR(A202="",Policy!L202=""),"",YEAR(Policy!L202))</f>
        <v/>
      </c>
      <c r="V202" s="17" t="str">
        <f aca="false">IF(Policy!A202="","",Policy!J202)</f>
        <v/>
      </c>
      <c r="W202" s="14"/>
    </row>
    <row r="203" customFormat="false" ht="15" hidden="false" customHeight="false" outlineLevel="0" collapsed="false">
      <c r="A203" s="17" t="str">
        <f aca="false">IF(Policy!A203="","",Policy!A203)</f>
        <v/>
      </c>
      <c r="B203" s="17" t="str">
        <f aca="false">IF(Policy!A203="","",Policy!B203)</f>
        <v/>
      </c>
      <c r="C203" s="17" t="str">
        <f aca="false">IF(Policy!A203="","",Policy!E203)</f>
        <v/>
      </c>
      <c r="D203" s="17" t="str">
        <f aca="false">IF(Policy!A203="","",Policy!G203)</f>
        <v/>
      </c>
      <c r="E203" s="17" t="str">
        <f aca="false">IF(Policy!A203="","",Policy!H203)</f>
        <v/>
      </c>
      <c r="F203" s="22" t="str">
        <f aca="false">IF(Policy!A203="","",Risk!D203)</f>
        <v/>
      </c>
      <c r="G203" s="23"/>
      <c r="H203" s="24" t="str">
        <f aca="false">IF(A203="","",G203*(1-M203/100))</f>
        <v/>
      </c>
      <c r="I203" s="24" t="str">
        <f aca="false">IF(A203="","",G203*F203/100)</f>
        <v/>
      </c>
      <c r="J203" s="24" t="str">
        <f aca="false">IF(A203="","",I203*(1-M203/100))</f>
        <v/>
      </c>
      <c r="K203" s="25"/>
      <c r="L203" s="25"/>
      <c r="M203" s="26" t="str">
        <f aca="false">IF(A203="","",K203+L203)</f>
        <v/>
      </c>
      <c r="N203" s="25"/>
      <c r="O203" s="23"/>
      <c r="P203" s="23"/>
      <c r="Q203" s="24" t="str">
        <f aca="false">IF(A203="","",J203*(1-N203/100)-O203-P203)</f>
        <v/>
      </c>
      <c r="R203" s="25"/>
      <c r="S203" s="17" t="str">
        <f aca="false">IF(Policy!A203="","",Policy!U203)</f>
        <v/>
      </c>
      <c r="T203" s="17" t="str">
        <f aca="false">IF(OR(A203="",Policy!L203=""),"",MONTH(Policy!L203))</f>
        <v/>
      </c>
      <c r="U203" s="17" t="str">
        <f aca="false">IF(OR(A203="",Policy!L203=""),"",YEAR(Policy!L203))</f>
        <v/>
      </c>
      <c r="V203" s="17" t="str">
        <f aca="false">IF(Policy!A203="","",Policy!J203)</f>
        <v/>
      </c>
      <c r="W203" s="14"/>
    </row>
    <row r="204" customFormat="false" ht="15" hidden="false" customHeight="false" outlineLevel="0" collapsed="false">
      <c r="A204" s="17" t="str">
        <f aca="false">IF(Policy!A204="","",Policy!A204)</f>
        <v/>
      </c>
      <c r="B204" s="17" t="str">
        <f aca="false">IF(Policy!A204="","",Policy!B204)</f>
        <v/>
      </c>
      <c r="C204" s="17" t="str">
        <f aca="false">IF(Policy!A204="","",Policy!E204)</f>
        <v/>
      </c>
      <c r="D204" s="17" t="str">
        <f aca="false">IF(Policy!A204="","",Policy!G204)</f>
        <v/>
      </c>
      <c r="E204" s="17" t="str">
        <f aca="false">IF(Policy!A204="","",Policy!H204)</f>
        <v/>
      </c>
      <c r="F204" s="22" t="str">
        <f aca="false">IF(Policy!A204="","",Risk!D204)</f>
        <v/>
      </c>
      <c r="G204" s="23"/>
      <c r="H204" s="24" t="str">
        <f aca="false">IF(A204="","",G204*(1-M204/100))</f>
        <v/>
      </c>
      <c r="I204" s="24" t="str">
        <f aca="false">IF(A204="","",G204*F204/100)</f>
        <v/>
      </c>
      <c r="J204" s="24" t="str">
        <f aca="false">IF(A204="","",I204*(1-M204/100))</f>
        <v/>
      </c>
      <c r="K204" s="25"/>
      <c r="L204" s="25"/>
      <c r="M204" s="26" t="str">
        <f aca="false">IF(A204="","",K204+L204)</f>
        <v/>
      </c>
      <c r="N204" s="25"/>
      <c r="O204" s="23"/>
      <c r="P204" s="23"/>
      <c r="Q204" s="24" t="str">
        <f aca="false">IF(A204="","",J204*(1-N204/100)-O204-P204)</f>
        <v/>
      </c>
      <c r="R204" s="25"/>
      <c r="S204" s="17" t="str">
        <f aca="false">IF(Policy!A204="","",Policy!U204)</f>
        <v/>
      </c>
      <c r="T204" s="17" t="str">
        <f aca="false">IF(OR(A204="",Policy!L204=""),"",MONTH(Policy!L204))</f>
        <v/>
      </c>
      <c r="U204" s="17" t="str">
        <f aca="false">IF(OR(A204="",Policy!L204=""),"",YEAR(Policy!L204))</f>
        <v/>
      </c>
      <c r="V204" s="17" t="str">
        <f aca="false">IF(Policy!A204="","",Policy!J204)</f>
        <v/>
      </c>
      <c r="W204" s="14"/>
    </row>
    <row r="205" customFormat="false" ht="15" hidden="false" customHeight="false" outlineLevel="0" collapsed="false">
      <c r="A205" s="17" t="str">
        <f aca="false">IF(Policy!A205="","",Policy!A205)</f>
        <v/>
      </c>
      <c r="B205" s="17" t="str">
        <f aca="false">IF(Policy!A205="","",Policy!B205)</f>
        <v/>
      </c>
      <c r="C205" s="17" t="str">
        <f aca="false">IF(Policy!A205="","",Policy!E205)</f>
        <v/>
      </c>
      <c r="D205" s="17" t="str">
        <f aca="false">IF(Policy!A205="","",Policy!G205)</f>
        <v/>
      </c>
      <c r="E205" s="17" t="str">
        <f aca="false">IF(Policy!A205="","",Policy!H205)</f>
        <v/>
      </c>
      <c r="F205" s="22" t="str">
        <f aca="false">IF(Policy!A205="","",Risk!D205)</f>
        <v/>
      </c>
      <c r="G205" s="23"/>
      <c r="H205" s="24" t="str">
        <f aca="false">IF(A205="","",G205*(1-M205/100))</f>
        <v/>
      </c>
      <c r="I205" s="24" t="str">
        <f aca="false">IF(A205="","",G205*F205/100)</f>
        <v/>
      </c>
      <c r="J205" s="24" t="str">
        <f aca="false">IF(A205="","",I205*(1-M205/100))</f>
        <v/>
      </c>
      <c r="K205" s="25"/>
      <c r="L205" s="25"/>
      <c r="M205" s="26" t="str">
        <f aca="false">IF(A205="","",K205+L205)</f>
        <v/>
      </c>
      <c r="N205" s="25"/>
      <c r="O205" s="23"/>
      <c r="P205" s="23"/>
      <c r="Q205" s="24" t="str">
        <f aca="false">IF(A205="","",J205*(1-N205/100)-O205-P205)</f>
        <v/>
      </c>
      <c r="R205" s="25"/>
      <c r="S205" s="17" t="str">
        <f aca="false">IF(Policy!A205="","",Policy!U205)</f>
        <v/>
      </c>
      <c r="T205" s="17" t="str">
        <f aca="false">IF(OR(A205="",Policy!L205=""),"",MONTH(Policy!L205))</f>
        <v/>
      </c>
      <c r="U205" s="17" t="str">
        <f aca="false">IF(OR(A205="",Policy!L205=""),"",YEAR(Policy!L205))</f>
        <v/>
      </c>
      <c r="V205" s="17" t="str">
        <f aca="false">IF(Policy!A205="","",Policy!J205)</f>
        <v/>
      </c>
      <c r="W205" s="14"/>
    </row>
    <row r="206" customFormat="false" ht="15" hidden="false" customHeight="false" outlineLevel="0" collapsed="false">
      <c r="A206" s="17" t="str">
        <f aca="false">IF(Policy!A206="","",Policy!A206)</f>
        <v/>
      </c>
      <c r="B206" s="17" t="str">
        <f aca="false">IF(Policy!A206="","",Policy!B206)</f>
        <v/>
      </c>
      <c r="C206" s="17" t="str">
        <f aca="false">IF(Policy!A206="","",Policy!E206)</f>
        <v/>
      </c>
      <c r="D206" s="17" t="str">
        <f aca="false">IF(Policy!A206="","",Policy!G206)</f>
        <v/>
      </c>
      <c r="E206" s="17" t="str">
        <f aca="false">IF(Policy!A206="","",Policy!H206)</f>
        <v/>
      </c>
      <c r="F206" s="22" t="str">
        <f aca="false">IF(Policy!A206="","",Risk!D206)</f>
        <v/>
      </c>
      <c r="G206" s="23"/>
      <c r="H206" s="24" t="str">
        <f aca="false">IF(A206="","",G206*(1-M206/100))</f>
        <v/>
      </c>
      <c r="I206" s="24" t="str">
        <f aca="false">IF(A206="","",G206*F206/100)</f>
        <v/>
      </c>
      <c r="J206" s="24" t="str">
        <f aca="false">IF(A206="","",I206*(1-M206/100))</f>
        <v/>
      </c>
      <c r="K206" s="25"/>
      <c r="L206" s="25"/>
      <c r="M206" s="26" t="str">
        <f aca="false">IF(A206="","",K206+L206)</f>
        <v/>
      </c>
      <c r="N206" s="25"/>
      <c r="O206" s="23"/>
      <c r="P206" s="23"/>
      <c r="Q206" s="24" t="str">
        <f aca="false">IF(A206="","",J206*(1-N206/100)-O206-P206)</f>
        <v/>
      </c>
      <c r="R206" s="25"/>
      <c r="S206" s="17" t="str">
        <f aca="false">IF(Policy!A206="","",Policy!U206)</f>
        <v/>
      </c>
      <c r="T206" s="17" t="str">
        <f aca="false">IF(OR(A206="",Policy!L206=""),"",MONTH(Policy!L206))</f>
        <v/>
      </c>
      <c r="U206" s="17" t="str">
        <f aca="false">IF(OR(A206="",Policy!L206=""),"",YEAR(Policy!L206))</f>
        <v/>
      </c>
      <c r="V206" s="17" t="str">
        <f aca="false">IF(Policy!A206="","",Policy!J206)</f>
        <v/>
      </c>
      <c r="W206" s="14"/>
    </row>
    <row r="207" customFormat="false" ht="15" hidden="false" customHeight="false" outlineLevel="0" collapsed="false">
      <c r="A207" s="17" t="str">
        <f aca="false">IF(Policy!A207="","",Policy!A207)</f>
        <v/>
      </c>
      <c r="B207" s="17" t="str">
        <f aca="false">IF(Policy!A207="","",Policy!B207)</f>
        <v/>
      </c>
      <c r="C207" s="17" t="str">
        <f aca="false">IF(Policy!A207="","",Policy!E207)</f>
        <v/>
      </c>
      <c r="D207" s="17" t="str">
        <f aca="false">IF(Policy!A207="","",Policy!G207)</f>
        <v/>
      </c>
      <c r="E207" s="17" t="str">
        <f aca="false">IF(Policy!A207="","",Policy!H207)</f>
        <v/>
      </c>
      <c r="F207" s="22" t="str">
        <f aca="false">IF(Policy!A207="","",Risk!D207)</f>
        <v/>
      </c>
      <c r="G207" s="23"/>
      <c r="H207" s="24" t="str">
        <f aca="false">IF(A207="","",G207*(1-M207/100))</f>
        <v/>
      </c>
      <c r="I207" s="24" t="str">
        <f aca="false">IF(A207="","",G207*F207/100)</f>
        <v/>
      </c>
      <c r="J207" s="24" t="str">
        <f aca="false">IF(A207="","",I207*(1-M207/100))</f>
        <v/>
      </c>
      <c r="K207" s="25"/>
      <c r="L207" s="25"/>
      <c r="M207" s="26" t="str">
        <f aca="false">IF(A207="","",K207+L207)</f>
        <v/>
      </c>
      <c r="N207" s="25"/>
      <c r="O207" s="23"/>
      <c r="P207" s="23"/>
      <c r="Q207" s="24" t="str">
        <f aca="false">IF(A207="","",J207*(1-N207/100)-O207-P207)</f>
        <v/>
      </c>
      <c r="R207" s="25"/>
      <c r="S207" s="17" t="str">
        <f aca="false">IF(Policy!A207="","",Policy!U207)</f>
        <v/>
      </c>
      <c r="T207" s="17" t="str">
        <f aca="false">IF(OR(A207="",Policy!L207=""),"",MONTH(Policy!L207))</f>
        <v/>
      </c>
      <c r="U207" s="17" t="str">
        <f aca="false">IF(OR(A207="",Policy!L207=""),"",YEAR(Policy!L207))</f>
        <v/>
      </c>
      <c r="V207" s="17" t="str">
        <f aca="false">IF(Policy!A207="","",Policy!J207)</f>
        <v/>
      </c>
      <c r="W207" s="14"/>
    </row>
    <row r="208" customFormat="false" ht="15" hidden="false" customHeight="false" outlineLevel="0" collapsed="false">
      <c r="A208" s="17" t="str">
        <f aca="false">IF(Policy!A208="","",Policy!A208)</f>
        <v/>
      </c>
      <c r="B208" s="17" t="str">
        <f aca="false">IF(Policy!A208="","",Policy!B208)</f>
        <v/>
      </c>
      <c r="C208" s="17" t="str">
        <f aca="false">IF(Policy!A208="","",Policy!E208)</f>
        <v/>
      </c>
      <c r="D208" s="17" t="str">
        <f aca="false">IF(Policy!A208="","",Policy!G208)</f>
        <v/>
      </c>
      <c r="E208" s="17" t="str">
        <f aca="false">IF(Policy!A208="","",Policy!H208)</f>
        <v/>
      </c>
      <c r="F208" s="22" t="str">
        <f aca="false">IF(Policy!A208="","",Risk!D208)</f>
        <v/>
      </c>
      <c r="G208" s="23"/>
      <c r="H208" s="24" t="str">
        <f aca="false">IF(A208="","",G208*(1-M208/100))</f>
        <v/>
      </c>
      <c r="I208" s="24" t="str">
        <f aca="false">IF(A208="","",G208*F208/100)</f>
        <v/>
      </c>
      <c r="J208" s="24" t="str">
        <f aca="false">IF(A208="","",I208*(1-M208/100))</f>
        <v/>
      </c>
      <c r="K208" s="25"/>
      <c r="L208" s="25"/>
      <c r="M208" s="26" t="str">
        <f aca="false">IF(A208="","",K208+L208)</f>
        <v/>
      </c>
      <c r="N208" s="25"/>
      <c r="O208" s="23"/>
      <c r="P208" s="23"/>
      <c r="Q208" s="24" t="str">
        <f aca="false">IF(A208="","",J208*(1-N208/100)-O208-P208)</f>
        <v/>
      </c>
      <c r="R208" s="25"/>
      <c r="S208" s="17" t="str">
        <f aca="false">IF(Policy!A208="","",Policy!U208)</f>
        <v/>
      </c>
      <c r="T208" s="17" t="str">
        <f aca="false">IF(OR(A208="",Policy!L208=""),"",MONTH(Policy!L208))</f>
        <v/>
      </c>
      <c r="U208" s="17" t="str">
        <f aca="false">IF(OR(A208="",Policy!L208=""),"",YEAR(Policy!L208))</f>
        <v/>
      </c>
      <c r="V208" s="17" t="str">
        <f aca="false">IF(Policy!A208="","",Policy!J208)</f>
        <v/>
      </c>
      <c r="W208" s="14"/>
    </row>
    <row r="209" customFormat="false" ht="15" hidden="false" customHeight="false" outlineLevel="0" collapsed="false">
      <c r="A209" s="17" t="str">
        <f aca="false">IF(Policy!A209="","",Policy!A209)</f>
        <v/>
      </c>
      <c r="B209" s="17" t="str">
        <f aca="false">IF(Policy!A209="","",Policy!B209)</f>
        <v/>
      </c>
      <c r="C209" s="17" t="str">
        <f aca="false">IF(Policy!A209="","",Policy!E209)</f>
        <v/>
      </c>
      <c r="D209" s="17" t="str">
        <f aca="false">IF(Policy!A209="","",Policy!G209)</f>
        <v/>
      </c>
      <c r="E209" s="17" t="str">
        <f aca="false">IF(Policy!A209="","",Policy!H209)</f>
        <v/>
      </c>
      <c r="F209" s="22" t="str">
        <f aca="false">IF(Policy!A209="","",Risk!D209)</f>
        <v/>
      </c>
      <c r="G209" s="23"/>
      <c r="H209" s="24" t="str">
        <f aca="false">IF(A209="","",G209*(1-M209/100))</f>
        <v/>
      </c>
      <c r="I209" s="24" t="str">
        <f aca="false">IF(A209="","",G209*F209/100)</f>
        <v/>
      </c>
      <c r="J209" s="24" t="str">
        <f aca="false">IF(A209="","",I209*(1-M209/100))</f>
        <v/>
      </c>
      <c r="K209" s="25"/>
      <c r="L209" s="25"/>
      <c r="M209" s="26" t="str">
        <f aca="false">IF(A209="","",K209+L209)</f>
        <v/>
      </c>
      <c r="N209" s="25"/>
      <c r="O209" s="23"/>
      <c r="P209" s="23"/>
      <c r="Q209" s="24" t="str">
        <f aca="false">IF(A209="","",J209*(1-N209/100)-O209-P209)</f>
        <v/>
      </c>
      <c r="R209" s="25"/>
      <c r="S209" s="17" t="str">
        <f aca="false">IF(Policy!A209="","",Policy!U209)</f>
        <v/>
      </c>
      <c r="T209" s="17" t="str">
        <f aca="false">IF(OR(A209="",Policy!L209=""),"",MONTH(Policy!L209))</f>
        <v/>
      </c>
      <c r="U209" s="17" t="str">
        <f aca="false">IF(OR(A209="",Policy!L209=""),"",YEAR(Policy!L209))</f>
        <v/>
      </c>
      <c r="V209" s="17" t="str">
        <f aca="false">IF(Policy!A209="","",Policy!J209)</f>
        <v/>
      </c>
      <c r="W209" s="14"/>
    </row>
    <row r="210" customFormat="false" ht="15" hidden="false" customHeight="false" outlineLevel="0" collapsed="false">
      <c r="A210" s="17" t="str">
        <f aca="false">IF(Policy!A210="","",Policy!A210)</f>
        <v/>
      </c>
      <c r="B210" s="17" t="str">
        <f aca="false">IF(Policy!A210="","",Policy!B210)</f>
        <v/>
      </c>
      <c r="C210" s="17" t="str">
        <f aca="false">IF(Policy!A210="","",Policy!E210)</f>
        <v/>
      </c>
      <c r="D210" s="17" t="str">
        <f aca="false">IF(Policy!A210="","",Policy!G210)</f>
        <v/>
      </c>
      <c r="E210" s="17" t="str">
        <f aca="false">IF(Policy!A210="","",Policy!H210)</f>
        <v/>
      </c>
      <c r="F210" s="22" t="str">
        <f aca="false">IF(Policy!A210="","",Risk!D210)</f>
        <v/>
      </c>
      <c r="G210" s="23"/>
      <c r="H210" s="24" t="str">
        <f aca="false">IF(A210="","",G210*(1-M210/100))</f>
        <v/>
      </c>
      <c r="I210" s="24" t="str">
        <f aca="false">IF(A210="","",G210*F210/100)</f>
        <v/>
      </c>
      <c r="J210" s="24" t="str">
        <f aca="false">IF(A210="","",I210*(1-M210/100))</f>
        <v/>
      </c>
      <c r="K210" s="25"/>
      <c r="L210" s="25"/>
      <c r="M210" s="26" t="str">
        <f aca="false">IF(A210="","",K210+L210)</f>
        <v/>
      </c>
      <c r="N210" s="25"/>
      <c r="O210" s="23"/>
      <c r="P210" s="23"/>
      <c r="Q210" s="24" t="str">
        <f aca="false">IF(A210="","",J210*(1-N210/100)-O210-P210)</f>
        <v/>
      </c>
      <c r="R210" s="25"/>
      <c r="S210" s="17" t="str">
        <f aca="false">IF(Policy!A210="","",Policy!U210)</f>
        <v/>
      </c>
      <c r="T210" s="17" t="str">
        <f aca="false">IF(OR(A210="",Policy!L210=""),"",MONTH(Policy!L210))</f>
        <v/>
      </c>
      <c r="U210" s="17" t="str">
        <f aca="false">IF(OR(A210="",Policy!L210=""),"",YEAR(Policy!L210))</f>
        <v/>
      </c>
      <c r="V210" s="17" t="str">
        <f aca="false">IF(Policy!A210="","",Policy!J210)</f>
        <v/>
      </c>
      <c r="W210" s="14"/>
    </row>
    <row r="211" customFormat="false" ht="15" hidden="false" customHeight="false" outlineLevel="0" collapsed="false">
      <c r="A211" s="17" t="str">
        <f aca="false">IF(Policy!A211="","",Policy!A211)</f>
        <v/>
      </c>
      <c r="B211" s="17" t="str">
        <f aca="false">IF(Policy!A211="","",Policy!B211)</f>
        <v/>
      </c>
      <c r="C211" s="17" t="str">
        <f aca="false">IF(Policy!A211="","",Policy!E211)</f>
        <v/>
      </c>
      <c r="D211" s="17" t="str">
        <f aca="false">IF(Policy!A211="","",Policy!G211)</f>
        <v/>
      </c>
      <c r="E211" s="17" t="str">
        <f aca="false">IF(Policy!A211="","",Policy!H211)</f>
        <v/>
      </c>
      <c r="F211" s="22" t="str">
        <f aca="false">IF(Policy!A211="","",Risk!D211)</f>
        <v/>
      </c>
      <c r="G211" s="23"/>
      <c r="H211" s="24" t="str">
        <f aca="false">IF(A211="","",G211*(1-M211/100))</f>
        <v/>
      </c>
      <c r="I211" s="24" t="str">
        <f aca="false">IF(A211="","",G211*F211/100)</f>
        <v/>
      </c>
      <c r="J211" s="24" t="str">
        <f aca="false">IF(A211="","",I211*(1-M211/100))</f>
        <v/>
      </c>
      <c r="K211" s="25"/>
      <c r="L211" s="25"/>
      <c r="M211" s="26" t="str">
        <f aca="false">IF(A211="","",K211+L211)</f>
        <v/>
      </c>
      <c r="N211" s="25"/>
      <c r="O211" s="23"/>
      <c r="P211" s="23"/>
      <c r="Q211" s="24" t="str">
        <f aca="false">IF(A211="","",J211*(1-N211/100)-O211-P211)</f>
        <v/>
      </c>
      <c r="R211" s="25"/>
      <c r="S211" s="17" t="str">
        <f aca="false">IF(Policy!A211="","",Policy!U211)</f>
        <v/>
      </c>
      <c r="T211" s="17" t="str">
        <f aca="false">IF(OR(A211="",Policy!L211=""),"",MONTH(Policy!L211))</f>
        <v/>
      </c>
      <c r="U211" s="17" t="str">
        <f aca="false">IF(OR(A211="",Policy!L211=""),"",YEAR(Policy!L211))</f>
        <v/>
      </c>
      <c r="V211" s="17" t="str">
        <f aca="false">IF(Policy!A211="","",Policy!J211)</f>
        <v/>
      </c>
      <c r="W211" s="14"/>
    </row>
    <row r="212" customFormat="false" ht="15" hidden="false" customHeight="false" outlineLevel="0" collapsed="false">
      <c r="A212" s="17" t="str">
        <f aca="false">IF(Policy!A212="","",Policy!A212)</f>
        <v/>
      </c>
      <c r="B212" s="17" t="str">
        <f aca="false">IF(Policy!A212="","",Policy!B212)</f>
        <v/>
      </c>
      <c r="C212" s="17" t="str">
        <f aca="false">IF(Policy!A212="","",Policy!E212)</f>
        <v/>
      </c>
      <c r="D212" s="17" t="str">
        <f aca="false">IF(Policy!A212="","",Policy!G212)</f>
        <v/>
      </c>
      <c r="E212" s="17" t="str">
        <f aca="false">IF(Policy!A212="","",Policy!H212)</f>
        <v/>
      </c>
      <c r="F212" s="22" t="str">
        <f aca="false">IF(Policy!A212="","",Risk!D212)</f>
        <v/>
      </c>
      <c r="G212" s="23"/>
      <c r="H212" s="24" t="str">
        <f aca="false">IF(A212="","",G212*(1-M212/100))</f>
        <v/>
      </c>
      <c r="I212" s="24" t="str">
        <f aca="false">IF(A212="","",G212*F212/100)</f>
        <v/>
      </c>
      <c r="J212" s="24" t="str">
        <f aca="false">IF(A212="","",I212*(1-M212/100))</f>
        <v/>
      </c>
      <c r="K212" s="25"/>
      <c r="L212" s="25"/>
      <c r="M212" s="26" t="str">
        <f aca="false">IF(A212="","",K212+L212)</f>
        <v/>
      </c>
      <c r="N212" s="25"/>
      <c r="O212" s="23"/>
      <c r="P212" s="23"/>
      <c r="Q212" s="24" t="str">
        <f aca="false">IF(A212="","",J212*(1-N212/100)-O212-P212)</f>
        <v/>
      </c>
      <c r="R212" s="25"/>
      <c r="S212" s="17" t="str">
        <f aca="false">IF(Policy!A212="","",Policy!U212)</f>
        <v/>
      </c>
      <c r="T212" s="17" t="str">
        <f aca="false">IF(OR(A212="",Policy!L212=""),"",MONTH(Policy!L212))</f>
        <v/>
      </c>
      <c r="U212" s="17" t="str">
        <f aca="false">IF(OR(A212="",Policy!L212=""),"",YEAR(Policy!L212))</f>
        <v/>
      </c>
      <c r="V212" s="17" t="str">
        <f aca="false">IF(Policy!A212="","",Policy!J212)</f>
        <v/>
      </c>
      <c r="W212" s="14"/>
    </row>
    <row r="213" customFormat="false" ht="15" hidden="false" customHeight="false" outlineLevel="0" collapsed="false">
      <c r="A213" s="17" t="str">
        <f aca="false">IF(Policy!A213="","",Policy!A213)</f>
        <v/>
      </c>
      <c r="B213" s="17" t="str">
        <f aca="false">IF(Policy!A213="","",Policy!B213)</f>
        <v/>
      </c>
      <c r="C213" s="17" t="str">
        <f aca="false">IF(Policy!A213="","",Policy!E213)</f>
        <v/>
      </c>
      <c r="D213" s="17" t="str">
        <f aca="false">IF(Policy!A213="","",Policy!G213)</f>
        <v/>
      </c>
      <c r="E213" s="17" t="str">
        <f aca="false">IF(Policy!A213="","",Policy!H213)</f>
        <v/>
      </c>
      <c r="F213" s="22" t="str">
        <f aca="false">IF(Policy!A213="","",Risk!D213)</f>
        <v/>
      </c>
      <c r="G213" s="23"/>
      <c r="H213" s="24" t="str">
        <f aca="false">IF(A213="","",G213*(1-M213/100))</f>
        <v/>
      </c>
      <c r="I213" s="24" t="str">
        <f aca="false">IF(A213="","",G213*F213/100)</f>
        <v/>
      </c>
      <c r="J213" s="24" t="str">
        <f aca="false">IF(A213="","",I213*(1-M213/100))</f>
        <v/>
      </c>
      <c r="K213" s="25"/>
      <c r="L213" s="25"/>
      <c r="M213" s="26" t="str">
        <f aca="false">IF(A213="","",K213+L213)</f>
        <v/>
      </c>
      <c r="N213" s="25"/>
      <c r="O213" s="23"/>
      <c r="P213" s="23"/>
      <c r="Q213" s="24" t="str">
        <f aca="false">IF(A213="","",J213*(1-N213/100)-O213-P213)</f>
        <v/>
      </c>
      <c r="R213" s="25"/>
      <c r="S213" s="17" t="str">
        <f aca="false">IF(Policy!A213="","",Policy!U213)</f>
        <v/>
      </c>
      <c r="T213" s="17" t="str">
        <f aca="false">IF(OR(A213="",Policy!L213=""),"",MONTH(Policy!L213))</f>
        <v/>
      </c>
      <c r="U213" s="17" t="str">
        <f aca="false">IF(OR(A213="",Policy!L213=""),"",YEAR(Policy!L213))</f>
        <v/>
      </c>
      <c r="V213" s="17" t="str">
        <f aca="false">IF(Policy!A213="","",Policy!J213)</f>
        <v/>
      </c>
      <c r="W213" s="14"/>
    </row>
    <row r="214" customFormat="false" ht="15" hidden="false" customHeight="false" outlineLevel="0" collapsed="false">
      <c r="A214" s="17" t="str">
        <f aca="false">IF(Policy!A214="","",Policy!A214)</f>
        <v/>
      </c>
      <c r="B214" s="17" t="str">
        <f aca="false">IF(Policy!A214="","",Policy!B214)</f>
        <v/>
      </c>
      <c r="C214" s="17" t="str">
        <f aca="false">IF(Policy!A214="","",Policy!E214)</f>
        <v/>
      </c>
      <c r="D214" s="17" t="str">
        <f aca="false">IF(Policy!A214="","",Policy!G214)</f>
        <v/>
      </c>
      <c r="E214" s="17" t="str">
        <f aca="false">IF(Policy!A214="","",Policy!H214)</f>
        <v/>
      </c>
      <c r="F214" s="22" t="str">
        <f aca="false">IF(Policy!A214="","",Risk!D214)</f>
        <v/>
      </c>
      <c r="G214" s="23"/>
      <c r="H214" s="24" t="str">
        <f aca="false">IF(A214="","",G214*(1-M214/100))</f>
        <v/>
      </c>
      <c r="I214" s="24" t="str">
        <f aca="false">IF(A214="","",G214*F214/100)</f>
        <v/>
      </c>
      <c r="J214" s="24" t="str">
        <f aca="false">IF(A214="","",I214*(1-M214/100))</f>
        <v/>
      </c>
      <c r="K214" s="25"/>
      <c r="L214" s="25"/>
      <c r="M214" s="26" t="str">
        <f aca="false">IF(A214="","",K214+L214)</f>
        <v/>
      </c>
      <c r="N214" s="25"/>
      <c r="O214" s="23"/>
      <c r="P214" s="23"/>
      <c r="Q214" s="24" t="str">
        <f aca="false">IF(A214="","",J214*(1-N214/100)-O214-P214)</f>
        <v/>
      </c>
      <c r="R214" s="25"/>
      <c r="S214" s="17" t="str">
        <f aca="false">IF(Policy!A214="","",Policy!U214)</f>
        <v/>
      </c>
      <c r="T214" s="17" t="str">
        <f aca="false">IF(OR(A214="",Policy!L214=""),"",MONTH(Policy!L214))</f>
        <v/>
      </c>
      <c r="U214" s="17" t="str">
        <f aca="false">IF(OR(A214="",Policy!L214=""),"",YEAR(Policy!L214))</f>
        <v/>
      </c>
      <c r="V214" s="17" t="str">
        <f aca="false">IF(Policy!A214="","",Policy!J214)</f>
        <v/>
      </c>
      <c r="W214" s="14"/>
    </row>
    <row r="215" customFormat="false" ht="15" hidden="false" customHeight="false" outlineLevel="0" collapsed="false">
      <c r="A215" s="17" t="str">
        <f aca="false">IF(Policy!A215="","",Policy!A215)</f>
        <v/>
      </c>
      <c r="B215" s="17" t="str">
        <f aca="false">IF(Policy!A215="","",Policy!B215)</f>
        <v/>
      </c>
      <c r="C215" s="17" t="str">
        <f aca="false">IF(Policy!A215="","",Policy!E215)</f>
        <v/>
      </c>
      <c r="D215" s="17" t="str">
        <f aca="false">IF(Policy!A215="","",Policy!G215)</f>
        <v/>
      </c>
      <c r="E215" s="17" t="str">
        <f aca="false">IF(Policy!A215="","",Policy!H215)</f>
        <v/>
      </c>
      <c r="F215" s="22" t="str">
        <f aca="false">IF(Policy!A215="","",Risk!D215)</f>
        <v/>
      </c>
      <c r="G215" s="23"/>
      <c r="H215" s="24" t="str">
        <f aca="false">IF(A215="","",G215*(1-M215/100))</f>
        <v/>
      </c>
      <c r="I215" s="24" t="str">
        <f aca="false">IF(A215="","",G215*F215/100)</f>
        <v/>
      </c>
      <c r="J215" s="24" t="str">
        <f aca="false">IF(A215="","",I215*(1-M215/100))</f>
        <v/>
      </c>
      <c r="K215" s="25"/>
      <c r="L215" s="25"/>
      <c r="M215" s="26" t="str">
        <f aca="false">IF(A215="","",K215+L215)</f>
        <v/>
      </c>
      <c r="N215" s="25"/>
      <c r="O215" s="23"/>
      <c r="P215" s="23"/>
      <c r="Q215" s="24" t="str">
        <f aca="false">IF(A215="","",J215*(1-N215/100)-O215-P215)</f>
        <v/>
      </c>
      <c r="R215" s="25"/>
      <c r="S215" s="17" t="str">
        <f aca="false">IF(Policy!A215="","",Policy!U215)</f>
        <v/>
      </c>
      <c r="T215" s="17" t="str">
        <f aca="false">IF(OR(A215="",Policy!L215=""),"",MONTH(Policy!L215))</f>
        <v/>
      </c>
      <c r="U215" s="17" t="str">
        <f aca="false">IF(OR(A215="",Policy!L215=""),"",YEAR(Policy!L215))</f>
        <v/>
      </c>
      <c r="V215" s="17" t="str">
        <f aca="false">IF(Policy!A215="","",Policy!J215)</f>
        <v/>
      </c>
      <c r="W215" s="14"/>
    </row>
    <row r="216" customFormat="false" ht="15" hidden="false" customHeight="false" outlineLevel="0" collapsed="false">
      <c r="A216" s="17" t="str">
        <f aca="false">IF(Policy!A216="","",Policy!A216)</f>
        <v/>
      </c>
      <c r="B216" s="17" t="str">
        <f aca="false">IF(Policy!A216="","",Policy!B216)</f>
        <v/>
      </c>
      <c r="C216" s="17" t="str">
        <f aca="false">IF(Policy!A216="","",Policy!E216)</f>
        <v/>
      </c>
      <c r="D216" s="17" t="str">
        <f aca="false">IF(Policy!A216="","",Policy!G216)</f>
        <v/>
      </c>
      <c r="E216" s="17" t="str">
        <f aca="false">IF(Policy!A216="","",Policy!H216)</f>
        <v/>
      </c>
      <c r="F216" s="22" t="str">
        <f aca="false">IF(Policy!A216="","",Risk!D216)</f>
        <v/>
      </c>
      <c r="G216" s="23"/>
      <c r="H216" s="24" t="str">
        <f aca="false">IF(A216="","",G216*(1-M216/100))</f>
        <v/>
      </c>
      <c r="I216" s="24" t="str">
        <f aca="false">IF(A216="","",G216*F216/100)</f>
        <v/>
      </c>
      <c r="J216" s="24" t="str">
        <f aca="false">IF(A216="","",I216*(1-M216/100))</f>
        <v/>
      </c>
      <c r="K216" s="25"/>
      <c r="L216" s="25"/>
      <c r="M216" s="26" t="str">
        <f aca="false">IF(A216="","",K216+L216)</f>
        <v/>
      </c>
      <c r="N216" s="25"/>
      <c r="O216" s="23"/>
      <c r="P216" s="23"/>
      <c r="Q216" s="24" t="str">
        <f aca="false">IF(A216="","",J216*(1-N216/100)-O216-P216)</f>
        <v/>
      </c>
      <c r="R216" s="25"/>
      <c r="S216" s="17" t="str">
        <f aca="false">IF(Policy!A216="","",Policy!U216)</f>
        <v/>
      </c>
      <c r="T216" s="17" t="str">
        <f aca="false">IF(OR(A216="",Policy!L216=""),"",MONTH(Policy!L216))</f>
        <v/>
      </c>
      <c r="U216" s="17" t="str">
        <f aca="false">IF(OR(A216="",Policy!L216=""),"",YEAR(Policy!L216))</f>
        <v/>
      </c>
      <c r="V216" s="17" t="str">
        <f aca="false">IF(Policy!A216="","",Policy!J216)</f>
        <v/>
      </c>
      <c r="W216" s="14"/>
    </row>
    <row r="217" customFormat="false" ht="15" hidden="false" customHeight="false" outlineLevel="0" collapsed="false">
      <c r="A217" s="17" t="str">
        <f aca="false">IF(Policy!A217="","",Policy!A217)</f>
        <v/>
      </c>
      <c r="B217" s="17" t="str">
        <f aca="false">IF(Policy!A217="","",Policy!B217)</f>
        <v/>
      </c>
      <c r="C217" s="17" t="str">
        <f aca="false">IF(Policy!A217="","",Policy!E217)</f>
        <v/>
      </c>
      <c r="D217" s="17" t="str">
        <f aca="false">IF(Policy!A217="","",Policy!G217)</f>
        <v/>
      </c>
      <c r="E217" s="17" t="str">
        <f aca="false">IF(Policy!A217="","",Policy!H217)</f>
        <v/>
      </c>
      <c r="F217" s="22" t="str">
        <f aca="false">IF(Policy!A217="","",Risk!D217)</f>
        <v/>
      </c>
      <c r="G217" s="23"/>
      <c r="H217" s="24" t="str">
        <f aca="false">IF(A217="","",G217*(1-M217/100))</f>
        <v/>
      </c>
      <c r="I217" s="24" t="str">
        <f aca="false">IF(A217="","",G217*F217/100)</f>
        <v/>
      </c>
      <c r="J217" s="24" t="str">
        <f aca="false">IF(A217="","",I217*(1-M217/100))</f>
        <v/>
      </c>
      <c r="K217" s="25"/>
      <c r="L217" s="25"/>
      <c r="M217" s="26" t="str">
        <f aca="false">IF(A217="","",K217+L217)</f>
        <v/>
      </c>
      <c r="N217" s="25"/>
      <c r="O217" s="23"/>
      <c r="P217" s="23"/>
      <c r="Q217" s="24" t="str">
        <f aca="false">IF(A217="","",J217*(1-N217/100)-O217-P217)</f>
        <v/>
      </c>
      <c r="R217" s="25"/>
      <c r="S217" s="17" t="str">
        <f aca="false">IF(Policy!A217="","",Policy!U217)</f>
        <v/>
      </c>
      <c r="T217" s="17" t="str">
        <f aca="false">IF(OR(A217="",Policy!L217=""),"",MONTH(Policy!L217))</f>
        <v/>
      </c>
      <c r="U217" s="17" t="str">
        <f aca="false">IF(OR(A217="",Policy!L217=""),"",YEAR(Policy!L217))</f>
        <v/>
      </c>
      <c r="V217" s="17" t="str">
        <f aca="false">IF(Policy!A217="","",Policy!J217)</f>
        <v/>
      </c>
      <c r="W217" s="14"/>
    </row>
    <row r="218" customFormat="false" ht="15" hidden="false" customHeight="false" outlineLevel="0" collapsed="false">
      <c r="A218" s="17" t="str">
        <f aca="false">IF(Policy!A218="","",Policy!A218)</f>
        <v/>
      </c>
      <c r="B218" s="17" t="str">
        <f aca="false">IF(Policy!A218="","",Policy!B218)</f>
        <v/>
      </c>
      <c r="C218" s="17" t="str">
        <f aca="false">IF(Policy!A218="","",Policy!E218)</f>
        <v/>
      </c>
      <c r="D218" s="17" t="str">
        <f aca="false">IF(Policy!A218="","",Policy!G218)</f>
        <v/>
      </c>
      <c r="E218" s="17" t="str">
        <f aca="false">IF(Policy!A218="","",Policy!H218)</f>
        <v/>
      </c>
      <c r="F218" s="22" t="str">
        <f aca="false">IF(Policy!A218="","",Risk!D218)</f>
        <v/>
      </c>
      <c r="G218" s="23"/>
      <c r="H218" s="24" t="str">
        <f aca="false">IF(A218="","",G218*(1-M218/100))</f>
        <v/>
      </c>
      <c r="I218" s="24" t="str">
        <f aca="false">IF(A218="","",G218*F218/100)</f>
        <v/>
      </c>
      <c r="J218" s="24" t="str">
        <f aca="false">IF(A218="","",I218*(1-M218/100))</f>
        <v/>
      </c>
      <c r="K218" s="25"/>
      <c r="L218" s="25"/>
      <c r="M218" s="26" t="str">
        <f aca="false">IF(A218="","",K218+L218)</f>
        <v/>
      </c>
      <c r="N218" s="25"/>
      <c r="O218" s="23"/>
      <c r="P218" s="23"/>
      <c r="Q218" s="24" t="str">
        <f aca="false">IF(A218="","",J218*(1-N218/100)-O218-P218)</f>
        <v/>
      </c>
      <c r="R218" s="25"/>
      <c r="S218" s="17" t="str">
        <f aca="false">IF(Policy!A218="","",Policy!U218)</f>
        <v/>
      </c>
      <c r="T218" s="17" t="str">
        <f aca="false">IF(OR(A218="",Policy!L218=""),"",MONTH(Policy!L218))</f>
        <v/>
      </c>
      <c r="U218" s="17" t="str">
        <f aca="false">IF(OR(A218="",Policy!L218=""),"",YEAR(Policy!L218))</f>
        <v/>
      </c>
      <c r="V218" s="17" t="str">
        <f aca="false">IF(Policy!A218="","",Policy!J218)</f>
        <v/>
      </c>
      <c r="W218" s="14"/>
    </row>
    <row r="219" customFormat="false" ht="15" hidden="false" customHeight="false" outlineLevel="0" collapsed="false">
      <c r="A219" s="17" t="str">
        <f aca="false">IF(Policy!A219="","",Policy!A219)</f>
        <v/>
      </c>
      <c r="B219" s="17" t="str">
        <f aca="false">IF(Policy!A219="","",Policy!B219)</f>
        <v/>
      </c>
      <c r="C219" s="17" t="str">
        <f aca="false">IF(Policy!A219="","",Policy!E219)</f>
        <v/>
      </c>
      <c r="D219" s="17" t="str">
        <f aca="false">IF(Policy!A219="","",Policy!G219)</f>
        <v/>
      </c>
      <c r="E219" s="17" t="str">
        <f aca="false">IF(Policy!A219="","",Policy!H219)</f>
        <v/>
      </c>
      <c r="F219" s="22" t="str">
        <f aca="false">IF(Policy!A219="","",Risk!D219)</f>
        <v/>
      </c>
      <c r="G219" s="23"/>
      <c r="H219" s="24" t="str">
        <f aca="false">IF(A219="","",G219*(1-M219/100))</f>
        <v/>
      </c>
      <c r="I219" s="24" t="str">
        <f aca="false">IF(A219="","",G219*F219/100)</f>
        <v/>
      </c>
      <c r="J219" s="24" t="str">
        <f aca="false">IF(A219="","",I219*(1-M219/100))</f>
        <v/>
      </c>
      <c r="K219" s="25"/>
      <c r="L219" s="25"/>
      <c r="M219" s="26" t="str">
        <f aca="false">IF(A219="","",K219+L219)</f>
        <v/>
      </c>
      <c r="N219" s="25"/>
      <c r="O219" s="23"/>
      <c r="P219" s="23"/>
      <c r="Q219" s="24" t="str">
        <f aca="false">IF(A219="","",J219*(1-N219/100)-O219-P219)</f>
        <v/>
      </c>
      <c r="R219" s="25"/>
      <c r="S219" s="17" t="str">
        <f aca="false">IF(Policy!A219="","",Policy!U219)</f>
        <v/>
      </c>
      <c r="T219" s="17" t="str">
        <f aca="false">IF(OR(A219="",Policy!L219=""),"",MONTH(Policy!L219))</f>
        <v/>
      </c>
      <c r="U219" s="17" t="str">
        <f aca="false">IF(OR(A219="",Policy!L219=""),"",YEAR(Policy!L219))</f>
        <v/>
      </c>
      <c r="V219" s="17" t="str">
        <f aca="false">IF(Policy!A219="","",Policy!J219)</f>
        <v/>
      </c>
      <c r="W219" s="14"/>
    </row>
    <row r="220" customFormat="false" ht="15" hidden="false" customHeight="false" outlineLevel="0" collapsed="false">
      <c r="A220" s="17" t="str">
        <f aca="false">IF(Policy!A220="","",Policy!A220)</f>
        <v/>
      </c>
      <c r="B220" s="17" t="str">
        <f aca="false">IF(Policy!A220="","",Policy!B220)</f>
        <v/>
      </c>
      <c r="C220" s="17" t="str">
        <f aca="false">IF(Policy!A220="","",Policy!E220)</f>
        <v/>
      </c>
      <c r="D220" s="17" t="str">
        <f aca="false">IF(Policy!A220="","",Policy!G220)</f>
        <v/>
      </c>
      <c r="E220" s="17" t="str">
        <f aca="false">IF(Policy!A220="","",Policy!H220)</f>
        <v/>
      </c>
      <c r="F220" s="22" t="str">
        <f aca="false">IF(Policy!A220="","",Risk!D220)</f>
        <v/>
      </c>
      <c r="G220" s="23"/>
      <c r="H220" s="24" t="str">
        <f aca="false">IF(A220="","",G220*(1-M220/100))</f>
        <v/>
      </c>
      <c r="I220" s="24" t="str">
        <f aca="false">IF(A220="","",G220*F220/100)</f>
        <v/>
      </c>
      <c r="J220" s="24" t="str">
        <f aca="false">IF(A220="","",I220*(1-M220/100))</f>
        <v/>
      </c>
      <c r="K220" s="25"/>
      <c r="L220" s="25"/>
      <c r="M220" s="26" t="str">
        <f aca="false">IF(A220="","",K220+L220)</f>
        <v/>
      </c>
      <c r="N220" s="25"/>
      <c r="O220" s="23"/>
      <c r="P220" s="23"/>
      <c r="Q220" s="24" t="str">
        <f aca="false">IF(A220="","",J220*(1-N220/100)-O220-P220)</f>
        <v/>
      </c>
      <c r="R220" s="25"/>
      <c r="S220" s="17" t="str">
        <f aca="false">IF(Policy!A220="","",Policy!U220)</f>
        <v/>
      </c>
      <c r="T220" s="17" t="str">
        <f aca="false">IF(OR(A220="",Policy!L220=""),"",MONTH(Policy!L220))</f>
        <v/>
      </c>
      <c r="U220" s="17" t="str">
        <f aca="false">IF(OR(A220="",Policy!L220=""),"",YEAR(Policy!L220))</f>
        <v/>
      </c>
      <c r="V220" s="17" t="str">
        <f aca="false">IF(Policy!A220="","",Policy!J220)</f>
        <v/>
      </c>
      <c r="W220" s="14"/>
    </row>
    <row r="221" customFormat="false" ht="15" hidden="false" customHeight="false" outlineLevel="0" collapsed="false">
      <c r="A221" s="17" t="str">
        <f aca="false">IF(Policy!A221="","",Policy!A221)</f>
        <v/>
      </c>
      <c r="B221" s="17" t="str">
        <f aca="false">IF(Policy!A221="","",Policy!B221)</f>
        <v/>
      </c>
      <c r="C221" s="17" t="str">
        <f aca="false">IF(Policy!A221="","",Policy!E221)</f>
        <v/>
      </c>
      <c r="D221" s="17" t="str">
        <f aca="false">IF(Policy!A221="","",Policy!G221)</f>
        <v/>
      </c>
      <c r="E221" s="17" t="str">
        <f aca="false">IF(Policy!A221="","",Policy!H221)</f>
        <v/>
      </c>
      <c r="F221" s="22" t="str">
        <f aca="false">IF(Policy!A221="","",Risk!D221)</f>
        <v/>
      </c>
      <c r="G221" s="23"/>
      <c r="H221" s="24" t="str">
        <f aca="false">IF(A221="","",G221*(1-M221/100))</f>
        <v/>
      </c>
      <c r="I221" s="24" t="str">
        <f aca="false">IF(A221="","",G221*F221/100)</f>
        <v/>
      </c>
      <c r="J221" s="24" t="str">
        <f aca="false">IF(A221="","",I221*(1-M221/100))</f>
        <v/>
      </c>
      <c r="K221" s="25"/>
      <c r="L221" s="25"/>
      <c r="M221" s="26" t="str">
        <f aca="false">IF(A221="","",K221+L221)</f>
        <v/>
      </c>
      <c r="N221" s="25"/>
      <c r="O221" s="23"/>
      <c r="P221" s="23"/>
      <c r="Q221" s="24" t="str">
        <f aca="false">IF(A221="","",J221*(1-N221/100)-O221-P221)</f>
        <v/>
      </c>
      <c r="R221" s="25"/>
      <c r="S221" s="17" t="str">
        <f aca="false">IF(Policy!A221="","",Policy!U221)</f>
        <v/>
      </c>
      <c r="T221" s="17" t="str">
        <f aca="false">IF(OR(A221="",Policy!L221=""),"",MONTH(Policy!L221))</f>
        <v/>
      </c>
      <c r="U221" s="17" t="str">
        <f aca="false">IF(OR(A221="",Policy!L221=""),"",YEAR(Policy!L221))</f>
        <v/>
      </c>
      <c r="V221" s="17" t="str">
        <f aca="false">IF(Policy!A221="","",Policy!J221)</f>
        <v/>
      </c>
      <c r="W221" s="14"/>
    </row>
    <row r="222" customFormat="false" ht="15" hidden="false" customHeight="false" outlineLevel="0" collapsed="false">
      <c r="A222" s="17" t="str">
        <f aca="false">IF(Policy!A222="","",Policy!A222)</f>
        <v/>
      </c>
      <c r="B222" s="17" t="str">
        <f aca="false">IF(Policy!A222="","",Policy!B222)</f>
        <v/>
      </c>
      <c r="C222" s="17" t="str">
        <f aca="false">IF(Policy!A222="","",Policy!E222)</f>
        <v/>
      </c>
      <c r="D222" s="17" t="str">
        <f aca="false">IF(Policy!A222="","",Policy!G222)</f>
        <v/>
      </c>
      <c r="E222" s="17" t="str">
        <f aca="false">IF(Policy!A222="","",Policy!H222)</f>
        <v/>
      </c>
      <c r="F222" s="22" t="str">
        <f aca="false">IF(Policy!A222="","",Risk!D222)</f>
        <v/>
      </c>
      <c r="G222" s="23"/>
      <c r="H222" s="24" t="str">
        <f aca="false">IF(A222="","",G222*(1-M222/100))</f>
        <v/>
      </c>
      <c r="I222" s="24" t="str">
        <f aca="false">IF(A222="","",G222*F222/100)</f>
        <v/>
      </c>
      <c r="J222" s="24" t="str">
        <f aca="false">IF(A222="","",I222*(1-M222/100))</f>
        <v/>
      </c>
      <c r="K222" s="25"/>
      <c r="L222" s="25"/>
      <c r="M222" s="26" t="str">
        <f aca="false">IF(A222="","",K222+L222)</f>
        <v/>
      </c>
      <c r="N222" s="25"/>
      <c r="O222" s="23"/>
      <c r="P222" s="23"/>
      <c r="Q222" s="24" t="str">
        <f aca="false">IF(A222="","",J222*(1-N222/100)-O222-P222)</f>
        <v/>
      </c>
      <c r="R222" s="25"/>
      <c r="S222" s="17" t="str">
        <f aca="false">IF(Policy!A222="","",Policy!U222)</f>
        <v/>
      </c>
      <c r="T222" s="17" t="str">
        <f aca="false">IF(OR(A222="",Policy!L222=""),"",MONTH(Policy!L222))</f>
        <v/>
      </c>
      <c r="U222" s="17" t="str">
        <f aca="false">IF(OR(A222="",Policy!L222=""),"",YEAR(Policy!L222))</f>
        <v/>
      </c>
      <c r="V222" s="17" t="str">
        <f aca="false">IF(Policy!A222="","",Policy!J222)</f>
        <v/>
      </c>
      <c r="W222" s="14"/>
    </row>
    <row r="223" customFormat="false" ht="15" hidden="false" customHeight="false" outlineLevel="0" collapsed="false">
      <c r="A223" s="17" t="str">
        <f aca="false">IF(Policy!A223="","",Policy!A223)</f>
        <v/>
      </c>
      <c r="B223" s="17" t="str">
        <f aca="false">IF(Policy!A223="","",Policy!B223)</f>
        <v/>
      </c>
      <c r="C223" s="17" t="str">
        <f aca="false">IF(Policy!A223="","",Policy!E223)</f>
        <v/>
      </c>
      <c r="D223" s="17" t="str">
        <f aca="false">IF(Policy!A223="","",Policy!G223)</f>
        <v/>
      </c>
      <c r="E223" s="17" t="str">
        <f aca="false">IF(Policy!A223="","",Policy!H223)</f>
        <v/>
      </c>
      <c r="F223" s="22" t="str">
        <f aca="false">IF(Policy!A223="","",Risk!D223)</f>
        <v/>
      </c>
      <c r="G223" s="23"/>
      <c r="H223" s="24" t="str">
        <f aca="false">IF(A223="","",G223*(1-M223/100))</f>
        <v/>
      </c>
      <c r="I223" s="24" t="str">
        <f aca="false">IF(A223="","",G223*F223/100)</f>
        <v/>
      </c>
      <c r="J223" s="24" t="str">
        <f aca="false">IF(A223="","",I223*(1-M223/100))</f>
        <v/>
      </c>
      <c r="K223" s="25"/>
      <c r="L223" s="25"/>
      <c r="M223" s="26" t="str">
        <f aca="false">IF(A223="","",K223+L223)</f>
        <v/>
      </c>
      <c r="N223" s="25"/>
      <c r="O223" s="23"/>
      <c r="P223" s="23"/>
      <c r="Q223" s="24" t="str">
        <f aca="false">IF(A223="","",J223*(1-N223/100)-O223-P223)</f>
        <v/>
      </c>
      <c r="R223" s="25"/>
      <c r="S223" s="17" t="str">
        <f aca="false">IF(Policy!A223="","",Policy!U223)</f>
        <v/>
      </c>
      <c r="T223" s="17" t="str">
        <f aca="false">IF(OR(A223="",Policy!L223=""),"",MONTH(Policy!L223))</f>
        <v/>
      </c>
      <c r="U223" s="17" t="str">
        <f aca="false">IF(OR(A223="",Policy!L223=""),"",YEAR(Policy!L223))</f>
        <v/>
      </c>
      <c r="V223" s="17" t="str">
        <f aca="false">IF(Policy!A223="","",Policy!J223)</f>
        <v/>
      </c>
      <c r="W223" s="14"/>
    </row>
    <row r="224" customFormat="false" ht="15" hidden="false" customHeight="false" outlineLevel="0" collapsed="false">
      <c r="A224" s="17" t="str">
        <f aca="false">IF(Policy!A224="","",Policy!A224)</f>
        <v/>
      </c>
      <c r="B224" s="17" t="str">
        <f aca="false">IF(Policy!A224="","",Policy!B224)</f>
        <v/>
      </c>
      <c r="C224" s="17" t="str">
        <f aca="false">IF(Policy!A224="","",Policy!E224)</f>
        <v/>
      </c>
      <c r="D224" s="17" t="str">
        <f aca="false">IF(Policy!A224="","",Policy!G224)</f>
        <v/>
      </c>
      <c r="E224" s="17" t="str">
        <f aca="false">IF(Policy!A224="","",Policy!H224)</f>
        <v/>
      </c>
      <c r="F224" s="22" t="str">
        <f aca="false">IF(Policy!A224="","",Risk!D224)</f>
        <v/>
      </c>
      <c r="G224" s="23"/>
      <c r="H224" s="24" t="str">
        <f aca="false">IF(A224="","",G224*(1-M224/100))</f>
        <v/>
      </c>
      <c r="I224" s="24" t="str">
        <f aca="false">IF(A224="","",G224*F224/100)</f>
        <v/>
      </c>
      <c r="J224" s="24" t="str">
        <f aca="false">IF(A224="","",I224*(1-M224/100))</f>
        <v/>
      </c>
      <c r="K224" s="25"/>
      <c r="L224" s="25"/>
      <c r="M224" s="26" t="str">
        <f aca="false">IF(A224="","",K224+L224)</f>
        <v/>
      </c>
      <c r="N224" s="25"/>
      <c r="O224" s="23"/>
      <c r="P224" s="23"/>
      <c r="Q224" s="24" t="str">
        <f aca="false">IF(A224="","",J224*(1-N224/100)-O224-P224)</f>
        <v/>
      </c>
      <c r="R224" s="25"/>
      <c r="S224" s="17" t="str">
        <f aca="false">IF(Policy!A224="","",Policy!U224)</f>
        <v/>
      </c>
      <c r="T224" s="17" t="str">
        <f aca="false">IF(OR(A224="",Policy!L224=""),"",MONTH(Policy!L224))</f>
        <v/>
      </c>
      <c r="U224" s="17" t="str">
        <f aca="false">IF(OR(A224="",Policy!L224=""),"",YEAR(Policy!L224))</f>
        <v/>
      </c>
      <c r="V224" s="17" t="str">
        <f aca="false">IF(Policy!A224="","",Policy!J224)</f>
        <v/>
      </c>
      <c r="W224" s="14"/>
    </row>
    <row r="225" customFormat="false" ht="15" hidden="false" customHeight="false" outlineLevel="0" collapsed="false">
      <c r="A225" s="17" t="str">
        <f aca="false">IF(Policy!A225="","",Policy!A225)</f>
        <v/>
      </c>
      <c r="B225" s="17" t="str">
        <f aca="false">IF(Policy!A225="","",Policy!B225)</f>
        <v/>
      </c>
      <c r="C225" s="17" t="str">
        <f aca="false">IF(Policy!A225="","",Policy!E225)</f>
        <v/>
      </c>
      <c r="D225" s="17" t="str">
        <f aca="false">IF(Policy!A225="","",Policy!G225)</f>
        <v/>
      </c>
      <c r="E225" s="17" t="str">
        <f aca="false">IF(Policy!A225="","",Policy!H225)</f>
        <v/>
      </c>
      <c r="F225" s="22" t="str">
        <f aca="false">IF(Policy!A225="","",Risk!D225)</f>
        <v/>
      </c>
      <c r="G225" s="23"/>
      <c r="H225" s="24" t="str">
        <f aca="false">IF(A225="","",G225*(1-M225/100))</f>
        <v/>
      </c>
      <c r="I225" s="24" t="str">
        <f aca="false">IF(A225="","",G225*F225/100)</f>
        <v/>
      </c>
      <c r="J225" s="24" t="str">
        <f aca="false">IF(A225="","",I225*(1-M225/100))</f>
        <v/>
      </c>
      <c r="K225" s="25"/>
      <c r="L225" s="25"/>
      <c r="M225" s="26" t="str">
        <f aca="false">IF(A225="","",K225+L225)</f>
        <v/>
      </c>
      <c r="N225" s="25"/>
      <c r="O225" s="23"/>
      <c r="P225" s="23"/>
      <c r="Q225" s="24" t="str">
        <f aca="false">IF(A225="","",J225*(1-N225/100)-O225-P225)</f>
        <v/>
      </c>
      <c r="R225" s="25"/>
      <c r="S225" s="17" t="str">
        <f aca="false">IF(Policy!A225="","",Policy!U225)</f>
        <v/>
      </c>
      <c r="T225" s="17" t="str">
        <f aca="false">IF(OR(A225="",Policy!L225=""),"",MONTH(Policy!L225))</f>
        <v/>
      </c>
      <c r="U225" s="17" t="str">
        <f aca="false">IF(OR(A225="",Policy!L225=""),"",YEAR(Policy!L225))</f>
        <v/>
      </c>
      <c r="V225" s="17" t="str">
        <f aca="false">IF(Policy!A225="","",Policy!J225)</f>
        <v/>
      </c>
      <c r="W225" s="14"/>
    </row>
    <row r="226" customFormat="false" ht="15" hidden="false" customHeight="false" outlineLevel="0" collapsed="false">
      <c r="A226" s="17" t="str">
        <f aca="false">IF(Policy!A226="","",Policy!A226)</f>
        <v/>
      </c>
      <c r="B226" s="17" t="str">
        <f aca="false">IF(Policy!A226="","",Policy!B226)</f>
        <v/>
      </c>
      <c r="C226" s="17" t="str">
        <f aca="false">IF(Policy!A226="","",Policy!E226)</f>
        <v/>
      </c>
      <c r="D226" s="17" t="str">
        <f aca="false">IF(Policy!A226="","",Policy!G226)</f>
        <v/>
      </c>
      <c r="E226" s="17" t="str">
        <f aca="false">IF(Policy!A226="","",Policy!H226)</f>
        <v/>
      </c>
      <c r="F226" s="22" t="str">
        <f aca="false">IF(Policy!A226="","",Risk!D226)</f>
        <v/>
      </c>
      <c r="G226" s="23"/>
      <c r="H226" s="24" t="str">
        <f aca="false">IF(A226="","",G226*(1-M226/100))</f>
        <v/>
      </c>
      <c r="I226" s="24" t="str">
        <f aca="false">IF(A226="","",G226*F226/100)</f>
        <v/>
      </c>
      <c r="J226" s="24" t="str">
        <f aca="false">IF(A226="","",I226*(1-M226/100))</f>
        <v/>
      </c>
      <c r="K226" s="25"/>
      <c r="L226" s="25"/>
      <c r="M226" s="26" t="str">
        <f aca="false">IF(A226="","",K226+L226)</f>
        <v/>
      </c>
      <c r="N226" s="25"/>
      <c r="O226" s="23"/>
      <c r="P226" s="23"/>
      <c r="Q226" s="24" t="str">
        <f aca="false">IF(A226="","",J226*(1-N226/100)-O226-P226)</f>
        <v/>
      </c>
      <c r="R226" s="25"/>
      <c r="S226" s="17" t="str">
        <f aca="false">IF(Policy!A226="","",Policy!U226)</f>
        <v/>
      </c>
      <c r="T226" s="17" t="str">
        <f aca="false">IF(OR(A226="",Policy!L226=""),"",MONTH(Policy!L226))</f>
        <v/>
      </c>
      <c r="U226" s="17" t="str">
        <f aca="false">IF(OR(A226="",Policy!L226=""),"",YEAR(Policy!L226))</f>
        <v/>
      </c>
      <c r="V226" s="17" t="str">
        <f aca="false">IF(Policy!A226="","",Policy!J226)</f>
        <v/>
      </c>
      <c r="W226" s="14"/>
    </row>
    <row r="227" customFormat="false" ht="15" hidden="false" customHeight="false" outlineLevel="0" collapsed="false">
      <c r="A227" s="17" t="str">
        <f aca="false">IF(Policy!A227="","",Policy!A227)</f>
        <v/>
      </c>
      <c r="B227" s="17" t="str">
        <f aca="false">IF(Policy!A227="","",Policy!B227)</f>
        <v/>
      </c>
      <c r="C227" s="17" t="str">
        <f aca="false">IF(Policy!A227="","",Policy!E227)</f>
        <v/>
      </c>
      <c r="D227" s="17" t="str">
        <f aca="false">IF(Policy!A227="","",Policy!G227)</f>
        <v/>
      </c>
      <c r="E227" s="17" t="str">
        <f aca="false">IF(Policy!A227="","",Policy!H227)</f>
        <v/>
      </c>
      <c r="F227" s="22" t="str">
        <f aca="false">IF(Policy!A227="","",Risk!D227)</f>
        <v/>
      </c>
      <c r="G227" s="23"/>
      <c r="H227" s="24" t="str">
        <f aca="false">IF(A227="","",G227*(1-M227/100))</f>
        <v/>
      </c>
      <c r="I227" s="24" t="str">
        <f aca="false">IF(A227="","",G227*F227/100)</f>
        <v/>
      </c>
      <c r="J227" s="24" t="str">
        <f aca="false">IF(A227="","",I227*(1-M227/100))</f>
        <v/>
      </c>
      <c r="K227" s="25"/>
      <c r="L227" s="25"/>
      <c r="M227" s="26" t="str">
        <f aca="false">IF(A227="","",K227+L227)</f>
        <v/>
      </c>
      <c r="N227" s="25"/>
      <c r="O227" s="23"/>
      <c r="P227" s="23"/>
      <c r="Q227" s="24" t="str">
        <f aca="false">IF(A227="","",J227*(1-N227/100)-O227-P227)</f>
        <v/>
      </c>
      <c r="R227" s="25"/>
      <c r="S227" s="17" t="str">
        <f aca="false">IF(Policy!A227="","",Policy!U227)</f>
        <v/>
      </c>
      <c r="T227" s="17" t="str">
        <f aca="false">IF(OR(A227="",Policy!L227=""),"",MONTH(Policy!L227))</f>
        <v/>
      </c>
      <c r="U227" s="17" t="str">
        <f aca="false">IF(OR(A227="",Policy!L227=""),"",YEAR(Policy!L227))</f>
        <v/>
      </c>
      <c r="V227" s="17" t="str">
        <f aca="false">IF(Policy!A227="","",Policy!J227)</f>
        <v/>
      </c>
      <c r="W227" s="14"/>
    </row>
    <row r="228" customFormat="false" ht="15" hidden="false" customHeight="false" outlineLevel="0" collapsed="false">
      <c r="A228" s="17" t="str">
        <f aca="false">IF(Policy!A228="","",Policy!A228)</f>
        <v/>
      </c>
      <c r="B228" s="17" t="str">
        <f aca="false">IF(Policy!A228="","",Policy!B228)</f>
        <v/>
      </c>
      <c r="C228" s="17" t="str">
        <f aca="false">IF(Policy!A228="","",Policy!E228)</f>
        <v/>
      </c>
      <c r="D228" s="17" t="str">
        <f aca="false">IF(Policy!A228="","",Policy!G228)</f>
        <v/>
      </c>
      <c r="E228" s="17" t="str">
        <f aca="false">IF(Policy!A228="","",Policy!H228)</f>
        <v/>
      </c>
      <c r="F228" s="22" t="str">
        <f aca="false">IF(Policy!A228="","",Risk!D228)</f>
        <v/>
      </c>
      <c r="G228" s="23"/>
      <c r="H228" s="24" t="str">
        <f aca="false">IF(A228="","",G228*(1-M228/100))</f>
        <v/>
      </c>
      <c r="I228" s="24" t="str">
        <f aca="false">IF(A228="","",G228*F228/100)</f>
        <v/>
      </c>
      <c r="J228" s="24" t="str">
        <f aca="false">IF(A228="","",I228*(1-M228/100))</f>
        <v/>
      </c>
      <c r="K228" s="25"/>
      <c r="L228" s="25"/>
      <c r="M228" s="26" t="str">
        <f aca="false">IF(A228="","",K228+L228)</f>
        <v/>
      </c>
      <c r="N228" s="25"/>
      <c r="O228" s="23"/>
      <c r="P228" s="23"/>
      <c r="Q228" s="24" t="str">
        <f aca="false">IF(A228="","",J228*(1-N228/100)-O228-P228)</f>
        <v/>
      </c>
      <c r="R228" s="25"/>
      <c r="S228" s="17" t="str">
        <f aca="false">IF(Policy!A228="","",Policy!U228)</f>
        <v/>
      </c>
      <c r="T228" s="17" t="str">
        <f aca="false">IF(OR(A228="",Policy!L228=""),"",MONTH(Policy!L228))</f>
        <v/>
      </c>
      <c r="U228" s="17" t="str">
        <f aca="false">IF(OR(A228="",Policy!L228=""),"",YEAR(Policy!L228))</f>
        <v/>
      </c>
      <c r="V228" s="17" t="str">
        <f aca="false">IF(Policy!A228="","",Policy!J228)</f>
        <v/>
      </c>
      <c r="W228" s="14"/>
    </row>
    <row r="229" customFormat="false" ht="15" hidden="false" customHeight="false" outlineLevel="0" collapsed="false">
      <c r="A229" s="17" t="str">
        <f aca="false">IF(Policy!A229="","",Policy!A229)</f>
        <v/>
      </c>
      <c r="B229" s="17" t="str">
        <f aca="false">IF(Policy!A229="","",Policy!B229)</f>
        <v/>
      </c>
      <c r="C229" s="17" t="str">
        <f aca="false">IF(Policy!A229="","",Policy!E229)</f>
        <v/>
      </c>
      <c r="D229" s="17" t="str">
        <f aca="false">IF(Policy!A229="","",Policy!G229)</f>
        <v/>
      </c>
      <c r="E229" s="17" t="str">
        <f aca="false">IF(Policy!A229="","",Policy!H229)</f>
        <v/>
      </c>
      <c r="F229" s="22" t="str">
        <f aca="false">IF(Policy!A229="","",Risk!D229)</f>
        <v/>
      </c>
      <c r="G229" s="23"/>
      <c r="H229" s="24" t="str">
        <f aca="false">IF(A229="","",G229*(1-M229/100))</f>
        <v/>
      </c>
      <c r="I229" s="24" t="str">
        <f aca="false">IF(A229="","",G229*F229/100)</f>
        <v/>
      </c>
      <c r="J229" s="24" t="str">
        <f aca="false">IF(A229="","",I229*(1-M229/100))</f>
        <v/>
      </c>
      <c r="K229" s="25"/>
      <c r="L229" s="25"/>
      <c r="M229" s="26" t="str">
        <f aca="false">IF(A229="","",K229+L229)</f>
        <v/>
      </c>
      <c r="N229" s="25"/>
      <c r="O229" s="23"/>
      <c r="P229" s="23"/>
      <c r="Q229" s="24" t="str">
        <f aca="false">IF(A229="","",J229*(1-N229/100)-O229-P229)</f>
        <v/>
      </c>
      <c r="R229" s="25"/>
      <c r="S229" s="17" t="str">
        <f aca="false">IF(Policy!A229="","",Policy!U229)</f>
        <v/>
      </c>
      <c r="T229" s="17" t="str">
        <f aca="false">IF(OR(A229="",Policy!L229=""),"",MONTH(Policy!L229))</f>
        <v/>
      </c>
      <c r="U229" s="17" t="str">
        <f aca="false">IF(OR(A229="",Policy!L229=""),"",YEAR(Policy!L229))</f>
        <v/>
      </c>
      <c r="V229" s="17" t="str">
        <f aca="false">IF(Policy!A229="","",Policy!J229)</f>
        <v/>
      </c>
      <c r="W229" s="14"/>
    </row>
    <row r="230" customFormat="false" ht="15" hidden="false" customHeight="false" outlineLevel="0" collapsed="false">
      <c r="A230" s="17" t="str">
        <f aca="false">IF(Policy!A230="","",Policy!A230)</f>
        <v/>
      </c>
      <c r="B230" s="17" t="str">
        <f aca="false">IF(Policy!A230="","",Policy!B230)</f>
        <v/>
      </c>
      <c r="C230" s="17" t="str">
        <f aca="false">IF(Policy!A230="","",Policy!E230)</f>
        <v/>
      </c>
      <c r="D230" s="17" t="str">
        <f aca="false">IF(Policy!A230="","",Policy!G230)</f>
        <v/>
      </c>
      <c r="E230" s="17" t="str">
        <f aca="false">IF(Policy!A230="","",Policy!H230)</f>
        <v/>
      </c>
      <c r="F230" s="22" t="str">
        <f aca="false">IF(Policy!A230="","",Risk!D230)</f>
        <v/>
      </c>
      <c r="G230" s="23"/>
      <c r="H230" s="24" t="str">
        <f aca="false">IF(A230="","",G230*(1-M230/100))</f>
        <v/>
      </c>
      <c r="I230" s="24" t="str">
        <f aca="false">IF(A230="","",G230*F230/100)</f>
        <v/>
      </c>
      <c r="J230" s="24" t="str">
        <f aca="false">IF(A230="","",I230*(1-M230/100))</f>
        <v/>
      </c>
      <c r="K230" s="25"/>
      <c r="L230" s="25"/>
      <c r="M230" s="26" t="str">
        <f aca="false">IF(A230="","",K230+L230)</f>
        <v/>
      </c>
      <c r="N230" s="25"/>
      <c r="O230" s="23"/>
      <c r="P230" s="23"/>
      <c r="Q230" s="24" t="str">
        <f aca="false">IF(A230="","",J230*(1-N230/100)-O230-P230)</f>
        <v/>
      </c>
      <c r="R230" s="25"/>
      <c r="S230" s="17" t="str">
        <f aca="false">IF(Policy!A230="","",Policy!U230)</f>
        <v/>
      </c>
      <c r="T230" s="17" t="str">
        <f aca="false">IF(OR(A230="",Policy!L230=""),"",MONTH(Policy!L230))</f>
        <v/>
      </c>
      <c r="U230" s="17" t="str">
        <f aca="false">IF(OR(A230="",Policy!L230=""),"",YEAR(Policy!L230))</f>
        <v/>
      </c>
      <c r="V230" s="17" t="str">
        <f aca="false">IF(Policy!A230="","",Policy!J230)</f>
        <v/>
      </c>
      <c r="W230" s="14"/>
    </row>
    <row r="231" customFormat="false" ht="15" hidden="false" customHeight="false" outlineLevel="0" collapsed="false">
      <c r="A231" s="17" t="str">
        <f aca="false">IF(Policy!A231="","",Policy!A231)</f>
        <v/>
      </c>
      <c r="B231" s="17" t="str">
        <f aca="false">IF(Policy!A231="","",Policy!B231)</f>
        <v/>
      </c>
      <c r="C231" s="17" t="str">
        <f aca="false">IF(Policy!A231="","",Policy!E231)</f>
        <v/>
      </c>
      <c r="D231" s="17" t="str">
        <f aca="false">IF(Policy!A231="","",Policy!G231)</f>
        <v/>
      </c>
      <c r="E231" s="17" t="str">
        <f aca="false">IF(Policy!A231="","",Policy!H231)</f>
        <v/>
      </c>
      <c r="F231" s="22" t="str">
        <f aca="false">IF(Policy!A231="","",Risk!D231)</f>
        <v/>
      </c>
      <c r="G231" s="23"/>
      <c r="H231" s="24" t="str">
        <f aca="false">IF(A231="","",G231*(1-M231/100))</f>
        <v/>
      </c>
      <c r="I231" s="24" t="str">
        <f aca="false">IF(A231="","",G231*F231/100)</f>
        <v/>
      </c>
      <c r="J231" s="24" t="str">
        <f aca="false">IF(A231="","",I231*(1-M231/100))</f>
        <v/>
      </c>
      <c r="K231" s="25"/>
      <c r="L231" s="25"/>
      <c r="M231" s="26" t="str">
        <f aca="false">IF(A231="","",K231+L231)</f>
        <v/>
      </c>
      <c r="N231" s="25"/>
      <c r="O231" s="23"/>
      <c r="P231" s="23"/>
      <c r="Q231" s="24" t="str">
        <f aca="false">IF(A231="","",J231*(1-N231/100)-O231-P231)</f>
        <v/>
      </c>
      <c r="R231" s="25"/>
      <c r="S231" s="17" t="str">
        <f aca="false">IF(Policy!A231="","",Policy!U231)</f>
        <v/>
      </c>
      <c r="T231" s="17" t="str">
        <f aca="false">IF(OR(A231="",Policy!L231=""),"",MONTH(Policy!L231))</f>
        <v/>
      </c>
      <c r="U231" s="17" t="str">
        <f aca="false">IF(OR(A231="",Policy!L231=""),"",YEAR(Policy!L231))</f>
        <v/>
      </c>
      <c r="V231" s="17" t="str">
        <f aca="false">IF(Policy!A231="","",Policy!J231)</f>
        <v/>
      </c>
      <c r="W231" s="14"/>
    </row>
    <row r="232" customFormat="false" ht="15" hidden="false" customHeight="false" outlineLevel="0" collapsed="false">
      <c r="A232" s="17" t="str">
        <f aca="false">IF(Policy!A232="","",Policy!A232)</f>
        <v/>
      </c>
      <c r="B232" s="17" t="str">
        <f aca="false">IF(Policy!A232="","",Policy!B232)</f>
        <v/>
      </c>
      <c r="C232" s="17" t="str">
        <f aca="false">IF(Policy!A232="","",Policy!E232)</f>
        <v/>
      </c>
      <c r="D232" s="17" t="str">
        <f aca="false">IF(Policy!A232="","",Policy!G232)</f>
        <v/>
      </c>
      <c r="E232" s="17" t="str">
        <f aca="false">IF(Policy!A232="","",Policy!H232)</f>
        <v/>
      </c>
      <c r="F232" s="22" t="str">
        <f aca="false">IF(Policy!A232="","",Risk!D232)</f>
        <v/>
      </c>
      <c r="G232" s="23"/>
      <c r="H232" s="24" t="str">
        <f aca="false">IF(A232="","",G232*(1-M232/100))</f>
        <v/>
      </c>
      <c r="I232" s="24" t="str">
        <f aca="false">IF(A232="","",G232*F232/100)</f>
        <v/>
      </c>
      <c r="J232" s="24" t="str">
        <f aca="false">IF(A232="","",I232*(1-M232/100))</f>
        <v/>
      </c>
      <c r="K232" s="25"/>
      <c r="L232" s="25"/>
      <c r="M232" s="26" t="str">
        <f aca="false">IF(A232="","",K232+L232)</f>
        <v/>
      </c>
      <c r="N232" s="25"/>
      <c r="O232" s="23"/>
      <c r="P232" s="23"/>
      <c r="Q232" s="24" t="str">
        <f aca="false">IF(A232="","",J232*(1-N232/100)-O232-P232)</f>
        <v/>
      </c>
      <c r="R232" s="25"/>
      <c r="S232" s="17" t="str">
        <f aca="false">IF(Policy!A232="","",Policy!U232)</f>
        <v/>
      </c>
      <c r="T232" s="17" t="str">
        <f aca="false">IF(OR(A232="",Policy!L232=""),"",MONTH(Policy!L232))</f>
        <v/>
      </c>
      <c r="U232" s="17" t="str">
        <f aca="false">IF(OR(A232="",Policy!L232=""),"",YEAR(Policy!L232))</f>
        <v/>
      </c>
      <c r="V232" s="17" t="str">
        <f aca="false">IF(Policy!A232="","",Policy!J232)</f>
        <v/>
      </c>
      <c r="W232" s="14"/>
    </row>
    <row r="233" customFormat="false" ht="15" hidden="false" customHeight="false" outlineLevel="0" collapsed="false">
      <c r="A233" s="17" t="str">
        <f aca="false">IF(Policy!A233="","",Policy!A233)</f>
        <v/>
      </c>
      <c r="B233" s="17" t="str">
        <f aca="false">IF(Policy!A233="","",Policy!B233)</f>
        <v/>
      </c>
      <c r="C233" s="17" t="str">
        <f aca="false">IF(Policy!A233="","",Policy!E233)</f>
        <v/>
      </c>
      <c r="D233" s="17" t="str">
        <f aca="false">IF(Policy!A233="","",Policy!G233)</f>
        <v/>
      </c>
      <c r="E233" s="17" t="str">
        <f aca="false">IF(Policy!A233="","",Policy!H233)</f>
        <v/>
      </c>
      <c r="F233" s="22" t="str">
        <f aca="false">IF(Policy!A233="","",Risk!D233)</f>
        <v/>
      </c>
      <c r="G233" s="23"/>
      <c r="H233" s="24" t="str">
        <f aca="false">IF(A233="","",G233*(1-M233/100))</f>
        <v/>
      </c>
      <c r="I233" s="24" t="str">
        <f aca="false">IF(A233="","",G233*F233/100)</f>
        <v/>
      </c>
      <c r="J233" s="24" t="str">
        <f aca="false">IF(A233="","",I233*(1-M233/100))</f>
        <v/>
      </c>
      <c r="K233" s="25"/>
      <c r="L233" s="25"/>
      <c r="M233" s="26" t="str">
        <f aca="false">IF(A233="","",K233+L233)</f>
        <v/>
      </c>
      <c r="N233" s="25"/>
      <c r="O233" s="23"/>
      <c r="P233" s="23"/>
      <c r="Q233" s="24" t="str">
        <f aca="false">IF(A233="","",J233*(1-N233/100)-O233-P233)</f>
        <v/>
      </c>
      <c r="R233" s="25"/>
      <c r="S233" s="17" t="str">
        <f aca="false">IF(Policy!A233="","",Policy!U233)</f>
        <v/>
      </c>
      <c r="T233" s="17" t="str">
        <f aca="false">IF(OR(A233="",Policy!L233=""),"",MONTH(Policy!L233))</f>
        <v/>
      </c>
      <c r="U233" s="17" t="str">
        <f aca="false">IF(OR(A233="",Policy!L233=""),"",YEAR(Policy!L233))</f>
        <v/>
      </c>
      <c r="V233" s="17" t="str">
        <f aca="false">IF(Policy!A233="","",Policy!J233)</f>
        <v/>
      </c>
      <c r="W233" s="14"/>
    </row>
    <row r="234" customFormat="false" ht="15" hidden="false" customHeight="false" outlineLevel="0" collapsed="false">
      <c r="A234" s="17" t="str">
        <f aca="false">IF(Policy!A234="","",Policy!A234)</f>
        <v/>
      </c>
      <c r="B234" s="17" t="str">
        <f aca="false">IF(Policy!A234="","",Policy!B234)</f>
        <v/>
      </c>
      <c r="C234" s="17" t="str">
        <f aca="false">IF(Policy!A234="","",Policy!E234)</f>
        <v/>
      </c>
      <c r="D234" s="17" t="str">
        <f aca="false">IF(Policy!A234="","",Policy!G234)</f>
        <v/>
      </c>
      <c r="E234" s="17" t="str">
        <f aca="false">IF(Policy!A234="","",Policy!H234)</f>
        <v/>
      </c>
      <c r="F234" s="22" t="str">
        <f aca="false">IF(Policy!A234="","",Risk!D234)</f>
        <v/>
      </c>
      <c r="G234" s="23"/>
      <c r="H234" s="24" t="str">
        <f aca="false">IF(A234="","",G234*(1-M234/100))</f>
        <v/>
      </c>
      <c r="I234" s="24" t="str">
        <f aca="false">IF(A234="","",G234*F234/100)</f>
        <v/>
      </c>
      <c r="J234" s="24" t="str">
        <f aca="false">IF(A234="","",I234*(1-M234/100))</f>
        <v/>
      </c>
      <c r="K234" s="25"/>
      <c r="L234" s="25"/>
      <c r="M234" s="26" t="str">
        <f aca="false">IF(A234="","",K234+L234)</f>
        <v/>
      </c>
      <c r="N234" s="25"/>
      <c r="O234" s="23"/>
      <c r="P234" s="23"/>
      <c r="Q234" s="24" t="str">
        <f aca="false">IF(A234="","",J234*(1-N234/100)-O234-P234)</f>
        <v/>
      </c>
      <c r="R234" s="25"/>
      <c r="S234" s="17" t="str">
        <f aca="false">IF(Policy!A234="","",Policy!U234)</f>
        <v/>
      </c>
      <c r="T234" s="17" t="str">
        <f aca="false">IF(OR(A234="",Policy!L234=""),"",MONTH(Policy!L234))</f>
        <v/>
      </c>
      <c r="U234" s="17" t="str">
        <f aca="false">IF(OR(A234="",Policy!L234=""),"",YEAR(Policy!L234))</f>
        <v/>
      </c>
      <c r="V234" s="17" t="str">
        <f aca="false">IF(Policy!A234="","",Policy!J234)</f>
        <v/>
      </c>
      <c r="W234" s="14"/>
    </row>
    <row r="235" customFormat="false" ht="15" hidden="false" customHeight="false" outlineLevel="0" collapsed="false">
      <c r="A235" s="17" t="str">
        <f aca="false">IF(Policy!A235="","",Policy!A235)</f>
        <v/>
      </c>
      <c r="B235" s="17" t="str">
        <f aca="false">IF(Policy!A235="","",Policy!B235)</f>
        <v/>
      </c>
      <c r="C235" s="17" t="str">
        <f aca="false">IF(Policy!A235="","",Policy!E235)</f>
        <v/>
      </c>
      <c r="D235" s="17" t="str">
        <f aca="false">IF(Policy!A235="","",Policy!G235)</f>
        <v/>
      </c>
      <c r="E235" s="17" t="str">
        <f aca="false">IF(Policy!A235="","",Policy!H235)</f>
        <v/>
      </c>
      <c r="F235" s="22" t="str">
        <f aca="false">IF(Policy!A235="","",Risk!D235)</f>
        <v/>
      </c>
      <c r="G235" s="23"/>
      <c r="H235" s="24" t="str">
        <f aca="false">IF(A235="","",G235*(1-M235/100))</f>
        <v/>
      </c>
      <c r="I235" s="24" t="str">
        <f aca="false">IF(A235="","",G235*F235/100)</f>
        <v/>
      </c>
      <c r="J235" s="24" t="str">
        <f aca="false">IF(A235="","",I235*(1-M235/100))</f>
        <v/>
      </c>
      <c r="K235" s="25"/>
      <c r="L235" s="25"/>
      <c r="M235" s="26" t="str">
        <f aca="false">IF(A235="","",K235+L235)</f>
        <v/>
      </c>
      <c r="N235" s="25"/>
      <c r="O235" s="23"/>
      <c r="P235" s="23"/>
      <c r="Q235" s="24" t="str">
        <f aca="false">IF(A235="","",J235*(1-N235/100)-O235-P235)</f>
        <v/>
      </c>
      <c r="R235" s="25"/>
      <c r="S235" s="17" t="str">
        <f aca="false">IF(Policy!A235="","",Policy!U235)</f>
        <v/>
      </c>
      <c r="T235" s="17" t="str">
        <f aca="false">IF(OR(A235="",Policy!L235=""),"",MONTH(Policy!L235))</f>
        <v/>
      </c>
      <c r="U235" s="17" t="str">
        <f aca="false">IF(OR(A235="",Policy!L235=""),"",YEAR(Policy!L235))</f>
        <v/>
      </c>
      <c r="V235" s="17" t="str">
        <f aca="false">IF(Policy!A235="","",Policy!J235)</f>
        <v/>
      </c>
      <c r="W235" s="14"/>
    </row>
    <row r="236" customFormat="false" ht="15" hidden="false" customHeight="false" outlineLevel="0" collapsed="false">
      <c r="A236" s="17" t="str">
        <f aca="false">IF(Policy!A236="","",Policy!A236)</f>
        <v/>
      </c>
      <c r="B236" s="17" t="str">
        <f aca="false">IF(Policy!A236="","",Policy!B236)</f>
        <v/>
      </c>
      <c r="C236" s="17" t="str">
        <f aca="false">IF(Policy!A236="","",Policy!E236)</f>
        <v/>
      </c>
      <c r="D236" s="17" t="str">
        <f aca="false">IF(Policy!A236="","",Policy!G236)</f>
        <v/>
      </c>
      <c r="E236" s="17" t="str">
        <f aca="false">IF(Policy!A236="","",Policy!H236)</f>
        <v/>
      </c>
      <c r="F236" s="22" t="str">
        <f aca="false">IF(Policy!A236="","",Risk!D236)</f>
        <v/>
      </c>
      <c r="G236" s="23"/>
      <c r="H236" s="24" t="str">
        <f aca="false">IF(A236="","",G236*(1-M236/100))</f>
        <v/>
      </c>
      <c r="I236" s="24" t="str">
        <f aca="false">IF(A236="","",G236*F236/100)</f>
        <v/>
      </c>
      <c r="J236" s="24" t="str">
        <f aca="false">IF(A236="","",I236*(1-M236/100))</f>
        <v/>
      </c>
      <c r="K236" s="25"/>
      <c r="L236" s="25"/>
      <c r="M236" s="26" t="str">
        <f aca="false">IF(A236="","",K236+L236)</f>
        <v/>
      </c>
      <c r="N236" s="25"/>
      <c r="O236" s="23"/>
      <c r="P236" s="23"/>
      <c r="Q236" s="24" t="str">
        <f aca="false">IF(A236="","",J236*(1-N236/100)-O236-P236)</f>
        <v/>
      </c>
      <c r="R236" s="25"/>
      <c r="S236" s="17" t="str">
        <f aca="false">IF(Policy!A236="","",Policy!U236)</f>
        <v/>
      </c>
      <c r="T236" s="17" t="str">
        <f aca="false">IF(OR(A236="",Policy!L236=""),"",MONTH(Policy!L236))</f>
        <v/>
      </c>
      <c r="U236" s="17" t="str">
        <f aca="false">IF(OR(A236="",Policy!L236=""),"",YEAR(Policy!L236))</f>
        <v/>
      </c>
      <c r="V236" s="17" t="str">
        <f aca="false">IF(Policy!A236="","",Policy!J236)</f>
        <v/>
      </c>
      <c r="W236" s="14"/>
    </row>
    <row r="237" customFormat="false" ht="15" hidden="false" customHeight="false" outlineLevel="0" collapsed="false">
      <c r="A237" s="17" t="str">
        <f aca="false">IF(Policy!A237="","",Policy!A237)</f>
        <v/>
      </c>
      <c r="B237" s="17" t="str">
        <f aca="false">IF(Policy!A237="","",Policy!B237)</f>
        <v/>
      </c>
      <c r="C237" s="17" t="str">
        <f aca="false">IF(Policy!A237="","",Policy!E237)</f>
        <v/>
      </c>
      <c r="D237" s="17" t="str">
        <f aca="false">IF(Policy!A237="","",Policy!G237)</f>
        <v/>
      </c>
      <c r="E237" s="17" t="str">
        <f aca="false">IF(Policy!A237="","",Policy!H237)</f>
        <v/>
      </c>
      <c r="F237" s="22" t="str">
        <f aca="false">IF(Policy!A237="","",Risk!D237)</f>
        <v/>
      </c>
      <c r="G237" s="23"/>
      <c r="H237" s="24" t="str">
        <f aca="false">IF(A237="","",G237*(1-M237/100))</f>
        <v/>
      </c>
      <c r="I237" s="24" t="str">
        <f aca="false">IF(A237="","",G237*F237/100)</f>
        <v/>
      </c>
      <c r="J237" s="24" t="str">
        <f aca="false">IF(A237="","",I237*(1-M237/100))</f>
        <v/>
      </c>
      <c r="K237" s="25"/>
      <c r="L237" s="25"/>
      <c r="M237" s="26" t="str">
        <f aca="false">IF(A237="","",K237+L237)</f>
        <v/>
      </c>
      <c r="N237" s="25"/>
      <c r="O237" s="23"/>
      <c r="P237" s="23"/>
      <c r="Q237" s="24" t="str">
        <f aca="false">IF(A237="","",J237*(1-N237/100)-O237-P237)</f>
        <v/>
      </c>
      <c r="R237" s="25"/>
      <c r="S237" s="17" t="str">
        <f aca="false">IF(Policy!A237="","",Policy!U237)</f>
        <v/>
      </c>
      <c r="T237" s="17" t="str">
        <f aca="false">IF(OR(A237="",Policy!L237=""),"",MONTH(Policy!L237))</f>
        <v/>
      </c>
      <c r="U237" s="17" t="str">
        <f aca="false">IF(OR(A237="",Policy!L237=""),"",YEAR(Policy!L237))</f>
        <v/>
      </c>
      <c r="V237" s="17" t="str">
        <f aca="false">IF(Policy!A237="","",Policy!J237)</f>
        <v/>
      </c>
      <c r="W237" s="14"/>
    </row>
    <row r="238" customFormat="false" ht="15" hidden="false" customHeight="false" outlineLevel="0" collapsed="false">
      <c r="A238" s="17" t="str">
        <f aca="false">IF(Policy!A238="","",Policy!A238)</f>
        <v/>
      </c>
      <c r="B238" s="17" t="str">
        <f aca="false">IF(Policy!A238="","",Policy!B238)</f>
        <v/>
      </c>
      <c r="C238" s="17" t="str">
        <f aca="false">IF(Policy!A238="","",Policy!E238)</f>
        <v/>
      </c>
      <c r="D238" s="17" t="str">
        <f aca="false">IF(Policy!A238="","",Policy!G238)</f>
        <v/>
      </c>
      <c r="E238" s="17" t="str">
        <f aca="false">IF(Policy!A238="","",Policy!H238)</f>
        <v/>
      </c>
      <c r="F238" s="22" t="str">
        <f aca="false">IF(Policy!A238="","",Risk!D238)</f>
        <v/>
      </c>
      <c r="G238" s="23"/>
      <c r="H238" s="24" t="str">
        <f aca="false">IF(A238="","",G238*(1-M238/100))</f>
        <v/>
      </c>
      <c r="I238" s="24" t="str">
        <f aca="false">IF(A238="","",G238*F238/100)</f>
        <v/>
      </c>
      <c r="J238" s="24" t="str">
        <f aca="false">IF(A238="","",I238*(1-M238/100))</f>
        <v/>
      </c>
      <c r="K238" s="25"/>
      <c r="L238" s="25"/>
      <c r="M238" s="26" t="str">
        <f aca="false">IF(A238="","",K238+L238)</f>
        <v/>
      </c>
      <c r="N238" s="25"/>
      <c r="O238" s="23"/>
      <c r="P238" s="23"/>
      <c r="Q238" s="24" t="str">
        <f aca="false">IF(A238="","",J238*(1-N238/100)-O238-P238)</f>
        <v/>
      </c>
      <c r="R238" s="25"/>
      <c r="S238" s="17" t="str">
        <f aca="false">IF(Policy!A238="","",Policy!U238)</f>
        <v/>
      </c>
      <c r="T238" s="17" t="str">
        <f aca="false">IF(OR(A238="",Policy!L238=""),"",MONTH(Policy!L238))</f>
        <v/>
      </c>
      <c r="U238" s="17" t="str">
        <f aca="false">IF(OR(A238="",Policy!L238=""),"",YEAR(Policy!L238))</f>
        <v/>
      </c>
      <c r="V238" s="17" t="str">
        <f aca="false">IF(Policy!A238="","",Policy!J238)</f>
        <v/>
      </c>
      <c r="W238" s="14"/>
    </row>
    <row r="239" customFormat="false" ht="15" hidden="false" customHeight="false" outlineLevel="0" collapsed="false">
      <c r="A239" s="17" t="str">
        <f aca="false">IF(Policy!A239="","",Policy!A239)</f>
        <v/>
      </c>
      <c r="B239" s="17" t="str">
        <f aca="false">IF(Policy!A239="","",Policy!B239)</f>
        <v/>
      </c>
      <c r="C239" s="17" t="str">
        <f aca="false">IF(Policy!A239="","",Policy!E239)</f>
        <v/>
      </c>
      <c r="D239" s="17" t="str">
        <f aca="false">IF(Policy!A239="","",Policy!G239)</f>
        <v/>
      </c>
      <c r="E239" s="17" t="str">
        <f aca="false">IF(Policy!A239="","",Policy!H239)</f>
        <v/>
      </c>
      <c r="F239" s="22" t="str">
        <f aca="false">IF(Policy!A239="","",Risk!D239)</f>
        <v/>
      </c>
      <c r="G239" s="23"/>
      <c r="H239" s="24" t="str">
        <f aca="false">IF(A239="","",G239*(1-M239/100))</f>
        <v/>
      </c>
      <c r="I239" s="24" t="str">
        <f aca="false">IF(A239="","",G239*F239/100)</f>
        <v/>
      </c>
      <c r="J239" s="24" t="str">
        <f aca="false">IF(A239="","",I239*(1-M239/100))</f>
        <v/>
      </c>
      <c r="K239" s="25"/>
      <c r="L239" s="25"/>
      <c r="M239" s="26" t="str">
        <f aca="false">IF(A239="","",K239+L239)</f>
        <v/>
      </c>
      <c r="N239" s="25"/>
      <c r="O239" s="23"/>
      <c r="P239" s="23"/>
      <c r="Q239" s="24" t="str">
        <f aca="false">IF(A239="","",J239*(1-N239/100)-O239-P239)</f>
        <v/>
      </c>
      <c r="R239" s="25"/>
      <c r="S239" s="17" t="str">
        <f aca="false">IF(Policy!A239="","",Policy!U239)</f>
        <v/>
      </c>
      <c r="T239" s="17" t="str">
        <f aca="false">IF(OR(A239="",Policy!L239=""),"",MONTH(Policy!L239))</f>
        <v/>
      </c>
      <c r="U239" s="17" t="str">
        <f aca="false">IF(OR(A239="",Policy!L239=""),"",YEAR(Policy!L239))</f>
        <v/>
      </c>
      <c r="V239" s="17" t="str">
        <f aca="false">IF(Policy!A239="","",Policy!J239)</f>
        <v/>
      </c>
      <c r="W239" s="14"/>
    </row>
    <row r="240" customFormat="false" ht="15" hidden="false" customHeight="false" outlineLevel="0" collapsed="false">
      <c r="A240" s="17" t="str">
        <f aca="false">IF(Policy!A240="","",Policy!A240)</f>
        <v/>
      </c>
      <c r="B240" s="17" t="str">
        <f aca="false">IF(Policy!A240="","",Policy!B240)</f>
        <v/>
      </c>
      <c r="C240" s="17" t="str">
        <f aca="false">IF(Policy!A240="","",Policy!E240)</f>
        <v/>
      </c>
      <c r="D240" s="17" t="str">
        <f aca="false">IF(Policy!A240="","",Policy!G240)</f>
        <v/>
      </c>
      <c r="E240" s="17" t="str">
        <f aca="false">IF(Policy!A240="","",Policy!H240)</f>
        <v/>
      </c>
      <c r="F240" s="22" t="str">
        <f aca="false">IF(Policy!A240="","",Risk!D240)</f>
        <v/>
      </c>
      <c r="G240" s="23"/>
      <c r="H240" s="24" t="str">
        <f aca="false">IF(A240="","",G240*(1-M240/100))</f>
        <v/>
      </c>
      <c r="I240" s="24" t="str">
        <f aca="false">IF(A240="","",G240*F240/100)</f>
        <v/>
      </c>
      <c r="J240" s="24" t="str">
        <f aca="false">IF(A240="","",I240*(1-M240/100))</f>
        <v/>
      </c>
      <c r="K240" s="25"/>
      <c r="L240" s="25"/>
      <c r="M240" s="26" t="str">
        <f aca="false">IF(A240="","",K240+L240)</f>
        <v/>
      </c>
      <c r="N240" s="25"/>
      <c r="O240" s="23"/>
      <c r="P240" s="23"/>
      <c r="Q240" s="24" t="str">
        <f aca="false">IF(A240="","",J240*(1-N240/100)-O240-P240)</f>
        <v/>
      </c>
      <c r="R240" s="25"/>
      <c r="S240" s="17" t="str">
        <f aca="false">IF(Policy!A240="","",Policy!U240)</f>
        <v/>
      </c>
      <c r="T240" s="17" t="str">
        <f aca="false">IF(OR(A240="",Policy!L240=""),"",MONTH(Policy!L240))</f>
        <v/>
      </c>
      <c r="U240" s="17" t="str">
        <f aca="false">IF(OR(A240="",Policy!L240=""),"",YEAR(Policy!L240))</f>
        <v/>
      </c>
      <c r="V240" s="17" t="str">
        <f aca="false">IF(Policy!A240="","",Policy!J240)</f>
        <v/>
      </c>
      <c r="W240" s="14"/>
    </row>
    <row r="241" customFormat="false" ht="15" hidden="false" customHeight="false" outlineLevel="0" collapsed="false">
      <c r="A241" s="17" t="str">
        <f aca="false">IF(Policy!A241="","",Policy!A241)</f>
        <v/>
      </c>
      <c r="B241" s="17" t="str">
        <f aca="false">IF(Policy!A241="","",Policy!B241)</f>
        <v/>
      </c>
      <c r="C241" s="17" t="str">
        <f aca="false">IF(Policy!A241="","",Policy!E241)</f>
        <v/>
      </c>
      <c r="D241" s="17" t="str">
        <f aca="false">IF(Policy!A241="","",Policy!G241)</f>
        <v/>
      </c>
      <c r="E241" s="17" t="str">
        <f aca="false">IF(Policy!A241="","",Policy!H241)</f>
        <v/>
      </c>
      <c r="F241" s="22" t="str">
        <f aca="false">IF(Policy!A241="","",Risk!D241)</f>
        <v/>
      </c>
      <c r="G241" s="23"/>
      <c r="H241" s="24" t="str">
        <f aca="false">IF(A241="","",G241*(1-M241/100))</f>
        <v/>
      </c>
      <c r="I241" s="24" t="str">
        <f aca="false">IF(A241="","",G241*F241/100)</f>
        <v/>
      </c>
      <c r="J241" s="24" t="str">
        <f aca="false">IF(A241="","",I241*(1-M241/100))</f>
        <v/>
      </c>
      <c r="K241" s="25"/>
      <c r="L241" s="25"/>
      <c r="M241" s="26" t="str">
        <f aca="false">IF(A241="","",K241+L241)</f>
        <v/>
      </c>
      <c r="N241" s="25"/>
      <c r="O241" s="23"/>
      <c r="P241" s="23"/>
      <c r="Q241" s="24" t="str">
        <f aca="false">IF(A241="","",J241*(1-N241/100)-O241-P241)</f>
        <v/>
      </c>
      <c r="R241" s="25"/>
      <c r="S241" s="17" t="str">
        <f aca="false">IF(Policy!A241="","",Policy!U241)</f>
        <v/>
      </c>
      <c r="T241" s="17" t="str">
        <f aca="false">IF(OR(A241="",Policy!L241=""),"",MONTH(Policy!L241))</f>
        <v/>
      </c>
      <c r="U241" s="17" t="str">
        <f aca="false">IF(OR(A241="",Policy!L241=""),"",YEAR(Policy!L241))</f>
        <v/>
      </c>
      <c r="V241" s="17" t="str">
        <f aca="false">IF(Policy!A241="","",Policy!J241)</f>
        <v/>
      </c>
      <c r="W241" s="14"/>
    </row>
    <row r="242" customFormat="false" ht="15" hidden="false" customHeight="false" outlineLevel="0" collapsed="false">
      <c r="A242" s="17" t="str">
        <f aca="false">IF(Policy!A242="","",Policy!A242)</f>
        <v/>
      </c>
      <c r="B242" s="17" t="str">
        <f aca="false">IF(Policy!A242="","",Policy!B242)</f>
        <v/>
      </c>
      <c r="C242" s="17" t="str">
        <f aca="false">IF(Policy!A242="","",Policy!E242)</f>
        <v/>
      </c>
      <c r="D242" s="17" t="str">
        <f aca="false">IF(Policy!A242="","",Policy!G242)</f>
        <v/>
      </c>
      <c r="E242" s="17" t="str">
        <f aca="false">IF(Policy!A242="","",Policy!H242)</f>
        <v/>
      </c>
      <c r="F242" s="22" t="str">
        <f aca="false">IF(Policy!A242="","",Risk!D242)</f>
        <v/>
      </c>
      <c r="G242" s="23"/>
      <c r="H242" s="24" t="str">
        <f aca="false">IF(A242="","",G242*(1-M242/100))</f>
        <v/>
      </c>
      <c r="I242" s="24" t="str">
        <f aca="false">IF(A242="","",G242*F242/100)</f>
        <v/>
      </c>
      <c r="J242" s="24" t="str">
        <f aca="false">IF(A242="","",I242*(1-M242/100))</f>
        <v/>
      </c>
      <c r="K242" s="25"/>
      <c r="L242" s="25"/>
      <c r="M242" s="26" t="str">
        <f aca="false">IF(A242="","",K242+L242)</f>
        <v/>
      </c>
      <c r="N242" s="25"/>
      <c r="O242" s="23"/>
      <c r="P242" s="23"/>
      <c r="Q242" s="24" t="str">
        <f aca="false">IF(A242="","",J242*(1-N242/100)-O242-P242)</f>
        <v/>
      </c>
      <c r="R242" s="25"/>
      <c r="S242" s="17" t="str">
        <f aca="false">IF(Policy!A242="","",Policy!U242)</f>
        <v/>
      </c>
      <c r="T242" s="17" t="str">
        <f aca="false">IF(OR(A242="",Policy!L242=""),"",MONTH(Policy!L242))</f>
        <v/>
      </c>
      <c r="U242" s="17" t="str">
        <f aca="false">IF(OR(A242="",Policy!L242=""),"",YEAR(Policy!L242))</f>
        <v/>
      </c>
      <c r="V242" s="17" t="str">
        <f aca="false">IF(Policy!A242="","",Policy!J242)</f>
        <v/>
      </c>
      <c r="W242" s="14"/>
    </row>
    <row r="243" customFormat="false" ht="15" hidden="false" customHeight="false" outlineLevel="0" collapsed="false">
      <c r="A243" s="17" t="str">
        <f aca="false">IF(Policy!A243="","",Policy!A243)</f>
        <v/>
      </c>
      <c r="B243" s="17" t="str">
        <f aca="false">IF(Policy!A243="","",Policy!B243)</f>
        <v/>
      </c>
      <c r="C243" s="17" t="str">
        <f aca="false">IF(Policy!A243="","",Policy!E243)</f>
        <v/>
      </c>
      <c r="D243" s="17" t="str">
        <f aca="false">IF(Policy!A243="","",Policy!G243)</f>
        <v/>
      </c>
      <c r="E243" s="17" t="str">
        <f aca="false">IF(Policy!A243="","",Policy!H243)</f>
        <v/>
      </c>
      <c r="F243" s="22" t="str">
        <f aca="false">IF(Policy!A243="","",Risk!D243)</f>
        <v/>
      </c>
      <c r="G243" s="23"/>
      <c r="H243" s="24" t="str">
        <f aca="false">IF(A243="","",G243*(1-M243/100))</f>
        <v/>
      </c>
      <c r="I243" s="24" t="str">
        <f aca="false">IF(A243="","",G243*F243/100)</f>
        <v/>
      </c>
      <c r="J243" s="24" t="str">
        <f aca="false">IF(A243="","",I243*(1-M243/100))</f>
        <v/>
      </c>
      <c r="K243" s="25"/>
      <c r="L243" s="25"/>
      <c r="M243" s="26" t="str">
        <f aca="false">IF(A243="","",K243+L243)</f>
        <v/>
      </c>
      <c r="N243" s="25"/>
      <c r="O243" s="23"/>
      <c r="P243" s="23"/>
      <c r="Q243" s="24" t="str">
        <f aca="false">IF(A243="","",J243*(1-N243/100)-O243-P243)</f>
        <v/>
      </c>
      <c r="R243" s="25"/>
      <c r="S243" s="17" t="str">
        <f aca="false">IF(Policy!A243="","",Policy!U243)</f>
        <v/>
      </c>
      <c r="T243" s="17" t="str">
        <f aca="false">IF(OR(A243="",Policy!L243=""),"",MONTH(Policy!L243))</f>
        <v/>
      </c>
      <c r="U243" s="17" t="str">
        <f aca="false">IF(OR(A243="",Policy!L243=""),"",YEAR(Policy!L243))</f>
        <v/>
      </c>
      <c r="V243" s="17" t="str">
        <f aca="false">IF(Policy!A243="","",Policy!J243)</f>
        <v/>
      </c>
      <c r="W243" s="14"/>
    </row>
    <row r="244" customFormat="false" ht="15" hidden="false" customHeight="false" outlineLevel="0" collapsed="false">
      <c r="A244" s="17" t="str">
        <f aca="false">IF(Policy!A244="","",Policy!A244)</f>
        <v/>
      </c>
      <c r="B244" s="17" t="str">
        <f aca="false">IF(Policy!A244="","",Policy!B244)</f>
        <v/>
      </c>
      <c r="C244" s="17" t="str">
        <f aca="false">IF(Policy!A244="","",Policy!E244)</f>
        <v/>
      </c>
      <c r="D244" s="17" t="str">
        <f aca="false">IF(Policy!A244="","",Policy!G244)</f>
        <v/>
      </c>
      <c r="E244" s="17" t="str">
        <f aca="false">IF(Policy!A244="","",Policy!H244)</f>
        <v/>
      </c>
      <c r="F244" s="22" t="str">
        <f aca="false">IF(Policy!A244="","",Risk!D244)</f>
        <v/>
      </c>
      <c r="G244" s="23"/>
      <c r="H244" s="24" t="str">
        <f aca="false">IF(A244="","",G244*(1-M244/100))</f>
        <v/>
      </c>
      <c r="I244" s="24" t="str">
        <f aca="false">IF(A244="","",G244*F244/100)</f>
        <v/>
      </c>
      <c r="J244" s="24" t="str">
        <f aca="false">IF(A244="","",I244*(1-M244/100))</f>
        <v/>
      </c>
      <c r="K244" s="25"/>
      <c r="L244" s="25"/>
      <c r="M244" s="26" t="str">
        <f aca="false">IF(A244="","",K244+L244)</f>
        <v/>
      </c>
      <c r="N244" s="25"/>
      <c r="O244" s="23"/>
      <c r="P244" s="23"/>
      <c r="Q244" s="24" t="str">
        <f aca="false">IF(A244="","",J244*(1-N244/100)-O244-P244)</f>
        <v/>
      </c>
      <c r="R244" s="25"/>
      <c r="S244" s="17" t="str">
        <f aca="false">IF(Policy!A244="","",Policy!U244)</f>
        <v/>
      </c>
      <c r="T244" s="17" t="str">
        <f aca="false">IF(OR(A244="",Policy!L244=""),"",MONTH(Policy!L244))</f>
        <v/>
      </c>
      <c r="U244" s="17" t="str">
        <f aca="false">IF(OR(A244="",Policy!L244=""),"",YEAR(Policy!L244))</f>
        <v/>
      </c>
      <c r="V244" s="17" t="str">
        <f aca="false">IF(Policy!A244="","",Policy!J244)</f>
        <v/>
      </c>
      <c r="W244" s="14"/>
    </row>
    <row r="245" customFormat="false" ht="15" hidden="false" customHeight="false" outlineLevel="0" collapsed="false">
      <c r="A245" s="17" t="str">
        <f aca="false">IF(Policy!A245="","",Policy!A245)</f>
        <v/>
      </c>
      <c r="B245" s="17" t="str">
        <f aca="false">IF(Policy!A245="","",Policy!B245)</f>
        <v/>
      </c>
      <c r="C245" s="17" t="str">
        <f aca="false">IF(Policy!A245="","",Policy!E245)</f>
        <v/>
      </c>
      <c r="D245" s="17" t="str">
        <f aca="false">IF(Policy!A245="","",Policy!G245)</f>
        <v/>
      </c>
      <c r="E245" s="17" t="str">
        <f aca="false">IF(Policy!A245="","",Policy!H245)</f>
        <v/>
      </c>
      <c r="F245" s="22" t="str">
        <f aca="false">IF(Policy!A245="","",Risk!D245)</f>
        <v/>
      </c>
      <c r="G245" s="23"/>
      <c r="H245" s="24" t="str">
        <f aca="false">IF(A245="","",G245*(1-M245/100))</f>
        <v/>
      </c>
      <c r="I245" s="24" t="str">
        <f aca="false">IF(A245="","",G245*F245/100)</f>
        <v/>
      </c>
      <c r="J245" s="24" t="str">
        <f aca="false">IF(A245="","",I245*(1-M245/100))</f>
        <v/>
      </c>
      <c r="K245" s="25"/>
      <c r="L245" s="25"/>
      <c r="M245" s="26" t="str">
        <f aca="false">IF(A245="","",K245+L245)</f>
        <v/>
      </c>
      <c r="N245" s="25"/>
      <c r="O245" s="23"/>
      <c r="P245" s="23"/>
      <c r="Q245" s="24" t="str">
        <f aca="false">IF(A245="","",J245*(1-N245/100)-O245-P245)</f>
        <v/>
      </c>
      <c r="R245" s="25"/>
      <c r="S245" s="17" t="str">
        <f aca="false">IF(Policy!A245="","",Policy!U245)</f>
        <v/>
      </c>
      <c r="T245" s="17" t="str">
        <f aca="false">IF(OR(A245="",Policy!L245=""),"",MONTH(Policy!L245))</f>
        <v/>
      </c>
      <c r="U245" s="17" t="str">
        <f aca="false">IF(OR(A245="",Policy!L245=""),"",YEAR(Policy!L245))</f>
        <v/>
      </c>
      <c r="V245" s="17" t="str">
        <f aca="false">IF(Policy!A245="","",Policy!J245)</f>
        <v/>
      </c>
      <c r="W245" s="14"/>
    </row>
    <row r="246" customFormat="false" ht="15" hidden="false" customHeight="false" outlineLevel="0" collapsed="false">
      <c r="A246" s="17" t="str">
        <f aca="false">IF(Policy!A246="","",Policy!A246)</f>
        <v/>
      </c>
      <c r="B246" s="17" t="str">
        <f aca="false">IF(Policy!A246="","",Policy!B246)</f>
        <v/>
      </c>
      <c r="C246" s="17" t="str">
        <f aca="false">IF(Policy!A246="","",Policy!E246)</f>
        <v/>
      </c>
      <c r="D246" s="17" t="str">
        <f aca="false">IF(Policy!A246="","",Policy!G246)</f>
        <v/>
      </c>
      <c r="E246" s="17" t="str">
        <f aca="false">IF(Policy!A246="","",Policy!H246)</f>
        <v/>
      </c>
      <c r="F246" s="22" t="str">
        <f aca="false">IF(Policy!A246="","",Risk!D246)</f>
        <v/>
      </c>
      <c r="G246" s="23"/>
      <c r="H246" s="24" t="str">
        <f aca="false">IF(A246="","",G246*(1-M246/100))</f>
        <v/>
      </c>
      <c r="I246" s="24" t="str">
        <f aca="false">IF(A246="","",G246*F246/100)</f>
        <v/>
      </c>
      <c r="J246" s="24" t="str">
        <f aca="false">IF(A246="","",I246*(1-M246/100))</f>
        <v/>
      </c>
      <c r="K246" s="25"/>
      <c r="L246" s="25"/>
      <c r="M246" s="26" t="str">
        <f aca="false">IF(A246="","",K246+L246)</f>
        <v/>
      </c>
      <c r="N246" s="25"/>
      <c r="O246" s="23"/>
      <c r="P246" s="23"/>
      <c r="Q246" s="24" t="str">
        <f aca="false">IF(A246="","",J246*(1-N246/100)-O246-P246)</f>
        <v/>
      </c>
      <c r="R246" s="25"/>
      <c r="S246" s="17" t="str">
        <f aca="false">IF(Policy!A246="","",Policy!U246)</f>
        <v/>
      </c>
      <c r="T246" s="17" t="str">
        <f aca="false">IF(OR(A246="",Policy!L246=""),"",MONTH(Policy!L246))</f>
        <v/>
      </c>
      <c r="U246" s="17" t="str">
        <f aca="false">IF(OR(A246="",Policy!L246=""),"",YEAR(Policy!L246))</f>
        <v/>
      </c>
      <c r="V246" s="17" t="str">
        <f aca="false">IF(Policy!A246="","",Policy!J246)</f>
        <v/>
      </c>
      <c r="W246" s="14"/>
    </row>
    <row r="247" customFormat="false" ht="15" hidden="false" customHeight="false" outlineLevel="0" collapsed="false">
      <c r="A247" s="17" t="str">
        <f aca="false">IF(Policy!A247="","",Policy!A247)</f>
        <v/>
      </c>
      <c r="B247" s="17" t="str">
        <f aca="false">IF(Policy!A247="","",Policy!B247)</f>
        <v/>
      </c>
      <c r="C247" s="17" t="str">
        <f aca="false">IF(Policy!A247="","",Policy!E247)</f>
        <v/>
      </c>
      <c r="D247" s="17" t="str">
        <f aca="false">IF(Policy!A247="","",Policy!G247)</f>
        <v/>
      </c>
      <c r="E247" s="17" t="str">
        <f aca="false">IF(Policy!A247="","",Policy!H247)</f>
        <v/>
      </c>
      <c r="F247" s="22" t="str">
        <f aca="false">IF(Policy!A247="","",Risk!D247)</f>
        <v/>
      </c>
      <c r="G247" s="23"/>
      <c r="H247" s="24" t="str">
        <f aca="false">IF(A247="","",G247*(1-M247/100))</f>
        <v/>
      </c>
      <c r="I247" s="24" t="str">
        <f aca="false">IF(A247="","",G247*F247/100)</f>
        <v/>
      </c>
      <c r="J247" s="24" t="str">
        <f aca="false">IF(A247="","",I247*(1-M247/100))</f>
        <v/>
      </c>
      <c r="K247" s="25"/>
      <c r="L247" s="25"/>
      <c r="M247" s="26" t="str">
        <f aca="false">IF(A247="","",K247+L247)</f>
        <v/>
      </c>
      <c r="N247" s="25"/>
      <c r="O247" s="23"/>
      <c r="P247" s="23"/>
      <c r="Q247" s="24" t="str">
        <f aca="false">IF(A247="","",J247*(1-N247/100)-O247-P247)</f>
        <v/>
      </c>
      <c r="R247" s="25"/>
      <c r="S247" s="17" t="str">
        <f aca="false">IF(Policy!A247="","",Policy!U247)</f>
        <v/>
      </c>
      <c r="T247" s="17" t="str">
        <f aca="false">IF(OR(A247="",Policy!L247=""),"",MONTH(Policy!L247))</f>
        <v/>
      </c>
      <c r="U247" s="17" t="str">
        <f aca="false">IF(OR(A247="",Policy!L247=""),"",YEAR(Policy!L247))</f>
        <v/>
      </c>
      <c r="V247" s="17" t="str">
        <f aca="false">IF(Policy!A247="","",Policy!J247)</f>
        <v/>
      </c>
      <c r="W247" s="14"/>
    </row>
    <row r="248" customFormat="false" ht="15" hidden="false" customHeight="false" outlineLevel="0" collapsed="false">
      <c r="A248" s="17" t="str">
        <f aca="false">IF(Policy!A248="","",Policy!A248)</f>
        <v/>
      </c>
      <c r="B248" s="17" t="str">
        <f aca="false">IF(Policy!A248="","",Policy!B248)</f>
        <v/>
      </c>
      <c r="C248" s="17" t="str">
        <f aca="false">IF(Policy!A248="","",Policy!E248)</f>
        <v/>
      </c>
      <c r="D248" s="17" t="str">
        <f aca="false">IF(Policy!A248="","",Policy!G248)</f>
        <v/>
      </c>
      <c r="E248" s="17" t="str">
        <f aca="false">IF(Policy!A248="","",Policy!H248)</f>
        <v/>
      </c>
      <c r="F248" s="22" t="str">
        <f aca="false">IF(Policy!A248="","",Risk!D248)</f>
        <v/>
      </c>
      <c r="G248" s="23"/>
      <c r="H248" s="24" t="str">
        <f aca="false">IF(A248="","",G248*(1-M248/100))</f>
        <v/>
      </c>
      <c r="I248" s="24" t="str">
        <f aca="false">IF(A248="","",G248*F248/100)</f>
        <v/>
      </c>
      <c r="J248" s="24" t="str">
        <f aca="false">IF(A248="","",I248*(1-M248/100))</f>
        <v/>
      </c>
      <c r="K248" s="25"/>
      <c r="L248" s="25"/>
      <c r="M248" s="26" t="str">
        <f aca="false">IF(A248="","",K248+L248)</f>
        <v/>
      </c>
      <c r="N248" s="25"/>
      <c r="O248" s="23"/>
      <c r="P248" s="23"/>
      <c r="Q248" s="24" t="str">
        <f aca="false">IF(A248="","",J248*(1-N248/100)-O248-P248)</f>
        <v/>
      </c>
      <c r="R248" s="25"/>
      <c r="S248" s="17" t="str">
        <f aca="false">IF(Policy!A248="","",Policy!U248)</f>
        <v/>
      </c>
      <c r="T248" s="17" t="str">
        <f aca="false">IF(OR(A248="",Policy!L248=""),"",MONTH(Policy!L248))</f>
        <v/>
      </c>
      <c r="U248" s="17" t="str">
        <f aca="false">IF(OR(A248="",Policy!L248=""),"",YEAR(Policy!L248))</f>
        <v/>
      </c>
      <c r="V248" s="17" t="str">
        <f aca="false">IF(Policy!A248="","",Policy!J248)</f>
        <v/>
      </c>
      <c r="W248" s="14"/>
    </row>
    <row r="249" customFormat="false" ht="15" hidden="false" customHeight="false" outlineLevel="0" collapsed="false">
      <c r="A249" s="17" t="str">
        <f aca="false">IF(Policy!A249="","",Policy!A249)</f>
        <v/>
      </c>
      <c r="B249" s="17" t="str">
        <f aca="false">IF(Policy!A249="","",Policy!B249)</f>
        <v/>
      </c>
      <c r="C249" s="17" t="str">
        <f aca="false">IF(Policy!A249="","",Policy!E249)</f>
        <v/>
      </c>
      <c r="D249" s="17" t="str">
        <f aca="false">IF(Policy!A249="","",Policy!G249)</f>
        <v/>
      </c>
      <c r="E249" s="17" t="str">
        <f aca="false">IF(Policy!A249="","",Policy!H249)</f>
        <v/>
      </c>
      <c r="F249" s="22" t="str">
        <f aca="false">IF(Policy!A249="","",Risk!D249)</f>
        <v/>
      </c>
      <c r="G249" s="23"/>
      <c r="H249" s="24" t="str">
        <f aca="false">IF(A249="","",G249*(1-M249/100))</f>
        <v/>
      </c>
      <c r="I249" s="24" t="str">
        <f aca="false">IF(A249="","",G249*F249/100)</f>
        <v/>
      </c>
      <c r="J249" s="24" t="str">
        <f aca="false">IF(A249="","",I249*(1-M249/100))</f>
        <v/>
      </c>
      <c r="K249" s="25"/>
      <c r="L249" s="25"/>
      <c r="M249" s="26" t="str">
        <f aca="false">IF(A249="","",K249+L249)</f>
        <v/>
      </c>
      <c r="N249" s="25"/>
      <c r="O249" s="23"/>
      <c r="P249" s="23"/>
      <c r="Q249" s="24" t="str">
        <f aca="false">IF(A249="","",J249*(1-N249/100)-O249-P249)</f>
        <v/>
      </c>
      <c r="R249" s="25"/>
      <c r="S249" s="17" t="str">
        <f aca="false">IF(Policy!A249="","",Policy!U249)</f>
        <v/>
      </c>
      <c r="T249" s="17" t="str">
        <f aca="false">IF(OR(A249="",Policy!L249=""),"",MONTH(Policy!L249))</f>
        <v/>
      </c>
      <c r="U249" s="17" t="str">
        <f aca="false">IF(OR(A249="",Policy!L249=""),"",YEAR(Policy!L249))</f>
        <v/>
      </c>
      <c r="V249" s="17" t="str">
        <f aca="false">IF(Policy!A249="","",Policy!J249)</f>
        <v/>
      </c>
      <c r="W249" s="14"/>
    </row>
    <row r="250" customFormat="false" ht="15" hidden="false" customHeight="false" outlineLevel="0" collapsed="false">
      <c r="A250" s="17" t="str">
        <f aca="false">IF(Policy!A250="","",Policy!A250)</f>
        <v/>
      </c>
      <c r="B250" s="17" t="str">
        <f aca="false">IF(Policy!A250="","",Policy!B250)</f>
        <v/>
      </c>
      <c r="C250" s="17" t="str">
        <f aca="false">IF(Policy!A250="","",Policy!E250)</f>
        <v/>
      </c>
      <c r="D250" s="17" t="str">
        <f aca="false">IF(Policy!A250="","",Policy!G250)</f>
        <v/>
      </c>
      <c r="E250" s="17" t="str">
        <f aca="false">IF(Policy!A250="","",Policy!H250)</f>
        <v/>
      </c>
      <c r="F250" s="22" t="str">
        <f aca="false">IF(Policy!A250="","",Risk!D250)</f>
        <v/>
      </c>
      <c r="G250" s="23"/>
      <c r="H250" s="24" t="str">
        <f aca="false">IF(A250="","",G250*(1-M250/100))</f>
        <v/>
      </c>
      <c r="I250" s="24" t="str">
        <f aca="false">IF(A250="","",G250*F250/100)</f>
        <v/>
      </c>
      <c r="J250" s="24" t="str">
        <f aca="false">IF(A250="","",I250*(1-M250/100))</f>
        <v/>
      </c>
      <c r="K250" s="25"/>
      <c r="L250" s="25"/>
      <c r="M250" s="26" t="str">
        <f aca="false">IF(A250="","",K250+L250)</f>
        <v/>
      </c>
      <c r="N250" s="25"/>
      <c r="O250" s="23"/>
      <c r="P250" s="23"/>
      <c r="Q250" s="24" t="str">
        <f aca="false">IF(A250="","",J250*(1-N250/100)-O250-P250)</f>
        <v/>
      </c>
      <c r="R250" s="25"/>
      <c r="S250" s="17" t="str">
        <f aca="false">IF(Policy!A250="","",Policy!U250)</f>
        <v/>
      </c>
      <c r="T250" s="17" t="str">
        <f aca="false">IF(OR(A250="",Policy!L250=""),"",MONTH(Policy!L250))</f>
        <v/>
      </c>
      <c r="U250" s="17" t="str">
        <f aca="false">IF(OR(A250="",Policy!L250=""),"",YEAR(Policy!L250))</f>
        <v/>
      </c>
      <c r="V250" s="17" t="str">
        <f aca="false">IF(Policy!A250="","",Policy!J250)</f>
        <v/>
      </c>
      <c r="W250" s="14"/>
    </row>
    <row r="251" customFormat="false" ht="15" hidden="false" customHeight="false" outlineLevel="0" collapsed="false">
      <c r="A251" s="17" t="str">
        <f aca="false">IF(Policy!A251="","",Policy!A251)</f>
        <v/>
      </c>
      <c r="B251" s="17" t="str">
        <f aca="false">IF(Policy!A251="","",Policy!B251)</f>
        <v/>
      </c>
      <c r="C251" s="17" t="str">
        <f aca="false">IF(Policy!A251="","",Policy!E251)</f>
        <v/>
      </c>
      <c r="D251" s="17" t="str">
        <f aca="false">IF(Policy!A251="","",Policy!G251)</f>
        <v/>
      </c>
      <c r="E251" s="17" t="str">
        <f aca="false">IF(Policy!A251="","",Policy!H251)</f>
        <v/>
      </c>
      <c r="F251" s="22" t="str">
        <f aca="false">IF(Policy!A251="","",Risk!D251)</f>
        <v/>
      </c>
      <c r="G251" s="23"/>
      <c r="H251" s="24" t="str">
        <f aca="false">IF(A251="","",G251*(1-M251/100))</f>
        <v/>
      </c>
      <c r="I251" s="24" t="str">
        <f aca="false">IF(A251="","",G251*F251/100)</f>
        <v/>
      </c>
      <c r="J251" s="24" t="str">
        <f aca="false">IF(A251="","",I251*(1-M251/100))</f>
        <v/>
      </c>
      <c r="K251" s="25"/>
      <c r="L251" s="25"/>
      <c r="M251" s="26" t="str">
        <f aca="false">IF(A251="","",K251+L251)</f>
        <v/>
      </c>
      <c r="N251" s="25"/>
      <c r="O251" s="23"/>
      <c r="P251" s="23"/>
      <c r="Q251" s="24" t="str">
        <f aca="false">IF(A251="","",J251*(1-N251/100)-O251-P251)</f>
        <v/>
      </c>
      <c r="R251" s="25"/>
      <c r="S251" s="17" t="str">
        <f aca="false">IF(Policy!A251="","",Policy!U251)</f>
        <v/>
      </c>
      <c r="T251" s="17" t="str">
        <f aca="false">IF(OR(A251="",Policy!L251=""),"",MONTH(Policy!L251))</f>
        <v/>
      </c>
      <c r="U251" s="17" t="str">
        <f aca="false">IF(OR(A251="",Policy!L251=""),"",YEAR(Policy!L251))</f>
        <v/>
      </c>
      <c r="V251" s="17" t="str">
        <f aca="false">IF(Policy!A251="","",Policy!J251)</f>
        <v/>
      </c>
      <c r="W251" s="14"/>
    </row>
    <row r="252" customFormat="false" ht="15" hidden="false" customHeight="false" outlineLevel="0" collapsed="false">
      <c r="A252" s="17" t="str">
        <f aca="false">IF(Policy!A252="","",Policy!A252)</f>
        <v/>
      </c>
      <c r="B252" s="17" t="str">
        <f aca="false">IF(Policy!A252="","",Policy!B252)</f>
        <v/>
      </c>
      <c r="C252" s="17" t="str">
        <f aca="false">IF(Policy!A252="","",Policy!E252)</f>
        <v/>
      </c>
      <c r="D252" s="17" t="str">
        <f aca="false">IF(Policy!A252="","",Policy!G252)</f>
        <v/>
      </c>
      <c r="E252" s="17" t="str">
        <f aca="false">IF(Policy!A252="","",Policy!H252)</f>
        <v/>
      </c>
      <c r="F252" s="22" t="str">
        <f aca="false">IF(Policy!A252="","",Risk!D252)</f>
        <v/>
      </c>
      <c r="G252" s="23"/>
      <c r="H252" s="24" t="str">
        <f aca="false">IF(A252="","",G252*(1-M252/100))</f>
        <v/>
      </c>
      <c r="I252" s="24" t="str">
        <f aca="false">IF(A252="","",G252*F252/100)</f>
        <v/>
      </c>
      <c r="J252" s="24" t="str">
        <f aca="false">IF(A252="","",I252*(1-M252/100))</f>
        <v/>
      </c>
      <c r="K252" s="25"/>
      <c r="L252" s="25"/>
      <c r="M252" s="26" t="str">
        <f aca="false">IF(A252="","",K252+L252)</f>
        <v/>
      </c>
      <c r="N252" s="25"/>
      <c r="O252" s="23"/>
      <c r="P252" s="23"/>
      <c r="Q252" s="24" t="str">
        <f aca="false">IF(A252="","",J252*(1-N252/100)-O252-P252)</f>
        <v/>
      </c>
      <c r="R252" s="25"/>
      <c r="S252" s="17" t="str">
        <f aca="false">IF(Policy!A252="","",Policy!U252)</f>
        <v/>
      </c>
      <c r="T252" s="17" t="str">
        <f aca="false">IF(OR(A252="",Policy!L252=""),"",MONTH(Policy!L252))</f>
        <v/>
      </c>
      <c r="U252" s="17" t="str">
        <f aca="false">IF(OR(A252="",Policy!L252=""),"",YEAR(Policy!L252))</f>
        <v/>
      </c>
      <c r="V252" s="17" t="str">
        <f aca="false">IF(Policy!A252="","",Policy!J252)</f>
        <v/>
      </c>
      <c r="W252" s="14"/>
    </row>
    <row r="253" customFormat="false" ht="15" hidden="false" customHeight="false" outlineLevel="0" collapsed="false">
      <c r="A253" s="17" t="str">
        <f aca="false">IF(Policy!A253="","",Policy!A253)</f>
        <v/>
      </c>
      <c r="B253" s="17" t="str">
        <f aca="false">IF(Policy!A253="","",Policy!B253)</f>
        <v/>
      </c>
      <c r="C253" s="17" t="str">
        <f aca="false">IF(Policy!A253="","",Policy!E253)</f>
        <v/>
      </c>
      <c r="D253" s="17" t="str">
        <f aca="false">IF(Policy!A253="","",Policy!G253)</f>
        <v/>
      </c>
      <c r="E253" s="17" t="str">
        <f aca="false">IF(Policy!A253="","",Policy!H253)</f>
        <v/>
      </c>
      <c r="F253" s="22" t="str">
        <f aca="false">IF(Policy!A253="","",Risk!D253)</f>
        <v/>
      </c>
      <c r="G253" s="23"/>
      <c r="H253" s="24" t="str">
        <f aca="false">IF(A253="","",G253*(1-M253/100))</f>
        <v/>
      </c>
      <c r="I253" s="24" t="str">
        <f aca="false">IF(A253="","",G253*F253/100)</f>
        <v/>
      </c>
      <c r="J253" s="24" t="str">
        <f aca="false">IF(A253="","",I253*(1-M253/100))</f>
        <v/>
      </c>
      <c r="K253" s="25"/>
      <c r="L253" s="25"/>
      <c r="M253" s="26" t="str">
        <f aca="false">IF(A253="","",K253+L253)</f>
        <v/>
      </c>
      <c r="N253" s="25"/>
      <c r="O253" s="23"/>
      <c r="P253" s="23"/>
      <c r="Q253" s="24" t="str">
        <f aca="false">IF(A253="","",J253*(1-N253/100)-O253-P253)</f>
        <v/>
      </c>
      <c r="R253" s="25"/>
      <c r="S253" s="17" t="str">
        <f aca="false">IF(Policy!A253="","",Policy!U253)</f>
        <v/>
      </c>
      <c r="T253" s="17" t="str">
        <f aca="false">IF(OR(A253="",Policy!L253=""),"",MONTH(Policy!L253))</f>
        <v/>
      </c>
      <c r="U253" s="17" t="str">
        <f aca="false">IF(OR(A253="",Policy!L253=""),"",YEAR(Policy!L253))</f>
        <v/>
      </c>
      <c r="V253" s="17" t="str">
        <f aca="false">IF(Policy!A253="","",Policy!J253)</f>
        <v/>
      </c>
      <c r="W253" s="14"/>
    </row>
    <row r="254" customFormat="false" ht="15" hidden="false" customHeight="false" outlineLevel="0" collapsed="false">
      <c r="A254" s="17" t="str">
        <f aca="false">IF(Policy!A254="","",Policy!A254)</f>
        <v/>
      </c>
      <c r="B254" s="17" t="str">
        <f aca="false">IF(Policy!A254="","",Policy!B254)</f>
        <v/>
      </c>
      <c r="C254" s="17" t="str">
        <f aca="false">IF(Policy!A254="","",Policy!E254)</f>
        <v/>
      </c>
      <c r="D254" s="17" t="str">
        <f aca="false">IF(Policy!A254="","",Policy!G254)</f>
        <v/>
      </c>
      <c r="E254" s="17" t="str">
        <f aca="false">IF(Policy!A254="","",Policy!H254)</f>
        <v/>
      </c>
      <c r="F254" s="22" t="str">
        <f aca="false">IF(Policy!A254="","",Risk!D254)</f>
        <v/>
      </c>
      <c r="G254" s="23"/>
      <c r="H254" s="24" t="str">
        <f aca="false">IF(A254="","",G254*(1-M254/100))</f>
        <v/>
      </c>
      <c r="I254" s="24" t="str">
        <f aca="false">IF(A254="","",G254*F254/100)</f>
        <v/>
      </c>
      <c r="J254" s="24" t="str">
        <f aca="false">IF(A254="","",I254*(1-M254/100))</f>
        <v/>
      </c>
      <c r="K254" s="25"/>
      <c r="L254" s="25"/>
      <c r="M254" s="26" t="str">
        <f aca="false">IF(A254="","",K254+L254)</f>
        <v/>
      </c>
      <c r="N254" s="25"/>
      <c r="O254" s="23"/>
      <c r="P254" s="23"/>
      <c r="Q254" s="24" t="str">
        <f aca="false">IF(A254="","",J254*(1-N254/100)-O254-P254)</f>
        <v/>
      </c>
      <c r="R254" s="25"/>
      <c r="S254" s="17" t="str">
        <f aca="false">IF(Policy!A254="","",Policy!U254)</f>
        <v/>
      </c>
      <c r="T254" s="17" t="str">
        <f aca="false">IF(OR(A254="",Policy!L254=""),"",MONTH(Policy!L254))</f>
        <v/>
      </c>
      <c r="U254" s="17" t="str">
        <f aca="false">IF(OR(A254="",Policy!L254=""),"",YEAR(Policy!L254))</f>
        <v/>
      </c>
      <c r="V254" s="17" t="str">
        <f aca="false">IF(Policy!A254="","",Policy!J254)</f>
        <v/>
      </c>
      <c r="W254" s="14"/>
    </row>
    <row r="255" customFormat="false" ht="15" hidden="false" customHeight="false" outlineLevel="0" collapsed="false">
      <c r="A255" s="17" t="str">
        <f aca="false">IF(Policy!A255="","",Policy!A255)</f>
        <v/>
      </c>
      <c r="B255" s="17" t="str">
        <f aca="false">IF(Policy!A255="","",Policy!B255)</f>
        <v/>
      </c>
      <c r="C255" s="17" t="str">
        <f aca="false">IF(Policy!A255="","",Policy!E255)</f>
        <v/>
      </c>
      <c r="D255" s="17" t="str">
        <f aca="false">IF(Policy!A255="","",Policy!G255)</f>
        <v/>
      </c>
      <c r="E255" s="17" t="str">
        <f aca="false">IF(Policy!A255="","",Policy!H255)</f>
        <v/>
      </c>
      <c r="F255" s="22" t="str">
        <f aca="false">IF(Policy!A255="","",Risk!D255)</f>
        <v/>
      </c>
      <c r="G255" s="23"/>
      <c r="H255" s="24" t="str">
        <f aca="false">IF(A255="","",G255*(1-M255/100))</f>
        <v/>
      </c>
      <c r="I255" s="24" t="str">
        <f aca="false">IF(A255="","",G255*F255/100)</f>
        <v/>
      </c>
      <c r="J255" s="24" t="str">
        <f aca="false">IF(A255="","",I255*(1-M255/100))</f>
        <v/>
      </c>
      <c r="K255" s="25"/>
      <c r="L255" s="25"/>
      <c r="M255" s="26" t="str">
        <f aca="false">IF(A255="","",K255+L255)</f>
        <v/>
      </c>
      <c r="N255" s="25"/>
      <c r="O255" s="23"/>
      <c r="P255" s="23"/>
      <c r="Q255" s="24" t="str">
        <f aca="false">IF(A255="","",J255*(1-N255/100)-O255-P255)</f>
        <v/>
      </c>
      <c r="R255" s="25"/>
      <c r="S255" s="17" t="str">
        <f aca="false">IF(Policy!A255="","",Policy!U255)</f>
        <v/>
      </c>
      <c r="T255" s="17" t="str">
        <f aca="false">IF(OR(A255="",Policy!L255=""),"",MONTH(Policy!L255))</f>
        <v/>
      </c>
      <c r="U255" s="17" t="str">
        <f aca="false">IF(OR(A255="",Policy!L255=""),"",YEAR(Policy!L255))</f>
        <v/>
      </c>
      <c r="V255" s="17" t="str">
        <f aca="false">IF(Policy!A255="","",Policy!J255)</f>
        <v/>
      </c>
      <c r="W255" s="14"/>
    </row>
    <row r="256" customFormat="false" ht="15" hidden="false" customHeight="false" outlineLevel="0" collapsed="false">
      <c r="A256" s="17" t="str">
        <f aca="false">IF(Policy!A256="","",Policy!A256)</f>
        <v/>
      </c>
      <c r="B256" s="17" t="str">
        <f aca="false">IF(Policy!A256="","",Policy!B256)</f>
        <v/>
      </c>
      <c r="C256" s="17" t="str">
        <f aca="false">IF(Policy!A256="","",Policy!E256)</f>
        <v/>
      </c>
      <c r="D256" s="17" t="str">
        <f aca="false">IF(Policy!A256="","",Policy!G256)</f>
        <v/>
      </c>
      <c r="E256" s="17" t="str">
        <f aca="false">IF(Policy!A256="","",Policy!H256)</f>
        <v/>
      </c>
      <c r="F256" s="22" t="str">
        <f aca="false">IF(Policy!A256="","",Risk!D256)</f>
        <v/>
      </c>
      <c r="G256" s="23"/>
      <c r="H256" s="24" t="str">
        <f aca="false">IF(A256="","",G256*(1-M256/100))</f>
        <v/>
      </c>
      <c r="I256" s="24" t="str">
        <f aca="false">IF(A256="","",G256*F256/100)</f>
        <v/>
      </c>
      <c r="J256" s="24" t="str">
        <f aca="false">IF(A256="","",I256*(1-M256/100))</f>
        <v/>
      </c>
      <c r="K256" s="25"/>
      <c r="L256" s="25"/>
      <c r="M256" s="26" t="str">
        <f aca="false">IF(A256="","",K256+L256)</f>
        <v/>
      </c>
      <c r="N256" s="25"/>
      <c r="O256" s="23"/>
      <c r="P256" s="23"/>
      <c r="Q256" s="24" t="str">
        <f aca="false">IF(A256="","",J256*(1-N256/100)-O256-P256)</f>
        <v/>
      </c>
      <c r="R256" s="25"/>
      <c r="S256" s="17" t="str">
        <f aca="false">IF(Policy!A256="","",Policy!U256)</f>
        <v/>
      </c>
      <c r="T256" s="17" t="str">
        <f aca="false">IF(OR(A256="",Policy!L256=""),"",MONTH(Policy!L256))</f>
        <v/>
      </c>
      <c r="U256" s="17" t="str">
        <f aca="false">IF(OR(A256="",Policy!L256=""),"",YEAR(Policy!L256))</f>
        <v/>
      </c>
      <c r="V256" s="17" t="str">
        <f aca="false">IF(Policy!A256="","",Policy!J256)</f>
        <v/>
      </c>
      <c r="W256" s="14"/>
    </row>
    <row r="257" customFormat="false" ht="15" hidden="false" customHeight="false" outlineLevel="0" collapsed="false">
      <c r="A257" s="17" t="str">
        <f aca="false">IF(Policy!A257="","",Policy!A257)</f>
        <v/>
      </c>
      <c r="B257" s="17" t="str">
        <f aca="false">IF(Policy!A257="","",Policy!B257)</f>
        <v/>
      </c>
      <c r="C257" s="17" t="str">
        <f aca="false">IF(Policy!A257="","",Policy!E257)</f>
        <v/>
      </c>
      <c r="D257" s="17" t="str">
        <f aca="false">IF(Policy!A257="","",Policy!G257)</f>
        <v/>
      </c>
      <c r="E257" s="17" t="str">
        <f aca="false">IF(Policy!A257="","",Policy!H257)</f>
        <v/>
      </c>
      <c r="F257" s="22" t="str">
        <f aca="false">IF(Policy!A257="","",Risk!D257)</f>
        <v/>
      </c>
      <c r="G257" s="23"/>
      <c r="H257" s="24" t="str">
        <f aca="false">IF(A257="","",G257*(1-M257/100))</f>
        <v/>
      </c>
      <c r="I257" s="24" t="str">
        <f aca="false">IF(A257="","",G257*F257/100)</f>
        <v/>
      </c>
      <c r="J257" s="24" t="str">
        <f aca="false">IF(A257="","",I257*(1-M257/100))</f>
        <v/>
      </c>
      <c r="K257" s="25"/>
      <c r="L257" s="25"/>
      <c r="M257" s="26" t="str">
        <f aca="false">IF(A257="","",K257+L257)</f>
        <v/>
      </c>
      <c r="N257" s="25"/>
      <c r="O257" s="23"/>
      <c r="P257" s="23"/>
      <c r="Q257" s="24" t="str">
        <f aca="false">IF(A257="","",J257*(1-N257/100)-O257-P257)</f>
        <v/>
      </c>
      <c r="R257" s="25"/>
      <c r="S257" s="17" t="str">
        <f aca="false">IF(Policy!A257="","",Policy!U257)</f>
        <v/>
      </c>
      <c r="T257" s="17" t="str">
        <f aca="false">IF(OR(A257="",Policy!L257=""),"",MONTH(Policy!L257))</f>
        <v/>
      </c>
      <c r="U257" s="17" t="str">
        <f aca="false">IF(OR(A257="",Policy!L257=""),"",YEAR(Policy!L257))</f>
        <v/>
      </c>
      <c r="V257" s="17" t="str">
        <f aca="false">IF(Policy!A257="","",Policy!J257)</f>
        <v/>
      </c>
      <c r="W257" s="14"/>
    </row>
    <row r="258" customFormat="false" ht="15" hidden="false" customHeight="false" outlineLevel="0" collapsed="false">
      <c r="A258" s="17" t="str">
        <f aca="false">IF(Policy!A258="","",Policy!A258)</f>
        <v/>
      </c>
      <c r="B258" s="17" t="str">
        <f aca="false">IF(Policy!A258="","",Policy!B258)</f>
        <v/>
      </c>
      <c r="C258" s="17" t="str">
        <f aca="false">IF(Policy!A258="","",Policy!E258)</f>
        <v/>
      </c>
      <c r="D258" s="17" t="str">
        <f aca="false">IF(Policy!A258="","",Policy!G258)</f>
        <v/>
      </c>
      <c r="E258" s="17" t="str">
        <f aca="false">IF(Policy!A258="","",Policy!H258)</f>
        <v/>
      </c>
      <c r="F258" s="22" t="str">
        <f aca="false">IF(Policy!A258="","",Risk!D258)</f>
        <v/>
      </c>
      <c r="G258" s="23"/>
      <c r="H258" s="24" t="str">
        <f aca="false">IF(A258="","",G258*(1-M258/100))</f>
        <v/>
      </c>
      <c r="I258" s="24" t="str">
        <f aca="false">IF(A258="","",G258*F258/100)</f>
        <v/>
      </c>
      <c r="J258" s="24" t="str">
        <f aca="false">IF(A258="","",I258*(1-M258/100))</f>
        <v/>
      </c>
      <c r="K258" s="25"/>
      <c r="L258" s="25"/>
      <c r="M258" s="26" t="str">
        <f aca="false">IF(A258="","",K258+L258)</f>
        <v/>
      </c>
      <c r="N258" s="25"/>
      <c r="O258" s="23"/>
      <c r="P258" s="23"/>
      <c r="Q258" s="24" t="str">
        <f aca="false">IF(A258="","",J258*(1-N258/100)-O258-P258)</f>
        <v/>
      </c>
      <c r="R258" s="25"/>
      <c r="S258" s="17" t="str">
        <f aca="false">IF(Policy!A258="","",Policy!U258)</f>
        <v/>
      </c>
      <c r="T258" s="17" t="str">
        <f aca="false">IF(OR(A258="",Policy!L258=""),"",MONTH(Policy!L258))</f>
        <v/>
      </c>
      <c r="U258" s="17" t="str">
        <f aca="false">IF(OR(A258="",Policy!L258=""),"",YEAR(Policy!L258))</f>
        <v/>
      </c>
      <c r="V258" s="17" t="str">
        <f aca="false">IF(Policy!A258="","",Policy!J258)</f>
        <v/>
      </c>
      <c r="W258" s="14"/>
    </row>
    <row r="259" customFormat="false" ht="15" hidden="false" customHeight="false" outlineLevel="0" collapsed="false">
      <c r="A259" s="17" t="str">
        <f aca="false">IF(Policy!A259="","",Policy!A259)</f>
        <v/>
      </c>
      <c r="B259" s="17" t="str">
        <f aca="false">IF(Policy!A259="","",Policy!B259)</f>
        <v/>
      </c>
      <c r="C259" s="17" t="str">
        <f aca="false">IF(Policy!A259="","",Policy!E259)</f>
        <v/>
      </c>
      <c r="D259" s="17" t="str">
        <f aca="false">IF(Policy!A259="","",Policy!G259)</f>
        <v/>
      </c>
      <c r="E259" s="17" t="str">
        <f aca="false">IF(Policy!A259="","",Policy!H259)</f>
        <v/>
      </c>
      <c r="F259" s="22" t="str">
        <f aca="false">IF(Policy!A259="","",Risk!D259)</f>
        <v/>
      </c>
      <c r="G259" s="23"/>
      <c r="H259" s="24" t="str">
        <f aca="false">IF(A259="","",G259*(1-M259/100))</f>
        <v/>
      </c>
      <c r="I259" s="24" t="str">
        <f aca="false">IF(A259="","",G259*F259/100)</f>
        <v/>
      </c>
      <c r="J259" s="24" t="str">
        <f aca="false">IF(A259="","",I259*(1-M259/100))</f>
        <v/>
      </c>
      <c r="K259" s="25"/>
      <c r="L259" s="25"/>
      <c r="M259" s="26" t="str">
        <f aca="false">IF(A259="","",K259+L259)</f>
        <v/>
      </c>
      <c r="N259" s="25"/>
      <c r="O259" s="23"/>
      <c r="P259" s="23"/>
      <c r="Q259" s="24" t="str">
        <f aca="false">IF(A259="","",J259*(1-N259/100)-O259-P259)</f>
        <v/>
      </c>
      <c r="R259" s="25"/>
      <c r="S259" s="17" t="str">
        <f aca="false">IF(Policy!A259="","",Policy!U259)</f>
        <v/>
      </c>
      <c r="T259" s="17" t="str">
        <f aca="false">IF(OR(A259="",Policy!L259=""),"",MONTH(Policy!L259))</f>
        <v/>
      </c>
      <c r="U259" s="17" t="str">
        <f aca="false">IF(OR(A259="",Policy!L259=""),"",YEAR(Policy!L259))</f>
        <v/>
      </c>
      <c r="V259" s="17" t="str">
        <f aca="false">IF(Policy!A259="","",Policy!J259)</f>
        <v/>
      </c>
      <c r="W259" s="14"/>
    </row>
    <row r="260" customFormat="false" ht="15" hidden="false" customHeight="false" outlineLevel="0" collapsed="false">
      <c r="A260" s="17" t="str">
        <f aca="false">IF(Policy!A260="","",Policy!A260)</f>
        <v/>
      </c>
      <c r="B260" s="17" t="str">
        <f aca="false">IF(Policy!A260="","",Policy!B260)</f>
        <v/>
      </c>
      <c r="C260" s="17" t="str">
        <f aca="false">IF(Policy!A260="","",Policy!E260)</f>
        <v/>
      </c>
      <c r="D260" s="17" t="str">
        <f aca="false">IF(Policy!A260="","",Policy!G260)</f>
        <v/>
      </c>
      <c r="E260" s="17" t="str">
        <f aca="false">IF(Policy!A260="","",Policy!H260)</f>
        <v/>
      </c>
      <c r="F260" s="22" t="str">
        <f aca="false">IF(Policy!A260="","",Risk!D260)</f>
        <v/>
      </c>
      <c r="G260" s="23"/>
      <c r="H260" s="24" t="str">
        <f aca="false">IF(A260="","",G260*(1-M260/100))</f>
        <v/>
      </c>
      <c r="I260" s="24" t="str">
        <f aca="false">IF(A260="","",G260*F260/100)</f>
        <v/>
      </c>
      <c r="J260" s="24" t="str">
        <f aca="false">IF(A260="","",I260*(1-M260/100))</f>
        <v/>
      </c>
      <c r="K260" s="25"/>
      <c r="L260" s="25"/>
      <c r="M260" s="26" t="str">
        <f aca="false">IF(A260="","",K260+L260)</f>
        <v/>
      </c>
      <c r="N260" s="25"/>
      <c r="O260" s="23"/>
      <c r="P260" s="23"/>
      <c r="Q260" s="24" t="str">
        <f aca="false">IF(A260="","",J260*(1-N260/100)-O260-P260)</f>
        <v/>
      </c>
      <c r="R260" s="25"/>
      <c r="S260" s="17" t="str">
        <f aca="false">IF(Policy!A260="","",Policy!U260)</f>
        <v/>
      </c>
      <c r="T260" s="17" t="str">
        <f aca="false">IF(OR(A260="",Policy!L260=""),"",MONTH(Policy!L260))</f>
        <v/>
      </c>
      <c r="U260" s="17" t="str">
        <f aca="false">IF(OR(A260="",Policy!L260=""),"",YEAR(Policy!L260))</f>
        <v/>
      </c>
      <c r="V260" s="17" t="str">
        <f aca="false">IF(Policy!A260="","",Policy!J260)</f>
        <v/>
      </c>
      <c r="W260" s="14"/>
    </row>
    <row r="261" customFormat="false" ht="15" hidden="false" customHeight="false" outlineLevel="0" collapsed="false">
      <c r="A261" s="17" t="str">
        <f aca="false">IF(Policy!A261="","",Policy!A261)</f>
        <v/>
      </c>
      <c r="B261" s="17" t="str">
        <f aca="false">IF(Policy!A261="","",Policy!B261)</f>
        <v/>
      </c>
      <c r="C261" s="17" t="str">
        <f aca="false">IF(Policy!A261="","",Policy!E261)</f>
        <v/>
      </c>
      <c r="D261" s="17" t="str">
        <f aca="false">IF(Policy!A261="","",Policy!G261)</f>
        <v/>
      </c>
      <c r="E261" s="17" t="str">
        <f aca="false">IF(Policy!A261="","",Policy!H261)</f>
        <v/>
      </c>
      <c r="F261" s="22" t="str">
        <f aca="false">IF(Policy!A261="","",Risk!D261)</f>
        <v/>
      </c>
      <c r="G261" s="23"/>
      <c r="H261" s="24" t="str">
        <f aca="false">IF(A261="","",G261*(1-M261/100))</f>
        <v/>
      </c>
      <c r="I261" s="24" t="str">
        <f aca="false">IF(A261="","",G261*F261/100)</f>
        <v/>
      </c>
      <c r="J261" s="24" t="str">
        <f aca="false">IF(A261="","",I261*(1-M261/100))</f>
        <v/>
      </c>
      <c r="K261" s="25"/>
      <c r="L261" s="25"/>
      <c r="M261" s="26" t="str">
        <f aca="false">IF(A261="","",K261+L261)</f>
        <v/>
      </c>
      <c r="N261" s="25"/>
      <c r="O261" s="23"/>
      <c r="P261" s="23"/>
      <c r="Q261" s="24" t="str">
        <f aca="false">IF(A261="","",J261*(1-N261/100)-O261-P261)</f>
        <v/>
      </c>
      <c r="R261" s="25"/>
      <c r="S261" s="17" t="str">
        <f aca="false">IF(Policy!A261="","",Policy!U261)</f>
        <v/>
      </c>
      <c r="T261" s="17" t="str">
        <f aca="false">IF(OR(A261="",Policy!L261=""),"",MONTH(Policy!L261))</f>
        <v/>
      </c>
      <c r="U261" s="17" t="str">
        <f aca="false">IF(OR(A261="",Policy!L261=""),"",YEAR(Policy!L261))</f>
        <v/>
      </c>
      <c r="V261" s="17" t="str">
        <f aca="false">IF(Policy!A261="","",Policy!J261)</f>
        <v/>
      </c>
      <c r="W261" s="14"/>
    </row>
    <row r="262" customFormat="false" ht="15" hidden="false" customHeight="false" outlineLevel="0" collapsed="false">
      <c r="A262" s="17" t="str">
        <f aca="false">IF(Policy!A262="","",Policy!A262)</f>
        <v/>
      </c>
      <c r="B262" s="17" t="str">
        <f aca="false">IF(Policy!A262="","",Policy!B262)</f>
        <v/>
      </c>
      <c r="C262" s="17" t="str">
        <f aca="false">IF(Policy!A262="","",Policy!E262)</f>
        <v/>
      </c>
      <c r="D262" s="17" t="str">
        <f aca="false">IF(Policy!A262="","",Policy!G262)</f>
        <v/>
      </c>
      <c r="E262" s="17" t="str">
        <f aca="false">IF(Policy!A262="","",Policy!H262)</f>
        <v/>
      </c>
      <c r="F262" s="22" t="str">
        <f aca="false">IF(Policy!A262="","",Risk!D262)</f>
        <v/>
      </c>
      <c r="G262" s="23"/>
      <c r="H262" s="24" t="str">
        <f aca="false">IF(A262="","",G262*(1-M262/100))</f>
        <v/>
      </c>
      <c r="I262" s="24" t="str">
        <f aca="false">IF(A262="","",G262*F262/100)</f>
        <v/>
      </c>
      <c r="J262" s="24" t="str">
        <f aca="false">IF(A262="","",I262*(1-M262/100))</f>
        <v/>
      </c>
      <c r="K262" s="25"/>
      <c r="L262" s="25"/>
      <c r="M262" s="26" t="str">
        <f aca="false">IF(A262="","",K262+L262)</f>
        <v/>
      </c>
      <c r="N262" s="25"/>
      <c r="O262" s="23"/>
      <c r="P262" s="23"/>
      <c r="Q262" s="24" t="str">
        <f aca="false">IF(A262="","",J262*(1-N262/100)-O262-P262)</f>
        <v/>
      </c>
      <c r="R262" s="25"/>
      <c r="S262" s="17" t="str">
        <f aca="false">IF(Policy!A262="","",Policy!U262)</f>
        <v/>
      </c>
      <c r="T262" s="17" t="str">
        <f aca="false">IF(OR(A262="",Policy!L262=""),"",MONTH(Policy!L262))</f>
        <v/>
      </c>
      <c r="U262" s="17" t="str">
        <f aca="false">IF(OR(A262="",Policy!L262=""),"",YEAR(Policy!L262))</f>
        <v/>
      </c>
      <c r="V262" s="17" t="str">
        <f aca="false">IF(Policy!A262="","",Policy!J262)</f>
        <v/>
      </c>
      <c r="W262" s="14"/>
    </row>
    <row r="263" customFormat="false" ht="15" hidden="false" customHeight="false" outlineLevel="0" collapsed="false">
      <c r="A263" s="17" t="str">
        <f aca="false">IF(Policy!A263="","",Policy!A263)</f>
        <v/>
      </c>
      <c r="B263" s="17" t="str">
        <f aca="false">IF(Policy!A263="","",Policy!B263)</f>
        <v/>
      </c>
      <c r="C263" s="17" t="str">
        <f aca="false">IF(Policy!A263="","",Policy!E263)</f>
        <v/>
      </c>
      <c r="D263" s="17" t="str">
        <f aca="false">IF(Policy!A263="","",Policy!G263)</f>
        <v/>
      </c>
      <c r="E263" s="17" t="str">
        <f aca="false">IF(Policy!A263="","",Policy!H263)</f>
        <v/>
      </c>
      <c r="F263" s="22" t="str">
        <f aca="false">IF(Policy!A263="","",Risk!D263)</f>
        <v/>
      </c>
      <c r="G263" s="23"/>
      <c r="H263" s="24" t="str">
        <f aca="false">IF(A263="","",G263*(1-M263/100))</f>
        <v/>
      </c>
      <c r="I263" s="24" t="str">
        <f aca="false">IF(A263="","",G263*F263/100)</f>
        <v/>
      </c>
      <c r="J263" s="24" t="str">
        <f aca="false">IF(A263="","",I263*(1-M263/100))</f>
        <v/>
      </c>
      <c r="K263" s="25"/>
      <c r="L263" s="25"/>
      <c r="M263" s="26" t="str">
        <f aca="false">IF(A263="","",K263+L263)</f>
        <v/>
      </c>
      <c r="N263" s="25"/>
      <c r="O263" s="23"/>
      <c r="P263" s="23"/>
      <c r="Q263" s="24" t="str">
        <f aca="false">IF(A263="","",J263*(1-N263/100)-O263-P263)</f>
        <v/>
      </c>
      <c r="R263" s="25"/>
      <c r="S263" s="17" t="str">
        <f aca="false">IF(Policy!A263="","",Policy!U263)</f>
        <v/>
      </c>
      <c r="T263" s="17" t="str">
        <f aca="false">IF(OR(A263="",Policy!L263=""),"",MONTH(Policy!L263))</f>
        <v/>
      </c>
      <c r="U263" s="17" t="str">
        <f aca="false">IF(OR(A263="",Policy!L263=""),"",YEAR(Policy!L263))</f>
        <v/>
      </c>
      <c r="V263" s="17" t="str">
        <f aca="false">IF(Policy!A263="","",Policy!J263)</f>
        <v/>
      </c>
      <c r="W263" s="14"/>
    </row>
    <row r="264" customFormat="false" ht="15" hidden="false" customHeight="false" outlineLevel="0" collapsed="false">
      <c r="A264" s="17" t="str">
        <f aca="false">IF(Policy!A264="","",Policy!A264)</f>
        <v/>
      </c>
      <c r="B264" s="17" t="str">
        <f aca="false">IF(Policy!A264="","",Policy!B264)</f>
        <v/>
      </c>
      <c r="C264" s="17" t="str">
        <f aca="false">IF(Policy!A264="","",Policy!E264)</f>
        <v/>
      </c>
      <c r="D264" s="17" t="str">
        <f aca="false">IF(Policy!A264="","",Policy!G264)</f>
        <v/>
      </c>
      <c r="E264" s="17" t="str">
        <f aca="false">IF(Policy!A264="","",Policy!H264)</f>
        <v/>
      </c>
      <c r="F264" s="22" t="str">
        <f aca="false">IF(Policy!A264="","",Risk!D264)</f>
        <v/>
      </c>
      <c r="G264" s="23"/>
      <c r="H264" s="24" t="str">
        <f aca="false">IF(A264="","",G264*(1-M264/100))</f>
        <v/>
      </c>
      <c r="I264" s="24" t="str">
        <f aca="false">IF(A264="","",G264*F264/100)</f>
        <v/>
      </c>
      <c r="J264" s="24" t="str">
        <f aca="false">IF(A264="","",I264*(1-M264/100))</f>
        <v/>
      </c>
      <c r="K264" s="25"/>
      <c r="L264" s="25"/>
      <c r="M264" s="26" t="str">
        <f aca="false">IF(A264="","",K264+L264)</f>
        <v/>
      </c>
      <c r="N264" s="25"/>
      <c r="O264" s="23"/>
      <c r="P264" s="23"/>
      <c r="Q264" s="24" t="str">
        <f aca="false">IF(A264="","",J264*(1-N264/100)-O264-P264)</f>
        <v/>
      </c>
      <c r="R264" s="25"/>
      <c r="S264" s="17" t="str">
        <f aca="false">IF(Policy!A264="","",Policy!U264)</f>
        <v/>
      </c>
      <c r="T264" s="17" t="str">
        <f aca="false">IF(OR(A264="",Policy!L264=""),"",MONTH(Policy!L264))</f>
        <v/>
      </c>
      <c r="U264" s="17" t="str">
        <f aca="false">IF(OR(A264="",Policy!L264=""),"",YEAR(Policy!L264))</f>
        <v/>
      </c>
      <c r="V264" s="17" t="str">
        <f aca="false">IF(Policy!A264="","",Policy!J264)</f>
        <v/>
      </c>
      <c r="W264" s="14"/>
    </row>
    <row r="265" customFormat="false" ht="15" hidden="false" customHeight="false" outlineLevel="0" collapsed="false">
      <c r="A265" s="17" t="str">
        <f aca="false">IF(Policy!A265="","",Policy!A265)</f>
        <v/>
      </c>
      <c r="B265" s="17" t="str">
        <f aca="false">IF(Policy!A265="","",Policy!B265)</f>
        <v/>
      </c>
      <c r="C265" s="17" t="str">
        <f aca="false">IF(Policy!A265="","",Policy!E265)</f>
        <v/>
      </c>
      <c r="D265" s="17" t="str">
        <f aca="false">IF(Policy!A265="","",Policy!G265)</f>
        <v/>
      </c>
      <c r="E265" s="17" t="str">
        <f aca="false">IF(Policy!A265="","",Policy!H265)</f>
        <v/>
      </c>
      <c r="F265" s="22" t="str">
        <f aca="false">IF(Policy!A265="","",Risk!D265)</f>
        <v/>
      </c>
      <c r="G265" s="23"/>
      <c r="H265" s="24" t="str">
        <f aca="false">IF(A265="","",G265*(1-M265/100))</f>
        <v/>
      </c>
      <c r="I265" s="24" t="str">
        <f aca="false">IF(A265="","",G265*F265/100)</f>
        <v/>
      </c>
      <c r="J265" s="24" t="str">
        <f aca="false">IF(A265="","",I265*(1-M265/100))</f>
        <v/>
      </c>
      <c r="K265" s="25"/>
      <c r="L265" s="25"/>
      <c r="M265" s="26" t="str">
        <f aca="false">IF(A265="","",K265+L265)</f>
        <v/>
      </c>
      <c r="N265" s="25"/>
      <c r="O265" s="23"/>
      <c r="P265" s="23"/>
      <c r="Q265" s="24" t="str">
        <f aca="false">IF(A265="","",J265*(1-N265/100)-O265-P265)</f>
        <v/>
      </c>
      <c r="R265" s="25"/>
      <c r="S265" s="17" t="str">
        <f aca="false">IF(Policy!A265="","",Policy!U265)</f>
        <v/>
      </c>
      <c r="T265" s="17" t="str">
        <f aca="false">IF(OR(A265="",Policy!L265=""),"",MONTH(Policy!L265))</f>
        <v/>
      </c>
      <c r="U265" s="17" t="str">
        <f aca="false">IF(OR(A265="",Policy!L265=""),"",YEAR(Policy!L265))</f>
        <v/>
      </c>
      <c r="V265" s="17" t="str">
        <f aca="false">IF(Policy!A265="","",Policy!J265)</f>
        <v/>
      </c>
      <c r="W265" s="14"/>
    </row>
    <row r="266" customFormat="false" ht="15" hidden="false" customHeight="false" outlineLevel="0" collapsed="false">
      <c r="A266" s="17" t="str">
        <f aca="false">IF(Policy!A266="","",Policy!A266)</f>
        <v/>
      </c>
      <c r="B266" s="17" t="str">
        <f aca="false">IF(Policy!A266="","",Policy!B266)</f>
        <v/>
      </c>
      <c r="C266" s="17" t="str">
        <f aca="false">IF(Policy!A266="","",Policy!E266)</f>
        <v/>
      </c>
      <c r="D266" s="17" t="str">
        <f aca="false">IF(Policy!A266="","",Policy!G266)</f>
        <v/>
      </c>
      <c r="E266" s="17" t="str">
        <f aca="false">IF(Policy!A266="","",Policy!H266)</f>
        <v/>
      </c>
      <c r="F266" s="22" t="str">
        <f aca="false">IF(Policy!A266="","",Risk!D266)</f>
        <v/>
      </c>
      <c r="G266" s="23"/>
      <c r="H266" s="24" t="str">
        <f aca="false">IF(A266="","",G266*(1-M266/100))</f>
        <v/>
      </c>
      <c r="I266" s="24" t="str">
        <f aca="false">IF(A266="","",G266*F266/100)</f>
        <v/>
      </c>
      <c r="J266" s="24" t="str">
        <f aca="false">IF(A266="","",I266*(1-M266/100))</f>
        <v/>
      </c>
      <c r="K266" s="25"/>
      <c r="L266" s="25"/>
      <c r="M266" s="26" t="str">
        <f aca="false">IF(A266="","",K266+L266)</f>
        <v/>
      </c>
      <c r="N266" s="25"/>
      <c r="O266" s="23"/>
      <c r="P266" s="23"/>
      <c r="Q266" s="24" t="str">
        <f aca="false">IF(A266="","",J266*(1-N266/100)-O266-P266)</f>
        <v/>
      </c>
      <c r="R266" s="25"/>
      <c r="S266" s="17" t="str">
        <f aca="false">IF(Policy!A266="","",Policy!U266)</f>
        <v/>
      </c>
      <c r="T266" s="17" t="str">
        <f aca="false">IF(OR(A266="",Policy!L266=""),"",MONTH(Policy!L266))</f>
        <v/>
      </c>
      <c r="U266" s="17" t="str">
        <f aca="false">IF(OR(A266="",Policy!L266=""),"",YEAR(Policy!L266))</f>
        <v/>
      </c>
      <c r="V266" s="17" t="str">
        <f aca="false">IF(Policy!A266="","",Policy!J266)</f>
        <v/>
      </c>
      <c r="W266" s="14"/>
    </row>
    <row r="267" customFormat="false" ht="15" hidden="false" customHeight="false" outlineLevel="0" collapsed="false">
      <c r="A267" s="17" t="str">
        <f aca="false">IF(Policy!A267="","",Policy!A267)</f>
        <v/>
      </c>
      <c r="B267" s="17" t="str">
        <f aca="false">IF(Policy!A267="","",Policy!B267)</f>
        <v/>
      </c>
      <c r="C267" s="17" t="str">
        <f aca="false">IF(Policy!A267="","",Policy!E267)</f>
        <v/>
      </c>
      <c r="D267" s="17" t="str">
        <f aca="false">IF(Policy!A267="","",Policy!G267)</f>
        <v/>
      </c>
      <c r="E267" s="17" t="str">
        <f aca="false">IF(Policy!A267="","",Policy!H267)</f>
        <v/>
      </c>
      <c r="F267" s="22" t="str">
        <f aca="false">IF(Policy!A267="","",Risk!D267)</f>
        <v/>
      </c>
      <c r="G267" s="23"/>
      <c r="H267" s="24" t="str">
        <f aca="false">IF(A267="","",G267*(1-M267/100))</f>
        <v/>
      </c>
      <c r="I267" s="24" t="str">
        <f aca="false">IF(A267="","",G267*F267/100)</f>
        <v/>
      </c>
      <c r="J267" s="24" t="str">
        <f aca="false">IF(A267="","",I267*(1-M267/100))</f>
        <v/>
      </c>
      <c r="K267" s="25"/>
      <c r="L267" s="25"/>
      <c r="M267" s="26" t="str">
        <f aca="false">IF(A267="","",K267+L267)</f>
        <v/>
      </c>
      <c r="N267" s="25"/>
      <c r="O267" s="23"/>
      <c r="P267" s="23"/>
      <c r="Q267" s="24" t="str">
        <f aca="false">IF(A267="","",J267*(1-N267/100)-O267-P267)</f>
        <v/>
      </c>
      <c r="R267" s="25"/>
      <c r="S267" s="17" t="str">
        <f aca="false">IF(Policy!A267="","",Policy!U267)</f>
        <v/>
      </c>
      <c r="T267" s="17" t="str">
        <f aca="false">IF(OR(A267="",Policy!L267=""),"",MONTH(Policy!L267))</f>
        <v/>
      </c>
      <c r="U267" s="17" t="str">
        <f aca="false">IF(OR(A267="",Policy!L267=""),"",YEAR(Policy!L267))</f>
        <v/>
      </c>
      <c r="V267" s="17" t="str">
        <f aca="false">IF(Policy!A267="","",Policy!J267)</f>
        <v/>
      </c>
      <c r="W267" s="14"/>
    </row>
    <row r="268" customFormat="false" ht="15" hidden="false" customHeight="false" outlineLevel="0" collapsed="false">
      <c r="A268" s="17" t="str">
        <f aca="false">IF(Policy!A268="","",Policy!A268)</f>
        <v/>
      </c>
      <c r="B268" s="17" t="str">
        <f aca="false">IF(Policy!A268="","",Policy!B268)</f>
        <v/>
      </c>
      <c r="C268" s="17" t="str">
        <f aca="false">IF(Policy!A268="","",Policy!E268)</f>
        <v/>
      </c>
      <c r="D268" s="17" t="str">
        <f aca="false">IF(Policy!A268="","",Policy!G268)</f>
        <v/>
      </c>
      <c r="E268" s="17" t="str">
        <f aca="false">IF(Policy!A268="","",Policy!H268)</f>
        <v/>
      </c>
      <c r="F268" s="22" t="str">
        <f aca="false">IF(Policy!A268="","",Risk!D268)</f>
        <v/>
      </c>
      <c r="G268" s="23"/>
      <c r="H268" s="24" t="str">
        <f aca="false">IF(A268="","",G268*(1-M268/100))</f>
        <v/>
      </c>
      <c r="I268" s="24" t="str">
        <f aca="false">IF(A268="","",G268*F268/100)</f>
        <v/>
      </c>
      <c r="J268" s="24" t="str">
        <f aca="false">IF(A268="","",I268*(1-M268/100))</f>
        <v/>
      </c>
      <c r="K268" s="25"/>
      <c r="L268" s="25"/>
      <c r="M268" s="26" t="str">
        <f aca="false">IF(A268="","",K268+L268)</f>
        <v/>
      </c>
      <c r="N268" s="25"/>
      <c r="O268" s="23"/>
      <c r="P268" s="23"/>
      <c r="Q268" s="24" t="str">
        <f aca="false">IF(A268="","",J268*(1-N268/100)-O268-P268)</f>
        <v/>
      </c>
      <c r="R268" s="25"/>
      <c r="S268" s="17" t="str">
        <f aca="false">IF(Policy!A268="","",Policy!U268)</f>
        <v/>
      </c>
      <c r="T268" s="17" t="str">
        <f aca="false">IF(OR(A268="",Policy!L268=""),"",MONTH(Policy!L268))</f>
        <v/>
      </c>
      <c r="U268" s="17" t="str">
        <f aca="false">IF(OR(A268="",Policy!L268=""),"",YEAR(Policy!L268))</f>
        <v/>
      </c>
      <c r="V268" s="17" t="str">
        <f aca="false">IF(Policy!A268="","",Policy!J268)</f>
        <v/>
      </c>
      <c r="W268" s="14"/>
    </row>
    <row r="269" customFormat="false" ht="15" hidden="false" customHeight="false" outlineLevel="0" collapsed="false">
      <c r="A269" s="17" t="str">
        <f aca="false">IF(Policy!A269="","",Policy!A269)</f>
        <v/>
      </c>
      <c r="B269" s="17" t="str">
        <f aca="false">IF(Policy!A269="","",Policy!B269)</f>
        <v/>
      </c>
      <c r="C269" s="17" t="str">
        <f aca="false">IF(Policy!A269="","",Policy!E269)</f>
        <v/>
      </c>
      <c r="D269" s="17" t="str">
        <f aca="false">IF(Policy!A269="","",Policy!G269)</f>
        <v/>
      </c>
      <c r="E269" s="17" t="str">
        <f aca="false">IF(Policy!A269="","",Policy!H269)</f>
        <v/>
      </c>
      <c r="F269" s="22" t="str">
        <f aca="false">IF(Policy!A269="","",Risk!D269)</f>
        <v/>
      </c>
      <c r="G269" s="23"/>
      <c r="H269" s="24" t="str">
        <f aca="false">IF(A269="","",G269*(1-M269/100))</f>
        <v/>
      </c>
      <c r="I269" s="24" t="str">
        <f aca="false">IF(A269="","",G269*F269/100)</f>
        <v/>
      </c>
      <c r="J269" s="24" t="str">
        <f aca="false">IF(A269="","",I269*(1-M269/100))</f>
        <v/>
      </c>
      <c r="K269" s="25"/>
      <c r="L269" s="25"/>
      <c r="M269" s="26" t="str">
        <f aca="false">IF(A269="","",K269+L269)</f>
        <v/>
      </c>
      <c r="N269" s="25"/>
      <c r="O269" s="23"/>
      <c r="P269" s="23"/>
      <c r="Q269" s="24" t="str">
        <f aca="false">IF(A269="","",J269*(1-N269/100)-O269-P269)</f>
        <v/>
      </c>
      <c r="R269" s="25"/>
      <c r="S269" s="17" t="str">
        <f aca="false">IF(Policy!A269="","",Policy!U269)</f>
        <v/>
      </c>
      <c r="T269" s="17" t="str">
        <f aca="false">IF(OR(A269="",Policy!L269=""),"",MONTH(Policy!L269))</f>
        <v/>
      </c>
      <c r="U269" s="17" t="str">
        <f aca="false">IF(OR(A269="",Policy!L269=""),"",YEAR(Policy!L269))</f>
        <v/>
      </c>
      <c r="V269" s="17" t="str">
        <f aca="false">IF(Policy!A269="","",Policy!J269)</f>
        <v/>
      </c>
      <c r="W269" s="14"/>
    </row>
    <row r="270" customFormat="false" ht="15" hidden="false" customHeight="false" outlineLevel="0" collapsed="false">
      <c r="A270" s="17" t="str">
        <f aca="false">IF(Policy!A270="","",Policy!A270)</f>
        <v/>
      </c>
      <c r="B270" s="17" t="str">
        <f aca="false">IF(Policy!A270="","",Policy!B270)</f>
        <v/>
      </c>
      <c r="C270" s="17" t="str">
        <f aca="false">IF(Policy!A270="","",Policy!E270)</f>
        <v/>
      </c>
      <c r="D270" s="17" t="str">
        <f aca="false">IF(Policy!A270="","",Policy!G270)</f>
        <v/>
      </c>
      <c r="E270" s="17" t="str">
        <f aca="false">IF(Policy!A270="","",Policy!H270)</f>
        <v/>
      </c>
      <c r="F270" s="22" t="str">
        <f aca="false">IF(Policy!A270="","",Risk!D270)</f>
        <v/>
      </c>
      <c r="G270" s="23"/>
      <c r="H270" s="24" t="str">
        <f aca="false">IF(A270="","",G270*(1-M270/100))</f>
        <v/>
      </c>
      <c r="I270" s="24" t="str">
        <f aca="false">IF(A270="","",G270*F270/100)</f>
        <v/>
      </c>
      <c r="J270" s="24" t="str">
        <f aca="false">IF(A270="","",I270*(1-M270/100))</f>
        <v/>
      </c>
      <c r="K270" s="25"/>
      <c r="L270" s="25"/>
      <c r="M270" s="26" t="str">
        <f aca="false">IF(A270="","",K270+L270)</f>
        <v/>
      </c>
      <c r="N270" s="25"/>
      <c r="O270" s="23"/>
      <c r="P270" s="23"/>
      <c r="Q270" s="24" t="str">
        <f aca="false">IF(A270="","",J270*(1-N270/100)-O270-P270)</f>
        <v/>
      </c>
      <c r="R270" s="25"/>
      <c r="S270" s="17" t="str">
        <f aca="false">IF(Policy!A270="","",Policy!U270)</f>
        <v/>
      </c>
      <c r="T270" s="17" t="str">
        <f aca="false">IF(OR(A270="",Policy!L270=""),"",MONTH(Policy!L270))</f>
        <v/>
      </c>
      <c r="U270" s="17" t="str">
        <f aca="false">IF(OR(A270="",Policy!L270=""),"",YEAR(Policy!L270))</f>
        <v/>
      </c>
      <c r="V270" s="17" t="str">
        <f aca="false">IF(Policy!A270="","",Policy!J270)</f>
        <v/>
      </c>
      <c r="W270" s="14"/>
    </row>
    <row r="271" customFormat="false" ht="15" hidden="false" customHeight="false" outlineLevel="0" collapsed="false">
      <c r="A271" s="17" t="str">
        <f aca="false">IF(Policy!A271="","",Policy!A271)</f>
        <v/>
      </c>
      <c r="B271" s="17" t="str">
        <f aca="false">IF(Policy!A271="","",Policy!B271)</f>
        <v/>
      </c>
      <c r="C271" s="17" t="str">
        <f aca="false">IF(Policy!A271="","",Policy!E271)</f>
        <v/>
      </c>
      <c r="D271" s="17" t="str">
        <f aca="false">IF(Policy!A271="","",Policy!G271)</f>
        <v/>
      </c>
      <c r="E271" s="17" t="str">
        <f aca="false">IF(Policy!A271="","",Policy!H271)</f>
        <v/>
      </c>
      <c r="F271" s="22" t="str">
        <f aca="false">IF(Policy!A271="","",Risk!D271)</f>
        <v/>
      </c>
      <c r="G271" s="23"/>
      <c r="H271" s="24" t="str">
        <f aca="false">IF(A271="","",G271*(1-M271/100))</f>
        <v/>
      </c>
      <c r="I271" s="24" t="str">
        <f aca="false">IF(A271="","",G271*F271/100)</f>
        <v/>
      </c>
      <c r="J271" s="24" t="str">
        <f aca="false">IF(A271="","",I271*(1-M271/100))</f>
        <v/>
      </c>
      <c r="K271" s="25"/>
      <c r="L271" s="25"/>
      <c r="M271" s="26" t="str">
        <f aca="false">IF(A271="","",K271+L271)</f>
        <v/>
      </c>
      <c r="N271" s="25"/>
      <c r="O271" s="23"/>
      <c r="P271" s="23"/>
      <c r="Q271" s="24" t="str">
        <f aca="false">IF(A271="","",J271*(1-N271/100)-O271-P271)</f>
        <v/>
      </c>
      <c r="R271" s="25"/>
      <c r="S271" s="17" t="str">
        <f aca="false">IF(Policy!A271="","",Policy!U271)</f>
        <v/>
      </c>
      <c r="T271" s="17" t="str">
        <f aca="false">IF(OR(A271="",Policy!L271=""),"",MONTH(Policy!L271))</f>
        <v/>
      </c>
      <c r="U271" s="17" t="str">
        <f aca="false">IF(OR(A271="",Policy!L271=""),"",YEAR(Policy!L271))</f>
        <v/>
      </c>
      <c r="V271" s="17" t="str">
        <f aca="false">IF(Policy!A271="","",Policy!J271)</f>
        <v/>
      </c>
      <c r="W271" s="14"/>
    </row>
    <row r="272" customFormat="false" ht="15" hidden="false" customHeight="false" outlineLevel="0" collapsed="false">
      <c r="A272" s="17" t="str">
        <f aca="false">IF(Policy!A272="","",Policy!A272)</f>
        <v/>
      </c>
      <c r="B272" s="17" t="str">
        <f aca="false">IF(Policy!A272="","",Policy!B272)</f>
        <v/>
      </c>
      <c r="C272" s="17" t="str">
        <f aca="false">IF(Policy!A272="","",Policy!E272)</f>
        <v/>
      </c>
      <c r="D272" s="17" t="str">
        <f aca="false">IF(Policy!A272="","",Policy!G272)</f>
        <v/>
      </c>
      <c r="E272" s="17" t="str">
        <f aca="false">IF(Policy!A272="","",Policy!H272)</f>
        <v/>
      </c>
      <c r="F272" s="22" t="str">
        <f aca="false">IF(Policy!A272="","",Risk!D272)</f>
        <v/>
      </c>
      <c r="G272" s="23"/>
      <c r="H272" s="24" t="str">
        <f aca="false">IF(A272="","",G272*(1-M272/100))</f>
        <v/>
      </c>
      <c r="I272" s="24" t="str">
        <f aca="false">IF(A272="","",G272*F272/100)</f>
        <v/>
      </c>
      <c r="J272" s="24" t="str">
        <f aca="false">IF(A272="","",I272*(1-M272/100))</f>
        <v/>
      </c>
      <c r="K272" s="25"/>
      <c r="L272" s="25"/>
      <c r="M272" s="26" t="str">
        <f aca="false">IF(A272="","",K272+L272)</f>
        <v/>
      </c>
      <c r="N272" s="25"/>
      <c r="O272" s="23"/>
      <c r="P272" s="23"/>
      <c r="Q272" s="24" t="str">
        <f aca="false">IF(A272="","",J272*(1-N272/100)-O272-P272)</f>
        <v/>
      </c>
      <c r="R272" s="25"/>
      <c r="S272" s="17" t="str">
        <f aca="false">IF(Policy!A272="","",Policy!U272)</f>
        <v/>
      </c>
      <c r="T272" s="17" t="str">
        <f aca="false">IF(OR(A272="",Policy!L272=""),"",MONTH(Policy!L272))</f>
        <v/>
      </c>
      <c r="U272" s="17" t="str">
        <f aca="false">IF(OR(A272="",Policy!L272=""),"",YEAR(Policy!L272))</f>
        <v/>
      </c>
      <c r="V272" s="17" t="str">
        <f aca="false">IF(Policy!A272="","",Policy!J272)</f>
        <v/>
      </c>
      <c r="W272" s="14"/>
    </row>
    <row r="273" customFormat="false" ht="15" hidden="false" customHeight="false" outlineLevel="0" collapsed="false">
      <c r="A273" s="17" t="str">
        <f aca="false">IF(Policy!A273="","",Policy!A273)</f>
        <v/>
      </c>
      <c r="B273" s="17" t="str">
        <f aca="false">IF(Policy!A273="","",Policy!B273)</f>
        <v/>
      </c>
      <c r="C273" s="17" t="str">
        <f aca="false">IF(Policy!A273="","",Policy!E273)</f>
        <v/>
      </c>
      <c r="D273" s="17" t="str">
        <f aca="false">IF(Policy!A273="","",Policy!G273)</f>
        <v/>
      </c>
      <c r="E273" s="17" t="str">
        <f aca="false">IF(Policy!A273="","",Policy!H273)</f>
        <v/>
      </c>
      <c r="F273" s="22" t="str">
        <f aca="false">IF(Policy!A273="","",Risk!D273)</f>
        <v/>
      </c>
      <c r="G273" s="23"/>
      <c r="H273" s="24" t="str">
        <f aca="false">IF(A273="","",G273*(1-M273/100))</f>
        <v/>
      </c>
      <c r="I273" s="24" t="str">
        <f aca="false">IF(A273="","",G273*F273/100)</f>
        <v/>
      </c>
      <c r="J273" s="24" t="str">
        <f aca="false">IF(A273="","",I273*(1-M273/100))</f>
        <v/>
      </c>
      <c r="K273" s="25"/>
      <c r="L273" s="25"/>
      <c r="M273" s="26" t="str">
        <f aca="false">IF(A273="","",K273+L273)</f>
        <v/>
      </c>
      <c r="N273" s="25"/>
      <c r="O273" s="23"/>
      <c r="P273" s="23"/>
      <c r="Q273" s="24" t="str">
        <f aca="false">IF(A273="","",J273*(1-N273/100)-O273-P273)</f>
        <v/>
      </c>
      <c r="R273" s="25"/>
      <c r="S273" s="17" t="str">
        <f aca="false">IF(Policy!A273="","",Policy!U273)</f>
        <v/>
      </c>
      <c r="T273" s="17" t="str">
        <f aca="false">IF(OR(A273="",Policy!L273=""),"",MONTH(Policy!L273))</f>
        <v/>
      </c>
      <c r="U273" s="17" t="str">
        <f aca="false">IF(OR(A273="",Policy!L273=""),"",YEAR(Policy!L273))</f>
        <v/>
      </c>
      <c r="V273" s="17" t="str">
        <f aca="false">IF(Policy!A273="","",Policy!J273)</f>
        <v/>
      </c>
      <c r="W273" s="14"/>
    </row>
    <row r="274" customFormat="false" ht="15" hidden="false" customHeight="false" outlineLevel="0" collapsed="false">
      <c r="A274" s="17" t="str">
        <f aca="false">IF(Policy!A274="","",Policy!A274)</f>
        <v/>
      </c>
      <c r="B274" s="17" t="str">
        <f aca="false">IF(Policy!A274="","",Policy!B274)</f>
        <v/>
      </c>
      <c r="C274" s="17" t="str">
        <f aca="false">IF(Policy!A274="","",Policy!E274)</f>
        <v/>
      </c>
      <c r="D274" s="17" t="str">
        <f aca="false">IF(Policy!A274="","",Policy!G274)</f>
        <v/>
      </c>
      <c r="E274" s="17" t="str">
        <f aca="false">IF(Policy!A274="","",Policy!H274)</f>
        <v/>
      </c>
      <c r="F274" s="22" t="str">
        <f aca="false">IF(Policy!A274="","",Risk!D274)</f>
        <v/>
      </c>
      <c r="G274" s="23"/>
      <c r="H274" s="24" t="str">
        <f aca="false">IF(A274="","",G274*(1-M274/100))</f>
        <v/>
      </c>
      <c r="I274" s="24" t="str">
        <f aca="false">IF(A274="","",G274*F274/100)</f>
        <v/>
      </c>
      <c r="J274" s="24" t="str">
        <f aca="false">IF(A274="","",I274*(1-M274/100))</f>
        <v/>
      </c>
      <c r="K274" s="25"/>
      <c r="L274" s="25"/>
      <c r="M274" s="26" t="str">
        <f aca="false">IF(A274="","",K274+L274)</f>
        <v/>
      </c>
      <c r="N274" s="25"/>
      <c r="O274" s="23"/>
      <c r="P274" s="23"/>
      <c r="Q274" s="24" t="str">
        <f aca="false">IF(A274="","",J274*(1-N274/100)-O274-P274)</f>
        <v/>
      </c>
      <c r="R274" s="25"/>
      <c r="S274" s="17" t="str">
        <f aca="false">IF(Policy!A274="","",Policy!U274)</f>
        <v/>
      </c>
      <c r="T274" s="17" t="str">
        <f aca="false">IF(OR(A274="",Policy!L274=""),"",MONTH(Policy!L274))</f>
        <v/>
      </c>
      <c r="U274" s="17" t="str">
        <f aca="false">IF(OR(A274="",Policy!L274=""),"",YEAR(Policy!L274))</f>
        <v/>
      </c>
      <c r="V274" s="17" t="str">
        <f aca="false">IF(Policy!A274="","",Policy!J274)</f>
        <v/>
      </c>
      <c r="W274" s="14"/>
    </row>
    <row r="275" customFormat="false" ht="15" hidden="false" customHeight="false" outlineLevel="0" collapsed="false">
      <c r="A275" s="17" t="str">
        <f aca="false">IF(Policy!A275="","",Policy!A275)</f>
        <v/>
      </c>
      <c r="B275" s="17" t="str">
        <f aca="false">IF(Policy!A275="","",Policy!B275)</f>
        <v/>
      </c>
      <c r="C275" s="17" t="str">
        <f aca="false">IF(Policy!A275="","",Policy!E275)</f>
        <v/>
      </c>
      <c r="D275" s="17" t="str">
        <f aca="false">IF(Policy!A275="","",Policy!G275)</f>
        <v/>
      </c>
      <c r="E275" s="17" t="str">
        <f aca="false">IF(Policy!A275="","",Policy!H275)</f>
        <v/>
      </c>
      <c r="F275" s="22" t="str">
        <f aca="false">IF(Policy!A275="","",Risk!D275)</f>
        <v/>
      </c>
      <c r="G275" s="23"/>
      <c r="H275" s="24" t="str">
        <f aca="false">IF(A275="","",G275*(1-M275/100))</f>
        <v/>
      </c>
      <c r="I275" s="24" t="str">
        <f aca="false">IF(A275="","",G275*F275/100)</f>
        <v/>
      </c>
      <c r="J275" s="24" t="str">
        <f aca="false">IF(A275="","",I275*(1-M275/100))</f>
        <v/>
      </c>
      <c r="K275" s="25"/>
      <c r="L275" s="25"/>
      <c r="M275" s="26" t="str">
        <f aca="false">IF(A275="","",K275+L275)</f>
        <v/>
      </c>
      <c r="N275" s="25"/>
      <c r="O275" s="23"/>
      <c r="P275" s="23"/>
      <c r="Q275" s="24" t="str">
        <f aca="false">IF(A275="","",J275*(1-N275/100)-O275-P275)</f>
        <v/>
      </c>
      <c r="R275" s="25"/>
      <c r="S275" s="17" t="str">
        <f aca="false">IF(Policy!A275="","",Policy!U275)</f>
        <v/>
      </c>
      <c r="T275" s="17" t="str">
        <f aca="false">IF(OR(A275="",Policy!L275=""),"",MONTH(Policy!L275))</f>
        <v/>
      </c>
      <c r="U275" s="17" t="str">
        <f aca="false">IF(OR(A275="",Policy!L275=""),"",YEAR(Policy!L275))</f>
        <v/>
      </c>
      <c r="V275" s="17" t="str">
        <f aca="false">IF(Policy!A275="","",Policy!J275)</f>
        <v/>
      </c>
      <c r="W275" s="14"/>
    </row>
    <row r="276" customFormat="false" ht="15" hidden="false" customHeight="false" outlineLevel="0" collapsed="false">
      <c r="A276" s="17" t="str">
        <f aca="false">IF(Policy!A276="","",Policy!A276)</f>
        <v/>
      </c>
      <c r="B276" s="17" t="str">
        <f aca="false">IF(Policy!A276="","",Policy!B276)</f>
        <v/>
      </c>
      <c r="C276" s="17" t="str">
        <f aca="false">IF(Policy!A276="","",Policy!E276)</f>
        <v/>
      </c>
      <c r="D276" s="17" t="str">
        <f aca="false">IF(Policy!A276="","",Policy!G276)</f>
        <v/>
      </c>
      <c r="E276" s="17" t="str">
        <f aca="false">IF(Policy!A276="","",Policy!H276)</f>
        <v/>
      </c>
      <c r="F276" s="22" t="str">
        <f aca="false">IF(Policy!A276="","",Risk!D276)</f>
        <v/>
      </c>
      <c r="G276" s="23"/>
      <c r="H276" s="24" t="str">
        <f aca="false">IF(A276="","",G276*(1-M276/100))</f>
        <v/>
      </c>
      <c r="I276" s="24" t="str">
        <f aca="false">IF(A276="","",G276*F276/100)</f>
        <v/>
      </c>
      <c r="J276" s="24" t="str">
        <f aca="false">IF(A276="","",I276*(1-M276/100))</f>
        <v/>
      </c>
      <c r="K276" s="25"/>
      <c r="L276" s="25"/>
      <c r="M276" s="26" t="str">
        <f aca="false">IF(A276="","",K276+L276)</f>
        <v/>
      </c>
      <c r="N276" s="25"/>
      <c r="O276" s="23"/>
      <c r="P276" s="23"/>
      <c r="Q276" s="24" t="str">
        <f aca="false">IF(A276="","",J276*(1-N276/100)-O276-P276)</f>
        <v/>
      </c>
      <c r="R276" s="25"/>
      <c r="S276" s="17" t="str">
        <f aca="false">IF(Policy!A276="","",Policy!U276)</f>
        <v/>
      </c>
      <c r="T276" s="17" t="str">
        <f aca="false">IF(OR(A276="",Policy!L276=""),"",MONTH(Policy!L276))</f>
        <v/>
      </c>
      <c r="U276" s="17" t="str">
        <f aca="false">IF(OR(A276="",Policy!L276=""),"",YEAR(Policy!L276))</f>
        <v/>
      </c>
      <c r="V276" s="17" t="str">
        <f aca="false">IF(Policy!A276="","",Policy!J276)</f>
        <v/>
      </c>
      <c r="W276" s="14"/>
    </row>
    <row r="277" customFormat="false" ht="15" hidden="false" customHeight="false" outlineLevel="0" collapsed="false">
      <c r="A277" s="17" t="str">
        <f aca="false">IF(Policy!A277="","",Policy!A277)</f>
        <v/>
      </c>
      <c r="B277" s="17" t="str">
        <f aca="false">IF(Policy!A277="","",Policy!B277)</f>
        <v/>
      </c>
      <c r="C277" s="17" t="str">
        <f aca="false">IF(Policy!A277="","",Policy!E277)</f>
        <v/>
      </c>
      <c r="D277" s="17" t="str">
        <f aca="false">IF(Policy!A277="","",Policy!G277)</f>
        <v/>
      </c>
      <c r="E277" s="17" t="str">
        <f aca="false">IF(Policy!A277="","",Policy!H277)</f>
        <v/>
      </c>
      <c r="F277" s="22" t="str">
        <f aca="false">IF(Policy!A277="","",Risk!D277)</f>
        <v/>
      </c>
      <c r="G277" s="23"/>
      <c r="H277" s="24" t="str">
        <f aca="false">IF(A277="","",G277*(1-M277/100))</f>
        <v/>
      </c>
      <c r="I277" s="24" t="str">
        <f aca="false">IF(A277="","",G277*F277/100)</f>
        <v/>
      </c>
      <c r="J277" s="24" t="str">
        <f aca="false">IF(A277="","",I277*(1-M277/100))</f>
        <v/>
      </c>
      <c r="K277" s="25"/>
      <c r="L277" s="25"/>
      <c r="M277" s="26" t="str">
        <f aca="false">IF(A277="","",K277+L277)</f>
        <v/>
      </c>
      <c r="N277" s="25"/>
      <c r="O277" s="23"/>
      <c r="P277" s="23"/>
      <c r="Q277" s="24" t="str">
        <f aca="false">IF(A277="","",J277*(1-N277/100)-O277-P277)</f>
        <v/>
      </c>
      <c r="R277" s="25"/>
      <c r="S277" s="17" t="str">
        <f aca="false">IF(Policy!A277="","",Policy!U277)</f>
        <v/>
      </c>
      <c r="T277" s="17" t="str">
        <f aca="false">IF(OR(A277="",Policy!L277=""),"",MONTH(Policy!L277))</f>
        <v/>
      </c>
      <c r="U277" s="17" t="str">
        <f aca="false">IF(OR(A277="",Policy!L277=""),"",YEAR(Policy!L277))</f>
        <v/>
      </c>
      <c r="V277" s="17" t="str">
        <f aca="false">IF(Policy!A277="","",Policy!J277)</f>
        <v/>
      </c>
      <c r="W277" s="14"/>
    </row>
    <row r="278" customFormat="false" ht="15" hidden="false" customHeight="false" outlineLevel="0" collapsed="false">
      <c r="A278" s="17" t="str">
        <f aca="false">IF(Policy!A278="","",Policy!A278)</f>
        <v/>
      </c>
      <c r="B278" s="17" t="str">
        <f aca="false">IF(Policy!A278="","",Policy!B278)</f>
        <v/>
      </c>
      <c r="C278" s="17" t="str">
        <f aca="false">IF(Policy!A278="","",Policy!E278)</f>
        <v/>
      </c>
      <c r="D278" s="17" t="str">
        <f aca="false">IF(Policy!A278="","",Policy!G278)</f>
        <v/>
      </c>
      <c r="E278" s="17" t="str">
        <f aca="false">IF(Policy!A278="","",Policy!H278)</f>
        <v/>
      </c>
      <c r="F278" s="22" t="str">
        <f aca="false">IF(Policy!A278="","",Risk!D278)</f>
        <v/>
      </c>
      <c r="G278" s="23"/>
      <c r="H278" s="24" t="str">
        <f aca="false">IF(A278="","",G278*(1-M278/100))</f>
        <v/>
      </c>
      <c r="I278" s="24" t="str">
        <f aca="false">IF(A278="","",G278*F278/100)</f>
        <v/>
      </c>
      <c r="J278" s="24" t="str">
        <f aca="false">IF(A278="","",I278*(1-M278/100))</f>
        <v/>
      </c>
      <c r="K278" s="25"/>
      <c r="L278" s="25"/>
      <c r="M278" s="26" t="str">
        <f aca="false">IF(A278="","",K278+L278)</f>
        <v/>
      </c>
      <c r="N278" s="25"/>
      <c r="O278" s="23"/>
      <c r="P278" s="23"/>
      <c r="Q278" s="24" t="str">
        <f aca="false">IF(A278="","",J278*(1-N278/100)-O278-P278)</f>
        <v/>
      </c>
      <c r="R278" s="25"/>
      <c r="S278" s="17" t="str">
        <f aca="false">IF(Policy!A278="","",Policy!U278)</f>
        <v/>
      </c>
      <c r="T278" s="17" t="str">
        <f aca="false">IF(OR(A278="",Policy!L278=""),"",MONTH(Policy!L278))</f>
        <v/>
      </c>
      <c r="U278" s="17" t="str">
        <f aca="false">IF(OR(A278="",Policy!L278=""),"",YEAR(Policy!L278))</f>
        <v/>
      </c>
      <c r="V278" s="17" t="str">
        <f aca="false">IF(Policy!A278="","",Policy!J278)</f>
        <v/>
      </c>
      <c r="W278" s="14"/>
    </row>
    <row r="279" customFormat="false" ht="15" hidden="false" customHeight="false" outlineLevel="0" collapsed="false">
      <c r="A279" s="17" t="str">
        <f aca="false">IF(Policy!A279="","",Policy!A279)</f>
        <v/>
      </c>
      <c r="B279" s="17" t="str">
        <f aca="false">IF(Policy!A279="","",Policy!B279)</f>
        <v/>
      </c>
      <c r="C279" s="17" t="str">
        <f aca="false">IF(Policy!A279="","",Policy!E279)</f>
        <v/>
      </c>
      <c r="D279" s="17" t="str">
        <f aca="false">IF(Policy!A279="","",Policy!G279)</f>
        <v/>
      </c>
      <c r="E279" s="17" t="str">
        <f aca="false">IF(Policy!A279="","",Policy!H279)</f>
        <v/>
      </c>
      <c r="F279" s="22" t="str">
        <f aca="false">IF(Policy!A279="","",Risk!D279)</f>
        <v/>
      </c>
      <c r="G279" s="23"/>
      <c r="H279" s="24" t="str">
        <f aca="false">IF(A279="","",G279*(1-M279/100))</f>
        <v/>
      </c>
      <c r="I279" s="24" t="str">
        <f aca="false">IF(A279="","",G279*F279/100)</f>
        <v/>
      </c>
      <c r="J279" s="24" t="str">
        <f aca="false">IF(A279="","",I279*(1-M279/100))</f>
        <v/>
      </c>
      <c r="K279" s="25"/>
      <c r="L279" s="25"/>
      <c r="M279" s="26" t="str">
        <f aca="false">IF(A279="","",K279+L279)</f>
        <v/>
      </c>
      <c r="N279" s="25"/>
      <c r="O279" s="23"/>
      <c r="P279" s="23"/>
      <c r="Q279" s="24" t="str">
        <f aca="false">IF(A279="","",J279*(1-N279/100)-O279-P279)</f>
        <v/>
      </c>
      <c r="R279" s="25"/>
      <c r="S279" s="17" t="str">
        <f aca="false">IF(Policy!A279="","",Policy!U279)</f>
        <v/>
      </c>
      <c r="T279" s="17" t="str">
        <f aca="false">IF(OR(A279="",Policy!L279=""),"",MONTH(Policy!L279))</f>
        <v/>
      </c>
      <c r="U279" s="17" t="str">
        <f aca="false">IF(OR(A279="",Policy!L279=""),"",YEAR(Policy!L279))</f>
        <v/>
      </c>
      <c r="V279" s="17" t="str">
        <f aca="false">IF(Policy!A279="","",Policy!J279)</f>
        <v/>
      </c>
      <c r="W279" s="14"/>
    </row>
    <row r="280" customFormat="false" ht="15" hidden="false" customHeight="false" outlineLevel="0" collapsed="false">
      <c r="A280" s="17" t="str">
        <f aca="false">IF(Policy!A280="","",Policy!A280)</f>
        <v/>
      </c>
      <c r="B280" s="17" t="str">
        <f aca="false">IF(Policy!A280="","",Policy!B280)</f>
        <v/>
      </c>
      <c r="C280" s="17" t="str">
        <f aca="false">IF(Policy!A280="","",Policy!E280)</f>
        <v/>
      </c>
      <c r="D280" s="17" t="str">
        <f aca="false">IF(Policy!A280="","",Policy!G280)</f>
        <v/>
      </c>
      <c r="E280" s="17" t="str">
        <f aca="false">IF(Policy!A280="","",Policy!H280)</f>
        <v/>
      </c>
      <c r="F280" s="22" t="str">
        <f aca="false">IF(Policy!A280="","",Risk!D280)</f>
        <v/>
      </c>
      <c r="G280" s="23"/>
      <c r="H280" s="24" t="str">
        <f aca="false">IF(A280="","",G280*(1-M280/100))</f>
        <v/>
      </c>
      <c r="I280" s="24" t="str">
        <f aca="false">IF(A280="","",G280*F280/100)</f>
        <v/>
      </c>
      <c r="J280" s="24" t="str">
        <f aca="false">IF(A280="","",I280*(1-M280/100))</f>
        <v/>
      </c>
      <c r="K280" s="25"/>
      <c r="L280" s="25"/>
      <c r="M280" s="26" t="str">
        <f aca="false">IF(A280="","",K280+L280)</f>
        <v/>
      </c>
      <c r="N280" s="25"/>
      <c r="O280" s="23"/>
      <c r="P280" s="23"/>
      <c r="Q280" s="24" t="str">
        <f aca="false">IF(A280="","",J280*(1-N280/100)-O280-P280)</f>
        <v/>
      </c>
      <c r="R280" s="25"/>
      <c r="S280" s="17" t="str">
        <f aca="false">IF(Policy!A280="","",Policy!U280)</f>
        <v/>
      </c>
      <c r="T280" s="17" t="str">
        <f aca="false">IF(OR(A280="",Policy!L280=""),"",MONTH(Policy!L280))</f>
        <v/>
      </c>
      <c r="U280" s="17" t="str">
        <f aca="false">IF(OR(A280="",Policy!L280=""),"",YEAR(Policy!L280))</f>
        <v/>
      </c>
      <c r="V280" s="17" t="str">
        <f aca="false">IF(Policy!A280="","",Policy!J280)</f>
        <v/>
      </c>
      <c r="W280" s="14"/>
    </row>
    <row r="281" customFormat="false" ht="15" hidden="false" customHeight="false" outlineLevel="0" collapsed="false">
      <c r="A281" s="17" t="str">
        <f aca="false">IF(Policy!A281="","",Policy!A281)</f>
        <v/>
      </c>
      <c r="B281" s="17" t="str">
        <f aca="false">IF(Policy!A281="","",Policy!B281)</f>
        <v/>
      </c>
      <c r="C281" s="17" t="str">
        <f aca="false">IF(Policy!A281="","",Policy!E281)</f>
        <v/>
      </c>
      <c r="D281" s="17" t="str">
        <f aca="false">IF(Policy!A281="","",Policy!G281)</f>
        <v/>
      </c>
      <c r="E281" s="17" t="str">
        <f aca="false">IF(Policy!A281="","",Policy!H281)</f>
        <v/>
      </c>
      <c r="F281" s="22" t="str">
        <f aca="false">IF(Policy!A281="","",Risk!D281)</f>
        <v/>
      </c>
      <c r="G281" s="23"/>
      <c r="H281" s="24" t="str">
        <f aca="false">IF(A281="","",G281*(1-M281/100))</f>
        <v/>
      </c>
      <c r="I281" s="24" t="str">
        <f aca="false">IF(A281="","",G281*F281/100)</f>
        <v/>
      </c>
      <c r="J281" s="24" t="str">
        <f aca="false">IF(A281="","",I281*(1-M281/100))</f>
        <v/>
      </c>
      <c r="K281" s="25"/>
      <c r="L281" s="25"/>
      <c r="M281" s="26" t="str">
        <f aca="false">IF(A281="","",K281+L281)</f>
        <v/>
      </c>
      <c r="N281" s="25"/>
      <c r="O281" s="23"/>
      <c r="P281" s="23"/>
      <c r="Q281" s="24" t="str">
        <f aca="false">IF(A281="","",J281*(1-N281/100)-O281-P281)</f>
        <v/>
      </c>
      <c r="R281" s="25"/>
      <c r="S281" s="17" t="str">
        <f aca="false">IF(Policy!A281="","",Policy!U281)</f>
        <v/>
      </c>
      <c r="T281" s="17" t="str">
        <f aca="false">IF(OR(A281="",Policy!L281=""),"",MONTH(Policy!L281))</f>
        <v/>
      </c>
      <c r="U281" s="17" t="str">
        <f aca="false">IF(OR(A281="",Policy!L281=""),"",YEAR(Policy!L281))</f>
        <v/>
      </c>
      <c r="V281" s="17" t="str">
        <f aca="false">IF(Policy!A281="","",Policy!J281)</f>
        <v/>
      </c>
      <c r="W281" s="14"/>
    </row>
    <row r="282" customFormat="false" ht="15" hidden="false" customHeight="false" outlineLevel="0" collapsed="false">
      <c r="A282" s="17" t="str">
        <f aca="false">IF(Policy!A282="","",Policy!A282)</f>
        <v/>
      </c>
      <c r="B282" s="17" t="str">
        <f aca="false">IF(Policy!A282="","",Policy!B282)</f>
        <v/>
      </c>
      <c r="C282" s="17" t="str">
        <f aca="false">IF(Policy!A282="","",Policy!E282)</f>
        <v/>
      </c>
      <c r="D282" s="17" t="str">
        <f aca="false">IF(Policy!A282="","",Policy!G282)</f>
        <v/>
      </c>
      <c r="E282" s="17" t="str">
        <f aca="false">IF(Policy!A282="","",Policy!H282)</f>
        <v/>
      </c>
      <c r="F282" s="22" t="str">
        <f aca="false">IF(Policy!A282="","",Risk!D282)</f>
        <v/>
      </c>
      <c r="G282" s="23"/>
      <c r="H282" s="24" t="str">
        <f aca="false">IF(A282="","",G282*(1-M282/100))</f>
        <v/>
      </c>
      <c r="I282" s="24" t="str">
        <f aca="false">IF(A282="","",G282*F282/100)</f>
        <v/>
      </c>
      <c r="J282" s="24" t="str">
        <f aca="false">IF(A282="","",I282*(1-M282/100))</f>
        <v/>
      </c>
      <c r="K282" s="25"/>
      <c r="L282" s="25"/>
      <c r="M282" s="26" t="str">
        <f aca="false">IF(A282="","",K282+L282)</f>
        <v/>
      </c>
      <c r="N282" s="25"/>
      <c r="O282" s="23"/>
      <c r="P282" s="23"/>
      <c r="Q282" s="24" t="str">
        <f aca="false">IF(A282="","",J282*(1-N282/100)-O282-P282)</f>
        <v/>
      </c>
      <c r="R282" s="25"/>
      <c r="S282" s="17" t="str">
        <f aca="false">IF(Policy!A282="","",Policy!U282)</f>
        <v/>
      </c>
      <c r="T282" s="17" t="str">
        <f aca="false">IF(OR(A282="",Policy!L282=""),"",MONTH(Policy!L282))</f>
        <v/>
      </c>
      <c r="U282" s="17" t="str">
        <f aca="false">IF(OR(A282="",Policy!L282=""),"",YEAR(Policy!L282))</f>
        <v/>
      </c>
      <c r="V282" s="17" t="str">
        <f aca="false">IF(Policy!A282="","",Policy!J282)</f>
        <v/>
      </c>
      <c r="W282" s="14"/>
    </row>
    <row r="283" customFormat="false" ht="15" hidden="false" customHeight="false" outlineLevel="0" collapsed="false">
      <c r="A283" s="17" t="str">
        <f aca="false">IF(Policy!A283="","",Policy!A283)</f>
        <v/>
      </c>
      <c r="B283" s="17" t="str">
        <f aca="false">IF(Policy!A283="","",Policy!B283)</f>
        <v/>
      </c>
      <c r="C283" s="17" t="str">
        <f aca="false">IF(Policy!A283="","",Policy!E283)</f>
        <v/>
      </c>
      <c r="D283" s="17" t="str">
        <f aca="false">IF(Policy!A283="","",Policy!G283)</f>
        <v/>
      </c>
      <c r="E283" s="17" t="str">
        <f aca="false">IF(Policy!A283="","",Policy!H283)</f>
        <v/>
      </c>
      <c r="F283" s="22" t="str">
        <f aca="false">IF(Policy!A283="","",Risk!D283)</f>
        <v/>
      </c>
      <c r="G283" s="23"/>
      <c r="H283" s="24" t="str">
        <f aca="false">IF(A283="","",G283*(1-M283/100))</f>
        <v/>
      </c>
      <c r="I283" s="24" t="str">
        <f aca="false">IF(A283="","",G283*F283/100)</f>
        <v/>
      </c>
      <c r="J283" s="24" t="str">
        <f aca="false">IF(A283="","",I283*(1-M283/100))</f>
        <v/>
      </c>
      <c r="K283" s="25"/>
      <c r="L283" s="25"/>
      <c r="M283" s="26" t="str">
        <f aca="false">IF(A283="","",K283+L283)</f>
        <v/>
      </c>
      <c r="N283" s="25"/>
      <c r="O283" s="23"/>
      <c r="P283" s="23"/>
      <c r="Q283" s="24" t="str">
        <f aca="false">IF(A283="","",J283*(1-N283/100)-O283-P283)</f>
        <v/>
      </c>
      <c r="R283" s="25"/>
      <c r="S283" s="17" t="str">
        <f aca="false">IF(Policy!A283="","",Policy!U283)</f>
        <v/>
      </c>
      <c r="T283" s="17" t="str">
        <f aca="false">IF(OR(A283="",Policy!L283=""),"",MONTH(Policy!L283))</f>
        <v/>
      </c>
      <c r="U283" s="17" t="str">
        <f aca="false">IF(OR(A283="",Policy!L283=""),"",YEAR(Policy!L283))</f>
        <v/>
      </c>
      <c r="V283" s="17" t="str">
        <f aca="false">IF(Policy!A283="","",Policy!J283)</f>
        <v/>
      </c>
      <c r="W283" s="14"/>
    </row>
    <row r="284" customFormat="false" ht="15" hidden="false" customHeight="false" outlineLevel="0" collapsed="false">
      <c r="A284" s="17" t="str">
        <f aca="false">IF(Policy!A284="","",Policy!A284)</f>
        <v/>
      </c>
      <c r="B284" s="17" t="str">
        <f aca="false">IF(Policy!A284="","",Policy!B284)</f>
        <v/>
      </c>
      <c r="C284" s="17" t="str">
        <f aca="false">IF(Policy!A284="","",Policy!E284)</f>
        <v/>
      </c>
      <c r="D284" s="17" t="str">
        <f aca="false">IF(Policy!A284="","",Policy!G284)</f>
        <v/>
      </c>
      <c r="E284" s="17" t="str">
        <f aca="false">IF(Policy!A284="","",Policy!H284)</f>
        <v/>
      </c>
      <c r="F284" s="22" t="str">
        <f aca="false">IF(Policy!A284="","",Risk!D284)</f>
        <v/>
      </c>
      <c r="G284" s="23"/>
      <c r="H284" s="24" t="str">
        <f aca="false">IF(A284="","",G284*(1-M284/100))</f>
        <v/>
      </c>
      <c r="I284" s="24" t="str">
        <f aca="false">IF(A284="","",G284*F284/100)</f>
        <v/>
      </c>
      <c r="J284" s="24" t="str">
        <f aca="false">IF(A284="","",I284*(1-M284/100))</f>
        <v/>
      </c>
      <c r="K284" s="25"/>
      <c r="L284" s="25"/>
      <c r="M284" s="26" t="str">
        <f aca="false">IF(A284="","",K284+L284)</f>
        <v/>
      </c>
      <c r="N284" s="25"/>
      <c r="O284" s="23"/>
      <c r="P284" s="23"/>
      <c r="Q284" s="24" t="str">
        <f aca="false">IF(A284="","",J284*(1-N284/100)-O284-P284)</f>
        <v/>
      </c>
      <c r="R284" s="25"/>
      <c r="S284" s="17" t="str">
        <f aca="false">IF(Policy!A284="","",Policy!U284)</f>
        <v/>
      </c>
      <c r="T284" s="17" t="str">
        <f aca="false">IF(OR(A284="",Policy!L284=""),"",MONTH(Policy!L284))</f>
        <v/>
      </c>
      <c r="U284" s="17" t="str">
        <f aca="false">IF(OR(A284="",Policy!L284=""),"",YEAR(Policy!L284))</f>
        <v/>
      </c>
      <c r="V284" s="17" t="str">
        <f aca="false">IF(Policy!A284="","",Policy!J284)</f>
        <v/>
      </c>
      <c r="W284" s="14"/>
    </row>
    <row r="285" customFormat="false" ht="15" hidden="false" customHeight="false" outlineLevel="0" collapsed="false">
      <c r="A285" s="17" t="str">
        <f aca="false">IF(Policy!A285="","",Policy!A285)</f>
        <v/>
      </c>
      <c r="B285" s="17" t="str">
        <f aca="false">IF(Policy!A285="","",Policy!B285)</f>
        <v/>
      </c>
      <c r="C285" s="17" t="str">
        <f aca="false">IF(Policy!A285="","",Policy!E285)</f>
        <v/>
      </c>
      <c r="D285" s="17" t="str">
        <f aca="false">IF(Policy!A285="","",Policy!G285)</f>
        <v/>
      </c>
      <c r="E285" s="17" t="str">
        <f aca="false">IF(Policy!A285="","",Policy!H285)</f>
        <v/>
      </c>
      <c r="F285" s="22" t="str">
        <f aca="false">IF(Policy!A285="","",Risk!D285)</f>
        <v/>
      </c>
      <c r="G285" s="23"/>
      <c r="H285" s="24" t="str">
        <f aca="false">IF(A285="","",G285*(1-M285/100))</f>
        <v/>
      </c>
      <c r="I285" s="24" t="str">
        <f aca="false">IF(A285="","",G285*F285/100)</f>
        <v/>
      </c>
      <c r="J285" s="24" t="str">
        <f aca="false">IF(A285="","",I285*(1-M285/100))</f>
        <v/>
      </c>
      <c r="K285" s="25"/>
      <c r="L285" s="25"/>
      <c r="M285" s="26" t="str">
        <f aca="false">IF(A285="","",K285+L285)</f>
        <v/>
      </c>
      <c r="N285" s="25"/>
      <c r="O285" s="23"/>
      <c r="P285" s="23"/>
      <c r="Q285" s="24" t="str">
        <f aca="false">IF(A285="","",J285*(1-N285/100)-O285-P285)</f>
        <v/>
      </c>
      <c r="R285" s="25"/>
      <c r="S285" s="17" t="str">
        <f aca="false">IF(Policy!A285="","",Policy!U285)</f>
        <v/>
      </c>
      <c r="T285" s="17" t="str">
        <f aca="false">IF(OR(A285="",Policy!L285=""),"",MONTH(Policy!L285))</f>
        <v/>
      </c>
      <c r="U285" s="17" t="str">
        <f aca="false">IF(OR(A285="",Policy!L285=""),"",YEAR(Policy!L285))</f>
        <v/>
      </c>
      <c r="V285" s="17" t="str">
        <f aca="false">IF(Policy!A285="","",Policy!J285)</f>
        <v/>
      </c>
      <c r="W285" s="14"/>
    </row>
    <row r="286" customFormat="false" ht="15" hidden="false" customHeight="false" outlineLevel="0" collapsed="false">
      <c r="A286" s="17" t="str">
        <f aca="false">IF(Policy!A286="","",Policy!A286)</f>
        <v/>
      </c>
      <c r="B286" s="17" t="str">
        <f aca="false">IF(Policy!A286="","",Policy!B286)</f>
        <v/>
      </c>
      <c r="C286" s="17" t="str">
        <f aca="false">IF(Policy!A286="","",Policy!E286)</f>
        <v/>
      </c>
      <c r="D286" s="17" t="str">
        <f aca="false">IF(Policy!A286="","",Policy!G286)</f>
        <v/>
      </c>
      <c r="E286" s="17" t="str">
        <f aca="false">IF(Policy!A286="","",Policy!H286)</f>
        <v/>
      </c>
      <c r="F286" s="22" t="str">
        <f aca="false">IF(Policy!A286="","",Risk!D286)</f>
        <v/>
      </c>
      <c r="G286" s="23"/>
      <c r="H286" s="24" t="str">
        <f aca="false">IF(A286="","",G286*(1-M286/100))</f>
        <v/>
      </c>
      <c r="I286" s="24" t="str">
        <f aca="false">IF(A286="","",G286*F286/100)</f>
        <v/>
      </c>
      <c r="J286" s="24" t="str">
        <f aca="false">IF(A286="","",I286*(1-M286/100))</f>
        <v/>
      </c>
      <c r="K286" s="25"/>
      <c r="L286" s="25"/>
      <c r="M286" s="26" t="str">
        <f aca="false">IF(A286="","",K286+L286)</f>
        <v/>
      </c>
      <c r="N286" s="25"/>
      <c r="O286" s="23"/>
      <c r="P286" s="23"/>
      <c r="Q286" s="24" t="str">
        <f aca="false">IF(A286="","",J286*(1-N286/100)-O286-P286)</f>
        <v/>
      </c>
      <c r="R286" s="25"/>
      <c r="S286" s="17" t="str">
        <f aca="false">IF(Policy!A286="","",Policy!U286)</f>
        <v/>
      </c>
      <c r="T286" s="17" t="str">
        <f aca="false">IF(OR(A286="",Policy!L286=""),"",MONTH(Policy!L286))</f>
        <v/>
      </c>
      <c r="U286" s="17" t="str">
        <f aca="false">IF(OR(A286="",Policy!L286=""),"",YEAR(Policy!L286))</f>
        <v/>
      </c>
      <c r="V286" s="17" t="str">
        <f aca="false">IF(Policy!A286="","",Policy!J286)</f>
        <v/>
      </c>
      <c r="W286" s="14"/>
    </row>
    <row r="287" customFormat="false" ht="15" hidden="false" customHeight="false" outlineLevel="0" collapsed="false">
      <c r="A287" s="17" t="str">
        <f aca="false">IF(Policy!A287="","",Policy!A287)</f>
        <v/>
      </c>
      <c r="B287" s="17" t="str">
        <f aca="false">IF(Policy!A287="","",Policy!B287)</f>
        <v/>
      </c>
      <c r="C287" s="17" t="str">
        <f aca="false">IF(Policy!A287="","",Policy!E287)</f>
        <v/>
      </c>
      <c r="D287" s="17" t="str">
        <f aca="false">IF(Policy!A287="","",Policy!G287)</f>
        <v/>
      </c>
      <c r="E287" s="17" t="str">
        <f aca="false">IF(Policy!A287="","",Policy!H287)</f>
        <v/>
      </c>
      <c r="F287" s="22" t="str">
        <f aca="false">IF(Policy!A287="","",Risk!D287)</f>
        <v/>
      </c>
      <c r="G287" s="23"/>
      <c r="H287" s="24" t="str">
        <f aca="false">IF(A287="","",G287*(1-M287/100))</f>
        <v/>
      </c>
      <c r="I287" s="24" t="str">
        <f aca="false">IF(A287="","",G287*F287/100)</f>
        <v/>
      </c>
      <c r="J287" s="24" t="str">
        <f aca="false">IF(A287="","",I287*(1-M287/100))</f>
        <v/>
      </c>
      <c r="K287" s="25"/>
      <c r="L287" s="25"/>
      <c r="M287" s="26" t="str">
        <f aca="false">IF(A287="","",K287+L287)</f>
        <v/>
      </c>
      <c r="N287" s="25"/>
      <c r="O287" s="23"/>
      <c r="P287" s="23"/>
      <c r="Q287" s="24" t="str">
        <f aca="false">IF(A287="","",J287*(1-N287/100)-O287-P287)</f>
        <v/>
      </c>
      <c r="R287" s="25"/>
      <c r="S287" s="17" t="str">
        <f aca="false">IF(Policy!A287="","",Policy!U287)</f>
        <v/>
      </c>
      <c r="T287" s="17" t="str">
        <f aca="false">IF(OR(A287="",Policy!L287=""),"",MONTH(Policy!L287))</f>
        <v/>
      </c>
      <c r="U287" s="17" t="str">
        <f aca="false">IF(OR(A287="",Policy!L287=""),"",YEAR(Policy!L287))</f>
        <v/>
      </c>
      <c r="V287" s="17" t="str">
        <f aca="false">IF(Policy!A287="","",Policy!J287)</f>
        <v/>
      </c>
      <c r="W287" s="14"/>
    </row>
    <row r="288" customFormat="false" ht="15" hidden="false" customHeight="false" outlineLevel="0" collapsed="false">
      <c r="A288" s="17" t="str">
        <f aca="false">IF(Policy!A288="","",Policy!A288)</f>
        <v/>
      </c>
      <c r="B288" s="17" t="str">
        <f aca="false">IF(Policy!A288="","",Policy!B288)</f>
        <v/>
      </c>
      <c r="C288" s="17" t="str">
        <f aca="false">IF(Policy!A288="","",Policy!E288)</f>
        <v/>
      </c>
      <c r="D288" s="17" t="str">
        <f aca="false">IF(Policy!A288="","",Policy!G288)</f>
        <v/>
      </c>
      <c r="E288" s="17" t="str">
        <f aca="false">IF(Policy!A288="","",Policy!H288)</f>
        <v/>
      </c>
      <c r="F288" s="22" t="str">
        <f aca="false">IF(Policy!A288="","",Risk!D288)</f>
        <v/>
      </c>
      <c r="G288" s="23"/>
      <c r="H288" s="24" t="str">
        <f aca="false">IF(A288="","",G288*(1-M288/100))</f>
        <v/>
      </c>
      <c r="I288" s="24" t="str">
        <f aca="false">IF(A288="","",G288*F288/100)</f>
        <v/>
      </c>
      <c r="J288" s="24" t="str">
        <f aca="false">IF(A288="","",I288*(1-M288/100))</f>
        <v/>
      </c>
      <c r="K288" s="25"/>
      <c r="L288" s="25"/>
      <c r="M288" s="26" t="str">
        <f aca="false">IF(A288="","",K288+L288)</f>
        <v/>
      </c>
      <c r="N288" s="25"/>
      <c r="O288" s="23"/>
      <c r="P288" s="23"/>
      <c r="Q288" s="24" t="str">
        <f aca="false">IF(A288="","",J288*(1-N288/100)-O288-P288)</f>
        <v/>
      </c>
      <c r="R288" s="25"/>
      <c r="S288" s="17" t="str">
        <f aca="false">IF(Policy!A288="","",Policy!U288)</f>
        <v/>
      </c>
      <c r="T288" s="17" t="str">
        <f aca="false">IF(OR(A288="",Policy!L288=""),"",MONTH(Policy!L288))</f>
        <v/>
      </c>
      <c r="U288" s="17" t="str">
        <f aca="false">IF(OR(A288="",Policy!L288=""),"",YEAR(Policy!L288))</f>
        <v/>
      </c>
      <c r="V288" s="17" t="str">
        <f aca="false">IF(Policy!A288="","",Policy!J288)</f>
        <v/>
      </c>
      <c r="W288" s="14"/>
    </row>
    <row r="289" customFormat="false" ht="15" hidden="false" customHeight="false" outlineLevel="0" collapsed="false">
      <c r="A289" s="17" t="str">
        <f aca="false">IF(Policy!A289="","",Policy!A289)</f>
        <v/>
      </c>
      <c r="B289" s="17" t="str">
        <f aca="false">IF(Policy!A289="","",Policy!B289)</f>
        <v/>
      </c>
      <c r="C289" s="17" t="str">
        <f aca="false">IF(Policy!A289="","",Policy!E289)</f>
        <v/>
      </c>
      <c r="D289" s="17" t="str">
        <f aca="false">IF(Policy!A289="","",Policy!G289)</f>
        <v/>
      </c>
      <c r="E289" s="17" t="str">
        <f aca="false">IF(Policy!A289="","",Policy!H289)</f>
        <v/>
      </c>
      <c r="F289" s="22" t="str">
        <f aca="false">IF(Policy!A289="","",Risk!D289)</f>
        <v/>
      </c>
      <c r="G289" s="23"/>
      <c r="H289" s="24" t="str">
        <f aca="false">IF(A289="","",G289*(1-M289/100))</f>
        <v/>
      </c>
      <c r="I289" s="24" t="str">
        <f aca="false">IF(A289="","",G289*F289/100)</f>
        <v/>
      </c>
      <c r="J289" s="24" t="str">
        <f aca="false">IF(A289="","",I289*(1-M289/100))</f>
        <v/>
      </c>
      <c r="K289" s="25"/>
      <c r="L289" s="25"/>
      <c r="M289" s="26" t="str">
        <f aca="false">IF(A289="","",K289+L289)</f>
        <v/>
      </c>
      <c r="N289" s="25"/>
      <c r="O289" s="23"/>
      <c r="P289" s="23"/>
      <c r="Q289" s="24" t="str">
        <f aca="false">IF(A289="","",J289*(1-N289/100)-O289-P289)</f>
        <v/>
      </c>
      <c r="R289" s="25"/>
      <c r="S289" s="17" t="str">
        <f aca="false">IF(Policy!A289="","",Policy!U289)</f>
        <v/>
      </c>
      <c r="T289" s="17" t="str">
        <f aca="false">IF(OR(A289="",Policy!L289=""),"",MONTH(Policy!L289))</f>
        <v/>
      </c>
      <c r="U289" s="17" t="str">
        <f aca="false">IF(OR(A289="",Policy!L289=""),"",YEAR(Policy!L289))</f>
        <v/>
      </c>
      <c r="V289" s="17" t="str">
        <f aca="false">IF(Policy!A289="","",Policy!J289)</f>
        <v/>
      </c>
      <c r="W289" s="14"/>
    </row>
    <row r="290" customFormat="false" ht="15" hidden="false" customHeight="false" outlineLevel="0" collapsed="false">
      <c r="A290" s="17" t="str">
        <f aca="false">IF(Policy!A290="","",Policy!A290)</f>
        <v/>
      </c>
      <c r="B290" s="17" t="str">
        <f aca="false">IF(Policy!A290="","",Policy!B290)</f>
        <v/>
      </c>
      <c r="C290" s="17" t="str">
        <f aca="false">IF(Policy!A290="","",Policy!E290)</f>
        <v/>
      </c>
      <c r="D290" s="17" t="str">
        <f aca="false">IF(Policy!A290="","",Policy!G290)</f>
        <v/>
      </c>
      <c r="E290" s="17" t="str">
        <f aca="false">IF(Policy!A290="","",Policy!H290)</f>
        <v/>
      </c>
      <c r="F290" s="22" t="str">
        <f aca="false">IF(Policy!A290="","",Risk!D290)</f>
        <v/>
      </c>
      <c r="G290" s="23"/>
      <c r="H290" s="24" t="str">
        <f aca="false">IF(A290="","",G290*(1-M290/100))</f>
        <v/>
      </c>
      <c r="I290" s="24" t="str">
        <f aca="false">IF(A290="","",G290*F290/100)</f>
        <v/>
      </c>
      <c r="J290" s="24" t="str">
        <f aca="false">IF(A290="","",I290*(1-M290/100))</f>
        <v/>
      </c>
      <c r="K290" s="25"/>
      <c r="L290" s="25"/>
      <c r="M290" s="26" t="str">
        <f aca="false">IF(A290="","",K290+L290)</f>
        <v/>
      </c>
      <c r="N290" s="25"/>
      <c r="O290" s="23"/>
      <c r="P290" s="23"/>
      <c r="Q290" s="24" t="str">
        <f aca="false">IF(A290="","",J290*(1-N290/100)-O290-P290)</f>
        <v/>
      </c>
      <c r="R290" s="25"/>
      <c r="S290" s="17" t="str">
        <f aca="false">IF(Policy!A290="","",Policy!U290)</f>
        <v/>
      </c>
      <c r="T290" s="17" t="str">
        <f aca="false">IF(OR(A290="",Policy!L290=""),"",MONTH(Policy!L290))</f>
        <v/>
      </c>
      <c r="U290" s="17" t="str">
        <f aca="false">IF(OR(A290="",Policy!L290=""),"",YEAR(Policy!L290))</f>
        <v/>
      </c>
      <c r="V290" s="17" t="str">
        <f aca="false">IF(Policy!A290="","",Policy!J290)</f>
        <v/>
      </c>
      <c r="W290" s="14"/>
    </row>
    <row r="291" customFormat="false" ht="15" hidden="false" customHeight="false" outlineLevel="0" collapsed="false">
      <c r="A291" s="17" t="str">
        <f aca="false">IF(Policy!A291="","",Policy!A291)</f>
        <v/>
      </c>
      <c r="B291" s="17" t="str">
        <f aca="false">IF(Policy!A291="","",Policy!B291)</f>
        <v/>
      </c>
      <c r="C291" s="17" t="str">
        <f aca="false">IF(Policy!A291="","",Policy!E291)</f>
        <v/>
      </c>
      <c r="D291" s="17" t="str">
        <f aca="false">IF(Policy!A291="","",Policy!G291)</f>
        <v/>
      </c>
      <c r="E291" s="17" t="str">
        <f aca="false">IF(Policy!A291="","",Policy!H291)</f>
        <v/>
      </c>
      <c r="F291" s="22" t="str">
        <f aca="false">IF(Policy!A291="","",Risk!D291)</f>
        <v/>
      </c>
      <c r="G291" s="23"/>
      <c r="H291" s="24" t="str">
        <f aca="false">IF(A291="","",G291*(1-M291/100))</f>
        <v/>
      </c>
      <c r="I291" s="24" t="str">
        <f aca="false">IF(A291="","",G291*F291/100)</f>
        <v/>
      </c>
      <c r="J291" s="24" t="str">
        <f aca="false">IF(A291="","",I291*(1-M291/100))</f>
        <v/>
      </c>
      <c r="K291" s="25"/>
      <c r="L291" s="25"/>
      <c r="M291" s="26" t="str">
        <f aca="false">IF(A291="","",K291+L291)</f>
        <v/>
      </c>
      <c r="N291" s="25"/>
      <c r="O291" s="23"/>
      <c r="P291" s="23"/>
      <c r="Q291" s="24" t="str">
        <f aca="false">IF(A291="","",J291*(1-N291/100)-O291-P291)</f>
        <v/>
      </c>
      <c r="R291" s="25"/>
      <c r="S291" s="17" t="str">
        <f aca="false">IF(Policy!A291="","",Policy!U291)</f>
        <v/>
      </c>
      <c r="T291" s="17" t="str">
        <f aca="false">IF(OR(A291="",Policy!L291=""),"",MONTH(Policy!L291))</f>
        <v/>
      </c>
      <c r="U291" s="17" t="str">
        <f aca="false">IF(OR(A291="",Policy!L291=""),"",YEAR(Policy!L291))</f>
        <v/>
      </c>
      <c r="V291" s="17" t="str">
        <f aca="false">IF(Policy!A291="","",Policy!J291)</f>
        <v/>
      </c>
      <c r="W291" s="14"/>
    </row>
    <row r="292" customFormat="false" ht="15" hidden="false" customHeight="false" outlineLevel="0" collapsed="false">
      <c r="A292" s="17" t="str">
        <f aca="false">IF(Policy!A292="","",Policy!A292)</f>
        <v/>
      </c>
      <c r="B292" s="17" t="str">
        <f aca="false">IF(Policy!A292="","",Policy!B292)</f>
        <v/>
      </c>
      <c r="C292" s="17" t="str">
        <f aca="false">IF(Policy!A292="","",Policy!E292)</f>
        <v/>
      </c>
      <c r="D292" s="17" t="str">
        <f aca="false">IF(Policy!A292="","",Policy!G292)</f>
        <v/>
      </c>
      <c r="E292" s="17" t="str">
        <f aca="false">IF(Policy!A292="","",Policy!H292)</f>
        <v/>
      </c>
      <c r="F292" s="22" t="str">
        <f aca="false">IF(Policy!A292="","",Risk!D292)</f>
        <v/>
      </c>
      <c r="G292" s="23"/>
      <c r="H292" s="24" t="str">
        <f aca="false">IF(A292="","",G292*(1-M292/100))</f>
        <v/>
      </c>
      <c r="I292" s="24" t="str">
        <f aca="false">IF(A292="","",G292*F292/100)</f>
        <v/>
      </c>
      <c r="J292" s="24" t="str">
        <f aca="false">IF(A292="","",I292*(1-M292/100))</f>
        <v/>
      </c>
      <c r="K292" s="25"/>
      <c r="L292" s="25"/>
      <c r="M292" s="26" t="str">
        <f aca="false">IF(A292="","",K292+L292)</f>
        <v/>
      </c>
      <c r="N292" s="25"/>
      <c r="O292" s="23"/>
      <c r="P292" s="23"/>
      <c r="Q292" s="24" t="str">
        <f aca="false">IF(A292="","",J292*(1-N292/100)-O292-P292)</f>
        <v/>
      </c>
      <c r="R292" s="25"/>
      <c r="S292" s="17" t="str">
        <f aca="false">IF(Policy!A292="","",Policy!U292)</f>
        <v/>
      </c>
      <c r="T292" s="17" t="str">
        <f aca="false">IF(OR(A292="",Policy!L292=""),"",MONTH(Policy!L292))</f>
        <v/>
      </c>
      <c r="U292" s="17" t="str">
        <f aca="false">IF(OR(A292="",Policy!L292=""),"",YEAR(Policy!L292))</f>
        <v/>
      </c>
      <c r="V292" s="17" t="str">
        <f aca="false">IF(Policy!A292="","",Policy!J292)</f>
        <v/>
      </c>
      <c r="W292" s="14"/>
    </row>
    <row r="293" customFormat="false" ht="15" hidden="false" customHeight="false" outlineLevel="0" collapsed="false">
      <c r="A293" s="17" t="str">
        <f aca="false">IF(Policy!A293="","",Policy!A293)</f>
        <v/>
      </c>
      <c r="B293" s="17" t="str">
        <f aca="false">IF(Policy!A293="","",Policy!B293)</f>
        <v/>
      </c>
      <c r="C293" s="17" t="str">
        <f aca="false">IF(Policy!A293="","",Policy!E293)</f>
        <v/>
      </c>
      <c r="D293" s="17" t="str">
        <f aca="false">IF(Policy!A293="","",Policy!G293)</f>
        <v/>
      </c>
      <c r="E293" s="17" t="str">
        <f aca="false">IF(Policy!A293="","",Policy!H293)</f>
        <v/>
      </c>
      <c r="F293" s="22" t="str">
        <f aca="false">IF(Policy!A293="","",Risk!D293)</f>
        <v/>
      </c>
      <c r="G293" s="23"/>
      <c r="H293" s="24" t="str">
        <f aca="false">IF(A293="","",G293*(1-M293/100))</f>
        <v/>
      </c>
      <c r="I293" s="24" t="str">
        <f aca="false">IF(A293="","",G293*F293/100)</f>
        <v/>
      </c>
      <c r="J293" s="24" t="str">
        <f aca="false">IF(A293="","",I293*(1-M293/100))</f>
        <v/>
      </c>
      <c r="K293" s="25"/>
      <c r="L293" s="25"/>
      <c r="M293" s="26" t="str">
        <f aca="false">IF(A293="","",K293+L293)</f>
        <v/>
      </c>
      <c r="N293" s="25"/>
      <c r="O293" s="23"/>
      <c r="P293" s="23"/>
      <c r="Q293" s="24" t="str">
        <f aca="false">IF(A293="","",J293*(1-N293/100)-O293-P293)</f>
        <v/>
      </c>
      <c r="R293" s="25"/>
      <c r="S293" s="17" t="str">
        <f aca="false">IF(Policy!A293="","",Policy!U293)</f>
        <v/>
      </c>
      <c r="T293" s="17" t="str">
        <f aca="false">IF(OR(A293="",Policy!L293=""),"",MONTH(Policy!L293))</f>
        <v/>
      </c>
      <c r="U293" s="17" t="str">
        <f aca="false">IF(OR(A293="",Policy!L293=""),"",YEAR(Policy!L293))</f>
        <v/>
      </c>
      <c r="V293" s="17" t="str">
        <f aca="false">IF(Policy!A293="","",Policy!J293)</f>
        <v/>
      </c>
      <c r="W293" s="14"/>
    </row>
    <row r="294" customFormat="false" ht="15" hidden="false" customHeight="false" outlineLevel="0" collapsed="false">
      <c r="A294" s="17" t="str">
        <f aca="false">IF(Policy!A294="","",Policy!A294)</f>
        <v/>
      </c>
      <c r="B294" s="17" t="str">
        <f aca="false">IF(Policy!A294="","",Policy!B294)</f>
        <v/>
      </c>
      <c r="C294" s="17" t="str">
        <f aca="false">IF(Policy!A294="","",Policy!E294)</f>
        <v/>
      </c>
      <c r="D294" s="17" t="str">
        <f aca="false">IF(Policy!A294="","",Policy!G294)</f>
        <v/>
      </c>
      <c r="E294" s="17" t="str">
        <f aca="false">IF(Policy!A294="","",Policy!H294)</f>
        <v/>
      </c>
      <c r="F294" s="22" t="str">
        <f aca="false">IF(Policy!A294="","",Risk!D294)</f>
        <v/>
      </c>
      <c r="G294" s="23"/>
      <c r="H294" s="24" t="str">
        <f aca="false">IF(A294="","",G294*(1-M294/100))</f>
        <v/>
      </c>
      <c r="I294" s="24" t="str">
        <f aca="false">IF(A294="","",G294*F294/100)</f>
        <v/>
      </c>
      <c r="J294" s="24" t="str">
        <f aca="false">IF(A294="","",I294*(1-M294/100))</f>
        <v/>
      </c>
      <c r="K294" s="25"/>
      <c r="L294" s="25"/>
      <c r="M294" s="26" t="str">
        <f aca="false">IF(A294="","",K294+L294)</f>
        <v/>
      </c>
      <c r="N294" s="25"/>
      <c r="O294" s="23"/>
      <c r="P294" s="23"/>
      <c r="Q294" s="24" t="str">
        <f aca="false">IF(A294="","",J294*(1-N294/100)-O294-P294)</f>
        <v/>
      </c>
      <c r="R294" s="25"/>
      <c r="S294" s="17" t="str">
        <f aca="false">IF(Policy!A294="","",Policy!U294)</f>
        <v/>
      </c>
      <c r="T294" s="17" t="str">
        <f aca="false">IF(OR(A294="",Policy!L294=""),"",MONTH(Policy!L294))</f>
        <v/>
      </c>
      <c r="U294" s="17" t="str">
        <f aca="false">IF(OR(A294="",Policy!L294=""),"",YEAR(Policy!L294))</f>
        <v/>
      </c>
      <c r="V294" s="17" t="str">
        <f aca="false">IF(Policy!A294="","",Policy!J294)</f>
        <v/>
      </c>
      <c r="W294" s="14"/>
    </row>
    <row r="295" customFormat="false" ht="15" hidden="false" customHeight="false" outlineLevel="0" collapsed="false">
      <c r="A295" s="17" t="str">
        <f aca="false">IF(Policy!A295="","",Policy!A295)</f>
        <v/>
      </c>
      <c r="B295" s="17" t="str">
        <f aca="false">IF(Policy!A295="","",Policy!B295)</f>
        <v/>
      </c>
      <c r="C295" s="17" t="str">
        <f aca="false">IF(Policy!A295="","",Policy!E295)</f>
        <v/>
      </c>
      <c r="D295" s="17" t="str">
        <f aca="false">IF(Policy!A295="","",Policy!G295)</f>
        <v/>
      </c>
      <c r="E295" s="17" t="str">
        <f aca="false">IF(Policy!A295="","",Policy!H295)</f>
        <v/>
      </c>
      <c r="F295" s="22" t="str">
        <f aca="false">IF(Policy!A295="","",Risk!D295)</f>
        <v/>
      </c>
      <c r="G295" s="23"/>
      <c r="H295" s="24" t="str">
        <f aca="false">IF(A295="","",G295*(1-M295/100))</f>
        <v/>
      </c>
      <c r="I295" s="24" t="str">
        <f aca="false">IF(A295="","",G295*F295/100)</f>
        <v/>
      </c>
      <c r="J295" s="24" t="str">
        <f aca="false">IF(A295="","",I295*(1-M295/100))</f>
        <v/>
      </c>
      <c r="K295" s="25"/>
      <c r="L295" s="25"/>
      <c r="M295" s="26" t="str">
        <f aca="false">IF(A295="","",K295+L295)</f>
        <v/>
      </c>
      <c r="N295" s="25"/>
      <c r="O295" s="23"/>
      <c r="P295" s="23"/>
      <c r="Q295" s="24" t="str">
        <f aca="false">IF(A295="","",J295*(1-N295/100)-O295-P295)</f>
        <v/>
      </c>
      <c r="R295" s="25"/>
      <c r="S295" s="17" t="str">
        <f aca="false">IF(Policy!A295="","",Policy!U295)</f>
        <v/>
      </c>
      <c r="T295" s="17" t="str">
        <f aca="false">IF(OR(A295="",Policy!L295=""),"",MONTH(Policy!L295))</f>
        <v/>
      </c>
      <c r="U295" s="17" t="str">
        <f aca="false">IF(OR(A295="",Policy!L295=""),"",YEAR(Policy!L295))</f>
        <v/>
      </c>
      <c r="V295" s="17" t="str">
        <f aca="false">IF(Policy!A295="","",Policy!J295)</f>
        <v/>
      </c>
      <c r="W295" s="14"/>
    </row>
    <row r="296" customFormat="false" ht="15" hidden="false" customHeight="false" outlineLevel="0" collapsed="false">
      <c r="A296" s="17" t="str">
        <f aca="false">IF(Policy!A296="","",Policy!A296)</f>
        <v/>
      </c>
      <c r="B296" s="17" t="str">
        <f aca="false">IF(Policy!A296="","",Policy!B296)</f>
        <v/>
      </c>
      <c r="C296" s="17" t="str">
        <f aca="false">IF(Policy!A296="","",Policy!E296)</f>
        <v/>
      </c>
      <c r="D296" s="17" t="str">
        <f aca="false">IF(Policy!A296="","",Policy!G296)</f>
        <v/>
      </c>
      <c r="E296" s="17" t="str">
        <f aca="false">IF(Policy!A296="","",Policy!H296)</f>
        <v/>
      </c>
      <c r="F296" s="22" t="str">
        <f aca="false">IF(Policy!A296="","",Risk!D296)</f>
        <v/>
      </c>
      <c r="G296" s="23"/>
      <c r="H296" s="24" t="str">
        <f aca="false">IF(A296="","",G296*(1-M296/100))</f>
        <v/>
      </c>
      <c r="I296" s="24" t="str">
        <f aca="false">IF(A296="","",G296*F296/100)</f>
        <v/>
      </c>
      <c r="J296" s="24" t="str">
        <f aca="false">IF(A296="","",I296*(1-M296/100))</f>
        <v/>
      </c>
      <c r="K296" s="25"/>
      <c r="L296" s="25"/>
      <c r="M296" s="26" t="str">
        <f aca="false">IF(A296="","",K296+L296)</f>
        <v/>
      </c>
      <c r="N296" s="25"/>
      <c r="O296" s="23"/>
      <c r="P296" s="23"/>
      <c r="Q296" s="24" t="str">
        <f aca="false">IF(A296="","",J296*(1-N296/100)-O296-P296)</f>
        <v/>
      </c>
      <c r="R296" s="25"/>
      <c r="S296" s="17" t="str">
        <f aca="false">IF(Policy!A296="","",Policy!U296)</f>
        <v/>
      </c>
      <c r="T296" s="17" t="str">
        <f aca="false">IF(OR(A296="",Policy!L296=""),"",MONTH(Policy!L296))</f>
        <v/>
      </c>
      <c r="U296" s="17" t="str">
        <f aca="false">IF(OR(A296="",Policy!L296=""),"",YEAR(Policy!L296))</f>
        <v/>
      </c>
      <c r="V296" s="17" t="str">
        <f aca="false">IF(Policy!A296="","",Policy!J296)</f>
        <v/>
      </c>
      <c r="W296" s="14"/>
    </row>
    <row r="297" customFormat="false" ht="15" hidden="false" customHeight="false" outlineLevel="0" collapsed="false">
      <c r="A297" s="17" t="str">
        <f aca="false">IF(Policy!A297="","",Policy!A297)</f>
        <v/>
      </c>
      <c r="B297" s="17" t="str">
        <f aca="false">IF(Policy!A297="","",Policy!B297)</f>
        <v/>
      </c>
      <c r="C297" s="17" t="str">
        <f aca="false">IF(Policy!A297="","",Policy!E297)</f>
        <v/>
      </c>
      <c r="D297" s="17" t="str">
        <f aca="false">IF(Policy!A297="","",Policy!G297)</f>
        <v/>
      </c>
      <c r="E297" s="17" t="str">
        <f aca="false">IF(Policy!A297="","",Policy!H297)</f>
        <v/>
      </c>
      <c r="F297" s="22" t="str">
        <f aca="false">IF(Policy!A297="","",Risk!D297)</f>
        <v/>
      </c>
      <c r="G297" s="23"/>
      <c r="H297" s="24" t="str">
        <f aca="false">IF(A297="","",G297*(1-M297/100))</f>
        <v/>
      </c>
      <c r="I297" s="24" t="str">
        <f aca="false">IF(A297="","",G297*F297/100)</f>
        <v/>
      </c>
      <c r="J297" s="24" t="str">
        <f aca="false">IF(A297="","",I297*(1-M297/100))</f>
        <v/>
      </c>
      <c r="K297" s="25"/>
      <c r="L297" s="25"/>
      <c r="M297" s="26" t="str">
        <f aca="false">IF(A297="","",K297+L297)</f>
        <v/>
      </c>
      <c r="N297" s="25"/>
      <c r="O297" s="23"/>
      <c r="P297" s="23"/>
      <c r="Q297" s="24" t="str">
        <f aca="false">IF(A297="","",J297*(1-N297/100)-O297-P297)</f>
        <v/>
      </c>
      <c r="R297" s="25"/>
      <c r="S297" s="17" t="str">
        <f aca="false">IF(Policy!A297="","",Policy!U297)</f>
        <v/>
      </c>
      <c r="T297" s="17" t="str">
        <f aca="false">IF(OR(A297="",Policy!L297=""),"",MONTH(Policy!L297))</f>
        <v/>
      </c>
      <c r="U297" s="17" t="str">
        <f aca="false">IF(OR(A297="",Policy!L297=""),"",YEAR(Policy!L297))</f>
        <v/>
      </c>
      <c r="V297" s="17" t="str">
        <f aca="false">IF(Policy!A297="","",Policy!J297)</f>
        <v/>
      </c>
      <c r="W297" s="14"/>
    </row>
    <row r="298" customFormat="false" ht="15" hidden="false" customHeight="false" outlineLevel="0" collapsed="false">
      <c r="A298" s="17" t="str">
        <f aca="false">IF(Policy!A298="","",Policy!A298)</f>
        <v/>
      </c>
      <c r="B298" s="17" t="str">
        <f aca="false">IF(Policy!A298="","",Policy!B298)</f>
        <v/>
      </c>
      <c r="C298" s="17" t="str">
        <f aca="false">IF(Policy!A298="","",Policy!E298)</f>
        <v/>
      </c>
      <c r="D298" s="17" t="str">
        <f aca="false">IF(Policy!A298="","",Policy!G298)</f>
        <v/>
      </c>
      <c r="E298" s="17" t="str">
        <f aca="false">IF(Policy!A298="","",Policy!H298)</f>
        <v/>
      </c>
      <c r="F298" s="22" t="str">
        <f aca="false">IF(Policy!A298="","",Risk!D298)</f>
        <v/>
      </c>
      <c r="G298" s="23"/>
      <c r="H298" s="24" t="str">
        <f aca="false">IF(A298="","",G298*(1-M298/100))</f>
        <v/>
      </c>
      <c r="I298" s="24" t="str">
        <f aca="false">IF(A298="","",G298*F298/100)</f>
        <v/>
      </c>
      <c r="J298" s="24" t="str">
        <f aca="false">IF(A298="","",I298*(1-M298/100))</f>
        <v/>
      </c>
      <c r="K298" s="25"/>
      <c r="L298" s="25"/>
      <c r="M298" s="26" t="str">
        <f aca="false">IF(A298="","",K298+L298)</f>
        <v/>
      </c>
      <c r="N298" s="25"/>
      <c r="O298" s="23"/>
      <c r="P298" s="23"/>
      <c r="Q298" s="24" t="str">
        <f aca="false">IF(A298="","",J298*(1-N298/100)-O298-P298)</f>
        <v/>
      </c>
      <c r="R298" s="25"/>
      <c r="S298" s="17" t="str">
        <f aca="false">IF(Policy!A298="","",Policy!U298)</f>
        <v/>
      </c>
      <c r="T298" s="17" t="str">
        <f aca="false">IF(OR(A298="",Policy!L298=""),"",MONTH(Policy!L298))</f>
        <v/>
      </c>
      <c r="U298" s="17" t="str">
        <f aca="false">IF(OR(A298="",Policy!L298=""),"",YEAR(Policy!L298))</f>
        <v/>
      </c>
      <c r="V298" s="17" t="str">
        <f aca="false">IF(Policy!A298="","",Policy!J298)</f>
        <v/>
      </c>
      <c r="W298" s="14"/>
    </row>
    <row r="299" customFormat="false" ht="15" hidden="false" customHeight="false" outlineLevel="0" collapsed="false">
      <c r="A299" s="17" t="str">
        <f aca="false">IF(Policy!A299="","",Policy!A299)</f>
        <v/>
      </c>
      <c r="B299" s="17" t="str">
        <f aca="false">IF(Policy!A299="","",Policy!B299)</f>
        <v/>
      </c>
      <c r="C299" s="17" t="str">
        <f aca="false">IF(Policy!A299="","",Policy!E299)</f>
        <v/>
      </c>
      <c r="D299" s="17" t="str">
        <f aca="false">IF(Policy!A299="","",Policy!G299)</f>
        <v/>
      </c>
      <c r="E299" s="17" t="str">
        <f aca="false">IF(Policy!A299="","",Policy!H299)</f>
        <v/>
      </c>
      <c r="F299" s="22" t="str">
        <f aca="false">IF(Policy!A299="","",Risk!D299)</f>
        <v/>
      </c>
      <c r="G299" s="23"/>
      <c r="H299" s="24" t="str">
        <f aca="false">IF(A299="","",G299*(1-M299/100))</f>
        <v/>
      </c>
      <c r="I299" s="24" t="str">
        <f aca="false">IF(A299="","",G299*F299/100)</f>
        <v/>
      </c>
      <c r="J299" s="24" t="str">
        <f aca="false">IF(A299="","",I299*(1-M299/100))</f>
        <v/>
      </c>
      <c r="K299" s="25"/>
      <c r="L299" s="25"/>
      <c r="M299" s="26" t="str">
        <f aca="false">IF(A299="","",K299+L299)</f>
        <v/>
      </c>
      <c r="N299" s="25"/>
      <c r="O299" s="23"/>
      <c r="P299" s="23"/>
      <c r="Q299" s="24" t="str">
        <f aca="false">IF(A299="","",J299*(1-N299/100)-O299-P299)</f>
        <v/>
      </c>
      <c r="R299" s="25"/>
      <c r="S299" s="17" t="str">
        <f aca="false">IF(Policy!A299="","",Policy!U299)</f>
        <v/>
      </c>
      <c r="T299" s="17" t="str">
        <f aca="false">IF(OR(A299="",Policy!L299=""),"",MONTH(Policy!L299))</f>
        <v/>
      </c>
      <c r="U299" s="17" t="str">
        <f aca="false">IF(OR(A299="",Policy!L299=""),"",YEAR(Policy!L299))</f>
        <v/>
      </c>
      <c r="V299" s="17" t="str">
        <f aca="false">IF(Policy!A299="","",Policy!J299)</f>
        <v/>
      </c>
      <c r="W299" s="14"/>
    </row>
    <row r="300" customFormat="false" ht="15" hidden="false" customHeight="false" outlineLevel="0" collapsed="false">
      <c r="A300" s="17" t="str">
        <f aca="false">IF(Policy!A300="","",Policy!A300)</f>
        <v/>
      </c>
      <c r="B300" s="17" t="str">
        <f aca="false">IF(Policy!A300="","",Policy!B300)</f>
        <v/>
      </c>
      <c r="C300" s="17" t="str">
        <f aca="false">IF(Policy!A300="","",Policy!E300)</f>
        <v/>
      </c>
      <c r="D300" s="17" t="str">
        <f aca="false">IF(Policy!A300="","",Policy!G300)</f>
        <v/>
      </c>
      <c r="E300" s="17" t="str">
        <f aca="false">IF(Policy!A300="","",Policy!H300)</f>
        <v/>
      </c>
      <c r="F300" s="22" t="str">
        <f aca="false">IF(Policy!A300="","",Risk!D300)</f>
        <v/>
      </c>
      <c r="G300" s="23"/>
      <c r="H300" s="24" t="str">
        <f aca="false">IF(A300="","",G300*(1-M300/100))</f>
        <v/>
      </c>
      <c r="I300" s="24" t="str">
        <f aca="false">IF(A300="","",G300*F300/100)</f>
        <v/>
      </c>
      <c r="J300" s="24" t="str">
        <f aca="false">IF(A300="","",I300*(1-M300/100))</f>
        <v/>
      </c>
      <c r="K300" s="25"/>
      <c r="L300" s="25"/>
      <c r="M300" s="26" t="str">
        <f aca="false">IF(A300="","",K300+L300)</f>
        <v/>
      </c>
      <c r="N300" s="25"/>
      <c r="O300" s="23"/>
      <c r="P300" s="23"/>
      <c r="Q300" s="24" t="str">
        <f aca="false">IF(A300="","",J300*(1-N300/100)-O300-P300)</f>
        <v/>
      </c>
      <c r="R300" s="25"/>
      <c r="S300" s="17" t="str">
        <f aca="false">IF(Policy!A300="","",Policy!U300)</f>
        <v/>
      </c>
      <c r="T300" s="17" t="str">
        <f aca="false">IF(OR(A300="",Policy!L300=""),"",MONTH(Policy!L300))</f>
        <v/>
      </c>
      <c r="U300" s="17" t="str">
        <f aca="false">IF(OR(A300="",Policy!L300=""),"",YEAR(Policy!L300))</f>
        <v/>
      </c>
      <c r="V300" s="17" t="str">
        <f aca="false">IF(Policy!A300="","",Policy!J300)</f>
        <v/>
      </c>
      <c r="W300" s="14"/>
    </row>
    <row r="301" customFormat="false" ht="15" hidden="false" customHeight="false" outlineLevel="0" collapsed="false">
      <c r="A301" s="17" t="str">
        <f aca="false">IF(Policy!A301="","",Policy!A301)</f>
        <v/>
      </c>
      <c r="B301" s="17" t="str">
        <f aca="false">IF(Policy!A301="","",Policy!B301)</f>
        <v/>
      </c>
      <c r="C301" s="17" t="str">
        <f aca="false">IF(Policy!A301="","",Policy!E301)</f>
        <v/>
      </c>
      <c r="D301" s="17" t="str">
        <f aca="false">IF(Policy!A301="","",Policy!G301)</f>
        <v/>
      </c>
      <c r="E301" s="17" t="str">
        <f aca="false">IF(Policy!A301="","",Policy!H301)</f>
        <v/>
      </c>
      <c r="F301" s="22" t="str">
        <f aca="false">IF(Policy!A301="","",Risk!D301)</f>
        <v/>
      </c>
      <c r="G301" s="23"/>
      <c r="H301" s="24" t="str">
        <f aca="false">IF(A301="","",G301*(1-M301/100))</f>
        <v/>
      </c>
      <c r="I301" s="24" t="str">
        <f aca="false">IF(A301="","",G301*F301/100)</f>
        <v/>
      </c>
      <c r="J301" s="24" t="str">
        <f aca="false">IF(A301="","",I301*(1-M301/100))</f>
        <v/>
      </c>
      <c r="K301" s="25"/>
      <c r="L301" s="25"/>
      <c r="M301" s="26" t="str">
        <f aca="false">IF(A301="","",K301+L301)</f>
        <v/>
      </c>
      <c r="N301" s="25"/>
      <c r="O301" s="23"/>
      <c r="P301" s="23"/>
      <c r="Q301" s="24" t="str">
        <f aca="false">IF(A301="","",J301*(1-N301/100)-O301-P301)</f>
        <v/>
      </c>
      <c r="R301" s="25"/>
      <c r="S301" s="17" t="str">
        <f aca="false">IF(Policy!A301="","",Policy!U301)</f>
        <v/>
      </c>
      <c r="T301" s="17" t="str">
        <f aca="false">IF(OR(A301="",Policy!L301=""),"",MONTH(Policy!L301))</f>
        <v/>
      </c>
      <c r="U301" s="17" t="str">
        <f aca="false">IF(OR(A301="",Policy!L301=""),"",YEAR(Policy!L301))</f>
        <v/>
      </c>
      <c r="V301" s="17" t="str">
        <f aca="false">IF(Policy!A301="","",Policy!J301)</f>
        <v/>
      </c>
      <c r="W301" s="14"/>
    </row>
  </sheetData>
  <autoFilter ref="A1:W301"/>
  <conditionalFormatting sqref="G2:G301">
    <cfRule type="expression" priority="2" aboveAverage="0" equalAverage="0" bottom="0" percent="0" rank="0" text="" dxfId="8">
      <formula>AND($V2="Bound",OR(G2="",G2=0))</formula>
    </cfRule>
  </conditionalFormatting>
  <dataValidations count="4">
    <dataValidation allowBlank="true" error="Nhập phí gốc 100% (USD). Hoàn phí nhập số âm." errorStyle="stop" errorTitle="Số không hợp lệ" operator="between" showDropDown="false" showErrorMessage="true" showInputMessage="false" sqref="G2:G301" type="decimal">
      <formula1>-10000000000</formula1>
      <formula2>10000000000</formula2>
    </dataValidation>
    <dataValidation allowBlank="true" error="Nhập phần trăm từ 0 đến 60, ví dụ 21,5." errorStyle="stop" errorTitle="Số không hợp lệ" operator="between" showDropDown="false" showErrorMessage="true" showInputMessage="false" sqref="K2:L301 N2:N301" type="decimal">
      <formula1>0</formula1>
      <formula2>60</formula2>
    </dataValidation>
    <dataValidation allowBlank="true" error="Nhập số tiền USD ≥ 0." errorStyle="stop" errorTitle="Số không hợp lệ" operator="between" showDropDown="false" showErrorMessage="true" showInputMessage="false" sqref="O2:P301" type="decimal">
      <formula1>0</formula1>
      <formula2>1000000000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W2:W301" type="list">
      <formula1>L_PremStatus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7" min="5" style="0" width="14"/>
    <col collapsed="false" customWidth="true" hidden="false" outlineLevel="0" max="8" min="8" style="0" width="40"/>
    <col collapsed="false" customWidth="true" hidden="false" outlineLevel="0" max="21" min="9" style="0" width="14"/>
    <col collapsed="false" customWidth="true" hidden="false" outlineLevel="0" max="22" min="22" style="0" width="16"/>
    <col collapsed="false" customWidth="true" hidden="false" outlineLevel="0" max="26" min="23" style="0" width="14"/>
  </cols>
  <sheetData>
    <row r="1" customFormat="false" ht="36" hidden="false" customHeight="true" outlineLevel="0" collapsed="false">
      <c r="A1" s="12" t="s">
        <v>40</v>
      </c>
      <c r="B1" s="13" t="s">
        <v>41</v>
      </c>
      <c r="C1" s="13" t="s">
        <v>44</v>
      </c>
      <c r="D1" s="12" t="s">
        <v>112</v>
      </c>
      <c r="E1" s="12" t="s">
        <v>113</v>
      </c>
      <c r="F1" s="12" t="s">
        <v>114</v>
      </c>
      <c r="G1" s="12" t="s">
        <v>115</v>
      </c>
      <c r="H1" s="12" t="s">
        <v>116</v>
      </c>
      <c r="I1" s="12" t="s">
        <v>117</v>
      </c>
      <c r="J1" s="12" t="s">
        <v>118</v>
      </c>
      <c r="K1" s="12" t="s">
        <v>119</v>
      </c>
      <c r="L1" s="12" t="s">
        <v>120</v>
      </c>
      <c r="M1" s="12" t="s">
        <v>121</v>
      </c>
      <c r="N1" s="12" t="s">
        <v>122</v>
      </c>
      <c r="O1" s="12" t="s">
        <v>123</v>
      </c>
      <c r="P1" s="13" t="s">
        <v>124</v>
      </c>
      <c r="Q1" s="13" t="s">
        <v>82</v>
      </c>
      <c r="R1" s="13" t="s">
        <v>125</v>
      </c>
      <c r="S1" s="13" t="s">
        <v>126</v>
      </c>
      <c r="T1" s="13" t="s">
        <v>127</v>
      </c>
      <c r="U1" s="13" t="s">
        <v>128</v>
      </c>
      <c r="V1" s="13" t="s">
        <v>129</v>
      </c>
      <c r="W1" s="12" t="s">
        <v>49</v>
      </c>
      <c r="X1" s="12" t="s">
        <v>130</v>
      </c>
      <c r="Y1" s="12" t="s">
        <v>131</v>
      </c>
      <c r="Z1" s="12" t="s">
        <v>132</v>
      </c>
    </row>
    <row r="2" customFormat="false" ht="15" hidden="false" customHeight="false" outlineLevel="0" collapsed="false">
      <c r="A2" s="14" t="s">
        <v>65</v>
      </c>
      <c r="B2" s="17" t="str">
        <f aca="false">IF($A2="","",IFERROR(INDEX(Policy!$B$2:$B$301,MATCH($A2,Policy!$A$2:$A$301,0)),"MRO không có"))</f>
        <v>AJG</v>
      </c>
      <c r="C2" s="17" t="str">
        <f aca="false">IF($A2="","",IFERROR(INDEX(Policy!$E$2:$E$301,MATCH($A2,Policy!$A$2:$A$301,0)),"MRO không có"))</f>
        <v>VÍ DỤ – xoá dòng này</v>
      </c>
      <c r="D2" s="14" t="s">
        <v>133</v>
      </c>
      <c r="E2" s="15" t="n">
        <v>46331</v>
      </c>
      <c r="F2" s="15" t="n">
        <v>46327</v>
      </c>
      <c r="G2" s="14"/>
      <c r="H2" s="14" t="s">
        <v>134</v>
      </c>
      <c r="I2" s="14" t="s">
        <v>84</v>
      </c>
      <c r="J2" s="14" t="s">
        <v>135</v>
      </c>
      <c r="K2" s="14"/>
      <c r="L2" s="23" t="n">
        <v>0</v>
      </c>
      <c r="M2" s="23" t="n">
        <v>0</v>
      </c>
      <c r="N2" s="23" t="n">
        <v>500000</v>
      </c>
      <c r="O2" s="23" t="n">
        <v>0</v>
      </c>
      <c r="P2" s="24" t="n">
        <f aca="false">IF($A2="","",L2+M2+N2+O2)</f>
        <v>500000</v>
      </c>
      <c r="Q2" s="22" t="n">
        <f aca="false">IF($A2="","",IFERROR(INDEX(Risk!$D$2:$D$301,MATCH($A2,Policy!$A$2:$A$301,0)),0))</f>
        <v>0.5</v>
      </c>
      <c r="R2" s="24" t="n">
        <f aca="false">IF($A2="","",L2*Q2/100)</f>
        <v>0</v>
      </c>
      <c r="S2" s="24" t="n">
        <f aca="false">IF($A2="","",M2*Q2/100)</f>
        <v>0</v>
      </c>
      <c r="T2" s="24" t="n">
        <f aca="false">IF($A2="","",N2*Q2/100)</f>
        <v>2500</v>
      </c>
      <c r="U2" s="24" t="n">
        <f aca="false">IF($A2="","",O2*Q2/100)</f>
        <v>0</v>
      </c>
      <c r="V2" s="24" t="n">
        <f aca="false">IF($A2="","",R2+S2+T2+U2)</f>
        <v>2500</v>
      </c>
      <c r="W2" s="14" t="s">
        <v>136</v>
      </c>
      <c r="X2" s="15" t="n">
        <v>46331</v>
      </c>
      <c r="Y2" s="23"/>
      <c r="Z2" s="14"/>
    </row>
    <row r="3" customFormat="false" ht="15" hidden="false" customHeight="false" outlineLevel="0" collapsed="false">
      <c r="A3" s="14"/>
      <c r="B3" s="17" t="str">
        <f aca="false">IF($A3="","",IFERROR(INDEX(Policy!$B$2:$B$301,MATCH($A3,Policy!$A$2:$A$301,0)),"MRO không có"))</f>
        <v/>
      </c>
      <c r="C3" s="17" t="str">
        <f aca="false">IF($A3="","",IFERROR(INDEX(Policy!$E$2:$E$301,MATCH($A3,Policy!$A$2:$A$301,0)),"MRO không có"))</f>
        <v/>
      </c>
      <c r="D3" s="14"/>
      <c r="E3" s="15"/>
      <c r="F3" s="15"/>
      <c r="G3" s="14"/>
      <c r="H3" s="14"/>
      <c r="I3" s="14"/>
      <c r="J3" s="14"/>
      <c r="K3" s="14"/>
      <c r="L3" s="23"/>
      <c r="M3" s="23"/>
      <c r="N3" s="23"/>
      <c r="O3" s="23"/>
      <c r="P3" s="24" t="str">
        <f aca="false">IF($A3="","",L3+M3+N3+O3)</f>
        <v/>
      </c>
      <c r="Q3" s="22" t="str">
        <f aca="false">IF($A3="","",IFERROR(INDEX(Risk!$D$2:$D$301,MATCH($A3,Policy!$A$2:$A$301,0)),0))</f>
        <v/>
      </c>
      <c r="R3" s="24" t="str">
        <f aca="false">IF($A3="","",L3*Q3/100)</f>
        <v/>
      </c>
      <c r="S3" s="24" t="str">
        <f aca="false">IF($A3="","",M3*Q3/100)</f>
        <v/>
      </c>
      <c r="T3" s="24" t="str">
        <f aca="false">IF($A3="","",N3*Q3/100)</f>
        <v/>
      </c>
      <c r="U3" s="24" t="str">
        <f aca="false">IF($A3="","",O3*Q3/100)</f>
        <v/>
      </c>
      <c r="V3" s="24" t="str">
        <f aca="false">IF($A3="","",R3+S3+T3+U3)</f>
        <v/>
      </c>
      <c r="W3" s="14"/>
      <c r="X3" s="15"/>
      <c r="Y3" s="23"/>
      <c r="Z3" s="14"/>
    </row>
    <row r="4" customFormat="false" ht="15" hidden="false" customHeight="false" outlineLevel="0" collapsed="false">
      <c r="A4" s="14"/>
      <c r="B4" s="17" t="str">
        <f aca="false">IF($A4="","",IFERROR(INDEX(Policy!$B$2:$B$301,MATCH($A4,Policy!$A$2:$A$301,0)),"MRO không có"))</f>
        <v/>
      </c>
      <c r="C4" s="17" t="str">
        <f aca="false">IF($A4="","",IFERROR(INDEX(Policy!$E$2:$E$301,MATCH($A4,Policy!$A$2:$A$301,0)),"MRO không có"))</f>
        <v/>
      </c>
      <c r="D4" s="14"/>
      <c r="E4" s="15"/>
      <c r="F4" s="15"/>
      <c r="G4" s="14"/>
      <c r="H4" s="14"/>
      <c r="I4" s="14"/>
      <c r="J4" s="14"/>
      <c r="K4" s="14"/>
      <c r="L4" s="23"/>
      <c r="M4" s="23"/>
      <c r="N4" s="23"/>
      <c r="O4" s="23"/>
      <c r="P4" s="24" t="str">
        <f aca="false">IF($A4="","",L4+M4+N4+O4)</f>
        <v/>
      </c>
      <c r="Q4" s="22" t="str">
        <f aca="false">IF($A4="","",IFERROR(INDEX(Risk!$D$2:$D$301,MATCH($A4,Policy!$A$2:$A$301,0)),0))</f>
        <v/>
      </c>
      <c r="R4" s="24" t="str">
        <f aca="false">IF($A4="","",L4*Q4/100)</f>
        <v/>
      </c>
      <c r="S4" s="24" t="str">
        <f aca="false">IF($A4="","",M4*Q4/100)</f>
        <v/>
      </c>
      <c r="T4" s="24" t="str">
        <f aca="false">IF($A4="","",N4*Q4/100)</f>
        <v/>
      </c>
      <c r="U4" s="24" t="str">
        <f aca="false">IF($A4="","",O4*Q4/100)</f>
        <v/>
      </c>
      <c r="V4" s="24" t="str">
        <f aca="false">IF($A4="","",R4+S4+T4+U4)</f>
        <v/>
      </c>
      <c r="W4" s="14"/>
      <c r="X4" s="15"/>
      <c r="Y4" s="23"/>
      <c r="Z4" s="14"/>
    </row>
    <row r="5" customFormat="false" ht="15" hidden="false" customHeight="false" outlineLevel="0" collapsed="false">
      <c r="A5" s="14"/>
      <c r="B5" s="17" t="str">
        <f aca="false">IF($A5="","",IFERROR(INDEX(Policy!$B$2:$B$301,MATCH($A5,Policy!$A$2:$A$301,0)),"MRO không có"))</f>
        <v/>
      </c>
      <c r="C5" s="17" t="str">
        <f aca="false">IF($A5="","",IFERROR(INDEX(Policy!$E$2:$E$301,MATCH($A5,Policy!$A$2:$A$301,0)),"MRO không có"))</f>
        <v/>
      </c>
      <c r="D5" s="14"/>
      <c r="E5" s="15"/>
      <c r="F5" s="15"/>
      <c r="G5" s="14"/>
      <c r="H5" s="14"/>
      <c r="I5" s="14"/>
      <c r="J5" s="14"/>
      <c r="K5" s="14"/>
      <c r="L5" s="23"/>
      <c r="M5" s="23"/>
      <c r="N5" s="23"/>
      <c r="O5" s="23"/>
      <c r="P5" s="24" t="str">
        <f aca="false">IF($A5="","",L5+M5+N5+O5)</f>
        <v/>
      </c>
      <c r="Q5" s="22" t="str">
        <f aca="false">IF($A5="","",IFERROR(INDEX(Risk!$D$2:$D$301,MATCH($A5,Policy!$A$2:$A$301,0)),0))</f>
        <v/>
      </c>
      <c r="R5" s="24" t="str">
        <f aca="false">IF($A5="","",L5*Q5/100)</f>
        <v/>
      </c>
      <c r="S5" s="24" t="str">
        <f aca="false">IF($A5="","",M5*Q5/100)</f>
        <v/>
      </c>
      <c r="T5" s="24" t="str">
        <f aca="false">IF($A5="","",N5*Q5/100)</f>
        <v/>
      </c>
      <c r="U5" s="24" t="str">
        <f aca="false">IF($A5="","",O5*Q5/100)</f>
        <v/>
      </c>
      <c r="V5" s="24" t="str">
        <f aca="false">IF($A5="","",R5+S5+T5+U5)</f>
        <v/>
      </c>
      <c r="W5" s="14"/>
      <c r="X5" s="15"/>
      <c r="Y5" s="23"/>
      <c r="Z5" s="14"/>
    </row>
    <row r="6" customFormat="false" ht="15" hidden="false" customHeight="false" outlineLevel="0" collapsed="false">
      <c r="A6" s="14"/>
      <c r="B6" s="17" t="str">
        <f aca="false">IF($A6="","",IFERROR(INDEX(Policy!$B$2:$B$301,MATCH($A6,Policy!$A$2:$A$301,0)),"MRO không có"))</f>
        <v/>
      </c>
      <c r="C6" s="17" t="str">
        <f aca="false">IF($A6="","",IFERROR(INDEX(Policy!$E$2:$E$301,MATCH($A6,Policy!$A$2:$A$301,0)),"MRO không có"))</f>
        <v/>
      </c>
      <c r="D6" s="14"/>
      <c r="E6" s="15"/>
      <c r="F6" s="15"/>
      <c r="G6" s="14"/>
      <c r="H6" s="14"/>
      <c r="I6" s="14"/>
      <c r="J6" s="14"/>
      <c r="K6" s="14"/>
      <c r="L6" s="23"/>
      <c r="M6" s="23"/>
      <c r="N6" s="23"/>
      <c r="O6" s="23"/>
      <c r="P6" s="24" t="str">
        <f aca="false">IF($A6="","",L6+M6+N6+O6)</f>
        <v/>
      </c>
      <c r="Q6" s="22" t="str">
        <f aca="false">IF($A6="","",IFERROR(INDEX(Risk!$D$2:$D$301,MATCH($A6,Policy!$A$2:$A$301,0)),0))</f>
        <v/>
      </c>
      <c r="R6" s="24" t="str">
        <f aca="false">IF($A6="","",L6*Q6/100)</f>
        <v/>
      </c>
      <c r="S6" s="24" t="str">
        <f aca="false">IF($A6="","",M6*Q6/100)</f>
        <v/>
      </c>
      <c r="T6" s="24" t="str">
        <f aca="false">IF($A6="","",N6*Q6/100)</f>
        <v/>
      </c>
      <c r="U6" s="24" t="str">
        <f aca="false">IF($A6="","",O6*Q6/100)</f>
        <v/>
      </c>
      <c r="V6" s="24" t="str">
        <f aca="false">IF($A6="","",R6+S6+T6+U6)</f>
        <v/>
      </c>
      <c r="W6" s="14"/>
      <c r="X6" s="15"/>
      <c r="Y6" s="23"/>
      <c r="Z6" s="14"/>
    </row>
    <row r="7" customFormat="false" ht="15" hidden="false" customHeight="false" outlineLevel="0" collapsed="false">
      <c r="A7" s="14"/>
      <c r="B7" s="17" t="str">
        <f aca="false">IF($A7="","",IFERROR(INDEX(Policy!$B$2:$B$301,MATCH($A7,Policy!$A$2:$A$301,0)),"MRO không có"))</f>
        <v/>
      </c>
      <c r="C7" s="17" t="str">
        <f aca="false">IF($A7="","",IFERROR(INDEX(Policy!$E$2:$E$301,MATCH($A7,Policy!$A$2:$A$301,0)),"MRO không có"))</f>
        <v/>
      </c>
      <c r="D7" s="14"/>
      <c r="E7" s="15"/>
      <c r="F7" s="15"/>
      <c r="G7" s="14"/>
      <c r="H7" s="14"/>
      <c r="I7" s="14"/>
      <c r="J7" s="14"/>
      <c r="K7" s="14"/>
      <c r="L7" s="23"/>
      <c r="M7" s="23"/>
      <c r="N7" s="23"/>
      <c r="O7" s="23"/>
      <c r="P7" s="24" t="str">
        <f aca="false">IF($A7="","",L7+M7+N7+O7)</f>
        <v/>
      </c>
      <c r="Q7" s="22" t="str">
        <f aca="false">IF($A7="","",IFERROR(INDEX(Risk!$D$2:$D$301,MATCH($A7,Policy!$A$2:$A$301,0)),0))</f>
        <v/>
      </c>
      <c r="R7" s="24" t="str">
        <f aca="false">IF($A7="","",L7*Q7/100)</f>
        <v/>
      </c>
      <c r="S7" s="24" t="str">
        <f aca="false">IF($A7="","",M7*Q7/100)</f>
        <v/>
      </c>
      <c r="T7" s="24" t="str">
        <f aca="false">IF($A7="","",N7*Q7/100)</f>
        <v/>
      </c>
      <c r="U7" s="24" t="str">
        <f aca="false">IF($A7="","",O7*Q7/100)</f>
        <v/>
      </c>
      <c r="V7" s="24" t="str">
        <f aca="false">IF($A7="","",R7+S7+T7+U7)</f>
        <v/>
      </c>
      <c r="W7" s="14"/>
      <c r="X7" s="15"/>
      <c r="Y7" s="23"/>
      <c r="Z7" s="14"/>
    </row>
    <row r="8" customFormat="false" ht="15" hidden="false" customHeight="false" outlineLevel="0" collapsed="false">
      <c r="A8" s="14"/>
      <c r="B8" s="17" t="str">
        <f aca="false">IF($A8="","",IFERROR(INDEX(Policy!$B$2:$B$301,MATCH($A8,Policy!$A$2:$A$301,0)),"MRO không có"))</f>
        <v/>
      </c>
      <c r="C8" s="17" t="str">
        <f aca="false">IF($A8="","",IFERROR(INDEX(Policy!$E$2:$E$301,MATCH($A8,Policy!$A$2:$A$301,0)),"MRO không có"))</f>
        <v/>
      </c>
      <c r="D8" s="14"/>
      <c r="E8" s="15"/>
      <c r="F8" s="15"/>
      <c r="G8" s="14"/>
      <c r="H8" s="14"/>
      <c r="I8" s="14"/>
      <c r="J8" s="14"/>
      <c r="K8" s="14"/>
      <c r="L8" s="23"/>
      <c r="M8" s="23"/>
      <c r="N8" s="23"/>
      <c r="O8" s="23"/>
      <c r="P8" s="24" t="str">
        <f aca="false">IF($A8="","",L8+M8+N8+O8)</f>
        <v/>
      </c>
      <c r="Q8" s="22" t="str">
        <f aca="false">IF($A8="","",IFERROR(INDEX(Risk!$D$2:$D$301,MATCH($A8,Policy!$A$2:$A$301,0)),0))</f>
        <v/>
      </c>
      <c r="R8" s="24" t="str">
        <f aca="false">IF($A8="","",L8*Q8/100)</f>
        <v/>
      </c>
      <c r="S8" s="24" t="str">
        <f aca="false">IF($A8="","",M8*Q8/100)</f>
        <v/>
      </c>
      <c r="T8" s="24" t="str">
        <f aca="false">IF($A8="","",N8*Q8/100)</f>
        <v/>
      </c>
      <c r="U8" s="24" t="str">
        <f aca="false">IF($A8="","",O8*Q8/100)</f>
        <v/>
      </c>
      <c r="V8" s="24" t="str">
        <f aca="false">IF($A8="","",R8+S8+T8+U8)</f>
        <v/>
      </c>
      <c r="W8" s="14"/>
      <c r="X8" s="15"/>
      <c r="Y8" s="23"/>
      <c r="Z8" s="14"/>
    </row>
    <row r="9" customFormat="false" ht="15" hidden="false" customHeight="false" outlineLevel="0" collapsed="false">
      <c r="A9" s="14"/>
      <c r="B9" s="17" t="str">
        <f aca="false">IF($A9="","",IFERROR(INDEX(Policy!$B$2:$B$301,MATCH($A9,Policy!$A$2:$A$301,0)),"MRO không có"))</f>
        <v/>
      </c>
      <c r="C9" s="17" t="str">
        <f aca="false">IF($A9="","",IFERROR(INDEX(Policy!$E$2:$E$301,MATCH($A9,Policy!$A$2:$A$301,0)),"MRO không có"))</f>
        <v/>
      </c>
      <c r="D9" s="14"/>
      <c r="E9" s="15"/>
      <c r="F9" s="15"/>
      <c r="G9" s="14"/>
      <c r="H9" s="14"/>
      <c r="I9" s="14"/>
      <c r="J9" s="14"/>
      <c r="K9" s="14"/>
      <c r="L9" s="23"/>
      <c r="M9" s="23"/>
      <c r="N9" s="23"/>
      <c r="O9" s="23"/>
      <c r="P9" s="24" t="str">
        <f aca="false">IF($A9="","",L9+M9+N9+O9)</f>
        <v/>
      </c>
      <c r="Q9" s="22" t="str">
        <f aca="false">IF($A9="","",IFERROR(INDEX(Risk!$D$2:$D$301,MATCH($A9,Policy!$A$2:$A$301,0)),0))</f>
        <v/>
      </c>
      <c r="R9" s="24" t="str">
        <f aca="false">IF($A9="","",L9*Q9/100)</f>
        <v/>
      </c>
      <c r="S9" s="24" t="str">
        <f aca="false">IF($A9="","",M9*Q9/100)</f>
        <v/>
      </c>
      <c r="T9" s="24" t="str">
        <f aca="false">IF($A9="","",N9*Q9/100)</f>
        <v/>
      </c>
      <c r="U9" s="24" t="str">
        <f aca="false">IF($A9="","",O9*Q9/100)</f>
        <v/>
      </c>
      <c r="V9" s="24" t="str">
        <f aca="false">IF($A9="","",R9+S9+T9+U9)</f>
        <v/>
      </c>
      <c r="W9" s="14"/>
      <c r="X9" s="15"/>
      <c r="Y9" s="23"/>
      <c r="Z9" s="14"/>
    </row>
    <row r="10" customFormat="false" ht="15" hidden="false" customHeight="false" outlineLevel="0" collapsed="false">
      <c r="A10" s="14"/>
      <c r="B10" s="17" t="str">
        <f aca="false">IF($A10="","",IFERROR(INDEX(Policy!$B$2:$B$301,MATCH($A10,Policy!$A$2:$A$301,0)),"MRO không có"))</f>
        <v/>
      </c>
      <c r="C10" s="17" t="str">
        <f aca="false">IF($A10="","",IFERROR(INDEX(Policy!$E$2:$E$301,MATCH($A10,Policy!$A$2:$A$301,0)),"MRO không có"))</f>
        <v/>
      </c>
      <c r="D10" s="14"/>
      <c r="E10" s="15"/>
      <c r="F10" s="15"/>
      <c r="G10" s="14"/>
      <c r="H10" s="14"/>
      <c r="I10" s="14"/>
      <c r="J10" s="14"/>
      <c r="K10" s="14"/>
      <c r="L10" s="23"/>
      <c r="M10" s="23"/>
      <c r="N10" s="23"/>
      <c r="O10" s="23"/>
      <c r="P10" s="24" t="str">
        <f aca="false">IF($A10="","",L10+M10+N10+O10)</f>
        <v/>
      </c>
      <c r="Q10" s="22" t="str">
        <f aca="false">IF($A10="","",IFERROR(INDEX(Risk!$D$2:$D$301,MATCH($A10,Policy!$A$2:$A$301,0)),0))</f>
        <v/>
      </c>
      <c r="R10" s="24" t="str">
        <f aca="false">IF($A10="","",L10*Q10/100)</f>
        <v/>
      </c>
      <c r="S10" s="24" t="str">
        <f aca="false">IF($A10="","",M10*Q10/100)</f>
        <v/>
      </c>
      <c r="T10" s="24" t="str">
        <f aca="false">IF($A10="","",N10*Q10/100)</f>
        <v/>
      </c>
      <c r="U10" s="24" t="str">
        <f aca="false">IF($A10="","",O10*Q10/100)</f>
        <v/>
      </c>
      <c r="V10" s="24" t="str">
        <f aca="false">IF($A10="","",R10+S10+T10+U10)</f>
        <v/>
      </c>
      <c r="W10" s="14"/>
      <c r="X10" s="15"/>
      <c r="Y10" s="23"/>
      <c r="Z10" s="14"/>
    </row>
    <row r="11" customFormat="false" ht="15" hidden="false" customHeight="false" outlineLevel="0" collapsed="false">
      <c r="A11" s="14"/>
      <c r="B11" s="17" t="str">
        <f aca="false">IF($A11="","",IFERROR(INDEX(Policy!$B$2:$B$301,MATCH($A11,Policy!$A$2:$A$301,0)),"MRO không có"))</f>
        <v/>
      </c>
      <c r="C11" s="17" t="str">
        <f aca="false">IF($A11="","",IFERROR(INDEX(Policy!$E$2:$E$301,MATCH($A11,Policy!$A$2:$A$301,0)),"MRO không có"))</f>
        <v/>
      </c>
      <c r="D11" s="14"/>
      <c r="E11" s="15"/>
      <c r="F11" s="15"/>
      <c r="G11" s="14"/>
      <c r="H11" s="14"/>
      <c r="I11" s="14"/>
      <c r="J11" s="14"/>
      <c r="K11" s="14"/>
      <c r="L11" s="23"/>
      <c r="M11" s="23"/>
      <c r="N11" s="23"/>
      <c r="O11" s="23"/>
      <c r="P11" s="24" t="str">
        <f aca="false">IF($A11="","",L11+M11+N11+O11)</f>
        <v/>
      </c>
      <c r="Q11" s="22" t="str">
        <f aca="false">IF($A11="","",IFERROR(INDEX(Risk!$D$2:$D$301,MATCH($A11,Policy!$A$2:$A$301,0)),0))</f>
        <v/>
      </c>
      <c r="R11" s="24" t="str">
        <f aca="false">IF($A11="","",L11*Q11/100)</f>
        <v/>
      </c>
      <c r="S11" s="24" t="str">
        <f aca="false">IF($A11="","",M11*Q11/100)</f>
        <v/>
      </c>
      <c r="T11" s="24" t="str">
        <f aca="false">IF($A11="","",N11*Q11/100)</f>
        <v/>
      </c>
      <c r="U11" s="24" t="str">
        <f aca="false">IF($A11="","",O11*Q11/100)</f>
        <v/>
      </c>
      <c r="V11" s="24" t="str">
        <f aca="false">IF($A11="","",R11+S11+T11+U11)</f>
        <v/>
      </c>
      <c r="W11" s="14"/>
      <c r="X11" s="15"/>
      <c r="Y11" s="23"/>
      <c r="Z11" s="14"/>
    </row>
    <row r="12" customFormat="false" ht="15" hidden="false" customHeight="false" outlineLevel="0" collapsed="false">
      <c r="A12" s="14"/>
      <c r="B12" s="17" t="str">
        <f aca="false">IF($A12="","",IFERROR(INDEX(Policy!$B$2:$B$301,MATCH($A12,Policy!$A$2:$A$301,0)),"MRO không có"))</f>
        <v/>
      </c>
      <c r="C12" s="17" t="str">
        <f aca="false">IF($A12="","",IFERROR(INDEX(Policy!$E$2:$E$301,MATCH($A12,Policy!$A$2:$A$301,0)),"MRO không có"))</f>
        <v/>
      </c>
      <c r="D12" s="14"/>
      <c r="E12" s="15"/>
      <c r="F12" s="15"/>
      <c r="G12" s="14"/>
      <c r="H12" s="14"/>
      <c r="I12" s="14"/>
      <c r="J12" s="14"/>
      <c r="K12" s="14"/>
      <c r="L12" s="23"/>
      <c r="M12" s="23"/>
      <c r="N12" s="23"/>
      <c r="O12" s="23"/>
      <c r="P12" s="24" t="str">
        <f aca="false">IF($A12="","",L12+M12+N12+O12)</f>
        <v/>
      </c>
      <c r="Q12" s="22" t="str">
        <f aca="false">IF($A12="","",IFERROR(INDEX(Risk!$D$2:$D$301,MATCH($A12,Policy!$A$2:$A$301,0)),0))</f>
        <v/>
      </c>
      <c r="R12" s="24" t="str">
        <f aca="false">IF($A12="","",L12*Q12/100)</f>
        <v/>
      </c>
      <c r="S12" s="24" t="str">
        <f aca="false">IF($A12="","",M12*Q12/100)</f>
        <v/>
      </c>
      <c r="T12" s="24" t="str">
        <f aca="false">IF($A12="","",N12*Q12/100)</f>
        <v/>
      </c>
      <c r="U12" s="24" t="str">
        <f aca="false">IF($A12="","",O12*Q12/100)</f>
        <v/>
      </c>
      <c r="V12" s="24" t="str">
        <f aca="false">IF($A12="","",R12+S12+T12+U12)</f>
        <v/>
      </c>
      <c r="W12" s="14"/>
      <c r="X12" s="15"/>
      <c r="Y12" s="23"/>
      <c r="Z12" s="14"/>
    </row>
    <row r="13" customFormat="false" ht="15" hidden="false" customHeight="false" outlineLevel="0" collapsed="false">
      <c r="A13" s="14"/>
      <c r="B13" s="17" t="str">
        <f aca="false">IF($A13="","",IFERROR(INDEX(Policy!$B$2:$B$301,MATCH($A13,Policy!$A$2:$A$301,0)),"MRO không có"))</f>
        <v/>
      </c>
      <c r="C13" s="17" t="str">
        <f aca="false">IF($A13="","",IFERROR(INDEX(Policy!$E$2:$E$301,MATCH($A13,Policy!$A$2:$A$301,0)),"MRO không có"))</f>
        <v/>
      </c>
      <c r="D13" s="14"/>
      <c r="E13" s="15"/>
      <c r="F13" s="15"/>
      <c r="G13" s="14"/>
      <c r="H13" s="14"/>
      <c r="I13" s="14"/>
      <c r="J13" s="14"/>
      <c r="K13" s="14"/>
      <c r="L13" s="23"/>
      <c r="M13" s="23"/>
      <c r="N13" s="23"/>
      <c r="O13" s="23"/>
      <c r="P13" s="24" t="str">
        <f aca="false">IF($A13="","",L13+M13+N13+O13)</f>
        <v/>
      </c>
      <c r="Q13" s="22" t="str">
        <f aca="false">IF($A13="","",IFERROR(INDEX(Risk!$D$2:$D$301,MATCH($A13,Policy!$A$2:$A$301,0)),0))</f>
        <v/>
      </c>
      <c r="R13" s="24" t="str">
        <f aca="false">IF($A13="","",L13*Q13/100)</f>
        <v/>
      </c>
      <c r="S13" s="24" t="str">
        <f aca="false">IF($A13="","",M13*Q13/100)</f>
        <v/>
      </c>
      <c r="T13" s="24" t="str">
        <f aca="false">IF($A13="","",N13*Q13/100)</f>
        <v/>
      </c>
      <c r="U13" s="24" t="str">
        <f aca="false">IF($A13="","",O13*Q13/100)</f>
        <v/>
      </c>
      <c r="V13" s="24" t="str">
        <f aca="false">IF($A13="","",R13+S13+T13+U13)</f>
        <v/>
      </c>
      <c r="W13" s="14"/>
      <c r="X13" s="15"/>
      <c r="Y13" s="23"/>
      <c r="Z13" s="14"/>
    </row>
    <row r="14" customFormat="false" ht="15" hidden="false" customHeight="false" outlineLevel="0" collapsed="false">
      <c r="A14" s="14"/>
      <c r="B14" s="17" t="str">
        <f aca="false">IF($A14="","",IFERROR(INDEX(Policy!$B$2:$B$301,MATCH($A14,Policy!$A$2:$A$301,0)),"MRO không có"))</f>
        <v/>
      </c>
      <c r="C14" s="17" t="str">
        <f aca="false">IF($A14="","",IFERROR(INDEX(Policy!$E$2:$E$301,MATCH($A14,Policy!$A$2:$A$301,0)),"MRO không có"))</f>
        <v/>
      </c>
      <c r="D14" s="14"/>
      <c r="E14" s="15"/>
      <c r="F14" s="15"/>
      <c r="G14" s="14"/>
      <c r="H14" s="14"/>
      <c r="I14" s="14"/>
      <c r="J14" s="14"/>
      <c r="K14" s="14"/>
      <c r="L14" s="23"/>
      <c r="M14" s="23"/>
      <c r="N14" s="23"/>
      <c r="O14" s="23"/>
      <c r="P14" s="24" t="str">
        <f aca="false">IF($A14="","",L14+M14+N14+O14)</f>
        <v/>
      </c>
      <c r="Q14" s="22" t="str">
        <f aca="false">IF($A14="","",IFERROR(INDEX(Risk!$D$2:$D$301,MATCH($A14,Policy!$A$2:$A$301,0)),0))</f>
        <v/>
      </c>
      <c r="R14" s="24" t="str">
        <f aca="false">IF($A14="","",L14*Q14/100)</f>
        <v/>
      </c>
      <c r="S14" s="24" t="str">
        <f aca="false">IF($A14="","",M14*Q14/100)</f>
        <v/>
      </c>
      <c r="T14" s="24" t="str">
        <f aca="false">IF($A14="","",N14*Q14/100)</f>
        <v/>
      </c>
      <c r="U14" s="24" t="str">
        <f aca="false">IF($A14="","",O14*Q14/100)</f>
        <v/>
      </c>
      <c r="V14" s="24" t="str">
        <f aca="false">IF($A14="","",R14+S14+T14+U14)</f>
        <v/>
      </c>
      <c r="W14" s="14"/>
      <c r="X14" s="15"/>
      <c r="Y14" s="23"/>
      <c r="Z14" s="14"/>
    </row>
    <row r="15" customFormat="false" ht="15" hidden="false" customHeight="false" outlineLevel="0" collapsed="false">
      <c r="A15" s="14"/>
      <c r="B15" s="17" t="str">
        <f aca="false">IF($A15="","",IFERROR(INDEX(Policy!$B$2:$B$301,MATCH($A15,Policy!$A$2:$A$301,0)),"MRO không có"))</f>
        <v/>
      </c>
      <c r="C15" s="17" t="str">
        <f aca="false">IF($A15="","",IFERROR(INDEX(Policy!$E$2:$E$301,MATCH($A15,Policy!$A$2:$A$301,0)),"MRO không có"))</f>
        <v/>
      </c>
      <c r="D15" s="14"/>
      <c r="E15" s="15"/>
      <c r="F15" s="15"/>
      <c r="G15" s="14"/>
      <c r="H15" s="14"/>
      <c r="I15" s="14"/>
      <c r="J15" s="14"/>
      <c r="K15" s="14"/>
      <c r="L15" s="23"/>
      <c r="M15" s="23"/>
      <c r="N15" s="23"/>
      <c r="O15" s="23"/>
      <c r="P15" s="24" t="str">
        <f aca="false">IF($A15="","",L15+M15+N15+O15)</f>
        <v/>
      </c>
      <c r="Q15" s="22" t="str">
        <f aca="false">IF($A15="","",IFERROR(INDEX(Risk!$D$2:$D$301,MATCH($A15,Policy!$A$2:$A$301,0)),0))</f>
        <v/>
      </c>
      <c r="R15" s="24" t="str">
        <f aca="false">IF($A15="","",L15*Q15/100)</f>
        <v/>
      </c>
      <c r="S15" s="24" t="str">
        <f aca="false">IF($A15="","",M15*Q15/100)</f>
        <v/>
      </c>
      <c r="T15" s="24" t="str">
        <f aca="false">IF($A15="","",N15*Q15/100)</f>
        <v/>
      </c>
      <c r="U15" s="24" t="str">
        <f aca="false">IF($A15="","",O15*Q15/100)</f>
        <v/>
      </c>
      <c r="V15" s="24" t="str">
        <f aca="false">IF($A15="","",R15+S15+T15+U15)</f>
        <v/>
      </c>
      <c r="W15" s="14"/>
      <c r="X15" s="15"/>
      <c r="Y15" s="23"/>
      <c r="Z15" s="14"/>
    </row>
    <row r="16" customFormat="false" ht="15" hidden="false" customHeight="false" outlineLevel="0" collapsed="false">
      <c r="A16" s="14"/>
      <c r="B16" s="17" t="str">
        <f aca="false">IF($A16="","",IFERROR(INDEX(Policy!$B$2:$B$301,MATCH($A16,Policy!$A$2:$A$301,0)),"MRO không có"))</f>
        <v/>
      </c>
      <c r="C16" s="17" t="str">
        <f aca="false">IF($A16="","",IFERROR(INDEX(Policy!$E$2:$E$301,MATCH($A16,Policy!$A$2:$A$301,0)),"MRO không có"))</f>
        <v/>
      </c>
      <c r="D16" s="14"/>
      <c r="E16" s="15"/>
      <c r="F16" s="15"/>
      <c r="G16" s="14"/>
      <c r="H16" s="14"/>
      <c r="I16" s="14"/>
      <c r="J16" s="14"/>
      <c r="K16" s="14"/>
      <c r="L16" s="23"/>
      <c r="M16" s="23"/>
      <c r="N16" s="23"/>
      <c r="O16" s="23"/>
      <c r="P16" s="24" t="str">
        <f aca="false">IF($A16="","",L16+M16+N16+O16)</f>
        <v/>
      </c>
      <c r="Q16" s="22" t="str">
        <f aca="false">IF($A16="","",IFERROR(INDEX(Risk!$D$2:$D$301,MATCH($A16,Policy!$A$2:$A$301,0)),0))</f>
        <v/>
      </c>
      <c r="R16" s="24" t="str">
        <f aca="false">IF($A16="","",L16*Q16/100)</f>
        <v/>
      </c>
      <c r="S16" s="24" t="str">
        <f aca="false">IF($A16="","",M16*Q16/100)</f>
        <v/>
      </c>
      <c r="T16" s="24" t="str">
        <f aca="false">IF($A16="","",N16*Q16/100)</f>
        <v/>
      </c>
      <c r="U16" s="24" t="str">
        <f aca="false">IF($A16="","",O16*Q16/100)</f>
        <v/>
      </c>
      <c r="V16" s="24" t="str">
        <f aca="false">IF($A16="","",R16+S16+T16+U16)</f>
        <v/>
      </c>
      <c r="W16" s="14"/>
      <c r="X16" s="15"/>
      <c r="Y16" s="23"/>
      <c r="Z16" s="14"/>
    </row>
    <row r="17" customFormat="false" ht="15" hidden="false" customHeight="false" outlineLevel="0" collapsed="false">
      <c r="A17" s="14"/>
      <c r="B17" s="17" t="str">
        <f aca="false">IF($A17="","",IFERROR(INDEX(Policy!$B$2:$B$301,MATCH($A17,Policy!$A$2:$A$301,0)),"MRO không có"))</f>
        <v/>
      </c>
      <c r="C17" s="17" t="str">
        <f aca="false">IF($A17="","",IFERROR(INDEX(Policy!$E$2:$E$301,MATCH($A17,Policy!$A$2:$A$301,0)),"MRO không có"))</f>
        <v/>
      </c>
      <c r="D17" s="14"/>
      <c r="E17" s="15"/>
      <c r="F17" s="15"/>
      <c r="G17" s="14"/>
      <c r="H17" s="14"/>
      <c r="I17" s="14"/>
      <c r="J17" s="14"/>
      <c r="K17" s="14"/>
      <c r="L17" s="23"/>
      <c r="M17" s="23"/>
      <c r="N17" s="23"/>
      <c r="O17" s="23"/>
      <c r="P17" s="24" t="str">
        <f aca="false">IF($A17="","",L17+M17+N17+O17)</f>
        <v/>
      </c>
      <c r="Q17" s="22" t="str">
        <f aca="false">IF($A17="","",IFERROR(INDEX(Risk!$D$2:$D$301,MATCH($A17,Policy!$A$2:$A$301,0)),0))</f>
        <v/>
      </c>
      <c r="R17" s="24" t="str">
        <f aca="false">IF($A17="","",L17*Q17/100)</f>
        <v/>
      </c>
      <c r="S17" s="24" t="str">
        <f aca="false">IF($A17="","",M17*Q17/100)</f>
        <v/>
      </c>
      <c r="T17" s="24" t="str">
        <f aca="false">IF($A17="","",N17*Q17/100)</f>
        <v/>
      </c>
      <c r="U17" s="24" t="str">
        <f aca="false">IF($A17="","",O17*Q17/100)</f>
        <v/>
      </c>
      <c r="V17" s="24" t="str">
        <f aca="false">IF($A17="","",R17+S17+T17+U17)</f>
        <v/>
      </c>
      <c r="W17" s="14"/>
      <c r="X17" s="15"/>
      <c r="Y17" s="23"/>
      <c r="Z17" s="14"/>
    </row>
    <row r="18" customFormat="false" ht="15" hidden="false" customHeight="false" outlineLevel="0" collapsed="false">
      <c r="A18" s="14"/>
      <c r="B18" s="17" t="str">
        <f aca="false">IF($A18="","",IFERROR(INDEX(Policy!$B$2:$B$301,MATCH($A18,Policy!$A$2:$A$301,0)),"MRO không có"))</f>
        <v/>
      </c>
      <c r="C18" s="17" t="str">
        <f aca="false">IF($A18="","",IFERROR(INDEX(Policy!$E$2:$E$301,MATCH($A18,Policy!$A$2:$A$301,0)),"MRO không có"))</f>
        <v/>
      </c>
      <c r="D18" s="14"/>
      <c r="E18" s="15"/>
      <c r="F18" s="15"/>
      <c r="G18" s="14"/>
      <c r="H18" s="14"/>
      <c r="I18" s="14"/>
      <c r="J18" s="14"/>
      <c r="K18" s="14"/>
      <c r="L18" s="23"/>
      <c r="M18" s="23"/>
      <c r="N18" s="23"/>
      <c r="O18" s="23"/>
      <c r="P18" s="24" t="str">
        <f aca="false">IF($A18="","",L18+M18+N18+O18)</f>
        <v/>
      </c>
      <c r="Q18" s="22" t="str">
        <f aca="false">IF($A18="","",IFERROR(INDEX(Risk!$D$2:$D$301,MATCH($A18,Policy!$A$2:$A$301,0)),0))</f>
        <v/>
      </c>
      <c r="R18" s="24" t="str">
        <f aca="false">IF($A18="","",L18*Q18/100)</f>
        <v/>
      </c>
      <c r="S18" s="24" t="str">
        <f aca="false">IF($A18="","",M18*Q18/100)</f>
        <v/>
      </c>
      <c r="T18" s="24" t="str">
        <f aca="false">IF($A18="","",N18*Q18/100)</f>
        <v/>
      </c>
      <c r="U18" s="24" t="str">
        <f aca="false">IF($A18="","",O18*Q18/100)</f>
        <v/>
      </c>
      <c r="V18" s="24" t="str">
        <f aca="false">IF($A18="","",R18+S18+T18+U18)</f>
        <v/>
      </c>
      <c r="W18" s="14"/>
      <c r="X18" s="15"/>
      <c r="Y18" s="23"/>
      <c r="Z18" s="14"/>
    </row>
    <row r="19" customFormat="false" ht="15" hidden="false" customHeight="false" outlineLevel="0" collapsed="false">
      <c r="A19" s="14"/>
      <c r="B19" s="17" t="str">
        <f aca="false">IF($A19="","",IFERROR(INDEX(Policy!$B$2:$B$301,MATCH($A19,Policy!$A$2:$A$301,0)),"MRO không có"))</f>
        <v/>
      </c>
      <c r="C19" s="17" t="str">
        <f aca="false">IF($A19="","",IFERROR(INDEX(Policy!$E$2:$E$301,MATCH($A19,Policy!$A$2:$A$301,0)),"MRO không có"))</f>
        <v/>
      </c>
      <c r="D19" s="14"/>
      <c r="E19" s="15"/>
      <c r="F19" s="15"/>
      <c r="G19" s="14"/>
      <c r="H19" s="14"/>
      <c r="I19" s="14"/>
      <c r="J19" s="14"/>
      <c r="K19" s="14"/>
      <c r="L19" s="23"/>
      <c r="M19" s="23"/>
      <c r="N19" s="23"/>
      <c r="O19" s="23"/>
      <c r="P19" s="24" t="str">
        <f aca="false">IF($A19="","",L19+M19+N19+O19)</f>
        <v/>
      </c>
      <c r="Q19" s="22" t="str">
        <f aca="false">IF($A19="","",IFERROR(INDEX(Risk!$D$2:$D$301,MATCH($A19,Policy!$A$2:$A$301,0)),0))</f>
        <v/>
      </c>
      <c r="R19" s="24" t="str">
        <f aca="false">IF($A19="","",L19*Q19/100)</f>
        <v/>
      </c>
      <c r="S19" s="24" t="str">
        <f aca="false">IF($A19="","",M19*Q19/100)</f>
        <v/>
      </c>
      <c r="T19" s="24" t="str">
        <f aca="false">IF($A19="","",N19*Q19/100)</f>
        <v/>
      </c>
      <c r="U19" s="24" t="str">
        <f aca="false">IF($A19="","",O19*Q19/100)</f>
        <v/>
      </c>
      <c r="V19" s="24" t="str">
        <f aca="false">IF($A19="","",R19+S19+T19+U19)</f>
        <v/>
      </c>
      <c r="W19" s="14"/>
      <c r="X19" s="15"/>
      <c r="Y19" s="23"/>
      <c r="Z19" s="14"/>
    </row>
    <row r="20" customFormat="false" ht="15" hidden="false" customHeight="false" outlineLevel="0" collapsed="false">
      <c r="A20" s="14"/>
      <c r="B20" s="17" t="str">
        <f aca="false">IF($A20="","",IFERROR(INDEX(Policy!$B$2:$B$301,MATCH($A20,Policy!$A$2:$A$301,0)),"MRO không có"))</f>
        <v/>
      </c>
      <c r="C20" s="17" t="str">
        <f aca="false">IF($A20="","",IFERROR(INDEX(Policy!$E$2:$E$301,MATCH($A20,Policy!$A$2:$A$301,0)),"MRO không có"))</f>
        <v/>
      </c>
      <c r="D20" s="14"/>
      <c r="E20" s="15"/>
      <c r="F20" s="15"/>
      <c r="G20" s="14"/>
      <c r="H20" s="14"/>
      <c r="I20" s="14"/>
      <c r="J20" s="14"/>
      <c r="K20" s="14"/>
      <c r="L20" s="23"/>
      <c r="M20" s="23"/>
      <c r="N20" s="23"/>
      <c r="O20" s="23"/>
      <c r="P20" s="24" t="str">
        <f aca="false">IF($A20="","",L20+M20+N20+O20)</f>
        <v/>
      </c>
      <c r="Q20" s="22" t="str">
        <f aca="false">IF($A20="","",IFERROR(INDEX(Risk!$D$2:$D$301,MATCH($A20,Policy!$A$2:$A$301,0)),0))</f>
        <v/>
      </c>
      <c r="R20" s="24" t="str">
        <f aca="false">IF($A20="","",L20*Q20/100)</f>
        <v/>
      </c>
      <c r="S20" s="24" t="str">
        <f aca="false">IF($A20="","",M20*Q20/100)</f>
        <v/>
      </c>
      <c r="T20" s="24" t="str">
        <f aca="false">IF($A20="","",N20*Q20/100)</f>
        <v/>
      </c>
      <c r="U20" s="24" t="str">
        <f aca="false">IF($A20="","",O20*Q20/100)</f>
        <v/>
      </c>
      <c r="V20" s="24" t="str">
        <f aca="false">IF($A20="","",R20+S20+T20+U20)</f>
        <v/>
      </c>
      <c r="W20" s="14"/>
      <c r="X20" s="15"/>
      <c r="Y20" s="23"/>
      <c r="Z20" s="14"/>
    </row>
    <row r="21" customFormat="false" ht="15" hidden="false" customHeight="false" outlineLevel="0" collapsed="false">
      <c r="A21" s="14"/>
      <c r="B21" s="17" t="str">
        <f aca="false">IF($A21="","",IFERROR(INDEX(Policy!$B$2:$B$301,MATCH($A21,Policy!$A$2:$A$301,0)),"MRO không có"))</f>
        <v/>
      </c>
      <c r="C21" s="17" t="str">
        <f aca="false">IF($A21="","",IFERROR(INDEX(Policy!$E$2:$E$301,MATCH($A21,Policy!$A$2:$A$301,0)),"MRO không có"))</f>
        <v/>
      </c>
      <c r="D21" s="14"/>
      <c r="E21" s="15"/>
      <c r="F21" s="15"/>
      <c r="G21" s="14"/>
      <c r="H21" s="14"/>
      <c r="I21" s="14"/>
      <c r="J21" s="14"/>
      <c r="K21" s="14"/>
      <c r="L21" s="23"/>
      <c r="M21" s="23"/>
      <c r="N21" s="23"/>
      <c r="O21" s="23"/>
      <c r="P21" s="24" t="str">
        <f aca="false">IF($A21="","",L21+M21+N21+O21)</f>
        <v/>
      </c>
      <c r="Q21" s="22" t="str">
        <f aca="false">IF($A21="","",IFERROR(INDEX(Risk!$D$2:$D$301,MATCH($A21,Policy!$A$2:$A$301,0)),0))</f>
        <v/>
      </c>
      <c r="R21" s="24" t="str">
        <f aca="false">IF($A21="","",L21*Q21/100)</f>
        <v/>
      </c>
      <c r="S21" s="24" t="str">
        <f aca="false">IF($A21="","",M21*Q21/100)</f>
        <v/>
      </c>
      <c r="T21" s="24" t="str">
        <f aca="false">IF($A21="","",N21*Q21/100)</f>
        <v/>
      </c>
      <c r="U21" s="24" t="str">
        <f aca="false">IF($A21="","",O21*Q21/100)</f>
        <v/>
      </c>
      <c r="V21" s="24" t="str">
        <f aca="false">IF($A21="","",R21+S21+T21+U21)</f>
        <v/>
      </c>
      <c r="W21" s="14"/>
      <c r="X21" s="15"/>
      <c r="Y21" s="23"/>
      <c r="Z21" s="14"/>
    </row>
    <row r="22" customFormat="false" ht="15" hidden="false" customHeight="false" outlineLevel="0" collapsed="false">
      <c r="A22" s="14"/>
      <c r="B22" s="17" t="str">
        <f aca="false">IF($A22="","",IFERROR(INDEX(Policy!$B$2:$B$301,MATCH($A22,Policy!$A$2:$A$301,0)),"MRO không có"))</f>
        <v/>
      </c>
      <c r="C22" s="17" t="str">
        <f aca="false">IF($A22="","",IFERROR(INDEX(Policy!$E$2:$E$301,MATCH($A22,Policy!$A$2:$A$301,0)),"MRO không có"))</f>
        <v/>
      </c>
      <c r="D22" s="14"/>
      <c r="E22" s="15"/>
      <c r="F22" s="15"/>
      <c r="G22" s="14"/>
      <c r="H22" s="14"/>
      <c r="I22" s="14"/>
      <c r="J22" s="14"/>
      <c r="K22" s="14"/>
      <c r="L22" s="23"/>
      <c r="M22" s="23"/>
      <c r="N22" s="23"/>
      <c r="O22" s="23"/>
      <c r="P22" s="24" t="str">
        <f aca="false">IF($A22="","",L22+M22+N22+O22)</f>
        <v/>
      </c>
      <c r="Q22" s="22" t="str">
        <f aca="false">IF($A22="","",IFERROR(INDEX(Risk!$D$2:$D$301,MATCH($A22,Policy!$A$2:$A$301,0)),0))</f>
        <v/>
      </c>
      <c r="R22" s="24" t="str">
        <f aca="false">IF($A22="","",L22*Q22/100)</f>
        <v/>
      </c>
      <c r="S22" s="24" t="str">
        <f aca="false">IF($A22="","",M22*Q22/100)</f>
        <v/>
      </c>
      <c r="T22" s="24" t="str">
        <f aca="false">IF($A22="","",N22*Q22/100)</f>
        <v/>
      </c>
      <c r="U22" s="24" t="str">
        <f aca="false">IF($A22="","",O22*Q22/100)</f>
        <v/>
      </c>
      <c r="V22" s="24" t="str">
        <f aca="false">IF($A22="","",R22+S22+T22+U22)</f>
        <v/>
      </c>
      <c r="W22" s="14"/>
      <c r="X22" s="15"/>
      <c r="Y22" s="23"/>
      <c r="Z22" s="14"/>
    </row>
    <row r="23" customFormat="false" ht="15" hidden="false" customHeight="false" outlineLevel="0" collapsed="false">
      <c r="A23" s="14"/>
      <c r="B23" s="17" t="str">
        <f aca="false">IF($A23="","",IFERROR(INDEX(Policy!$B$2:$B$301,MATCH($A23,Policy!$A$2:$A$301,0)),"MRO không có"))</f>
        <v/>
      </c>
      <c r="C23" s="17" t="str">
        <f aca="false">IF($A23="","",IFERROR(INDEX(Policy!$E$2:$E$301,MATCH($A23,Policy!$A$2:$A$301,0)),"MRO không có"))</f>
        <v/>
      </c>
      <c r="D23" s="14"/>
      <c r="E23" s="15"/>
      <c r="F23" s="15"/>
      <c r="G23" s="14"/>
      <c r="H23" s="14"/>
      <c r="I23" s="14"/>
      <c r="J23" s="14"/>
      <c r="K23" s="14"/>
      <c r="L23" s="23"/>
      <c r="M23" s="23"/>
      <c r="N23" s="23"/>
      <c r="O23" s="23"/>
      <c r="P23" s="24" t="str">
        <f aca="false">IF($A23="","",L23+M23+N23+O23)</f>
        <v/>
      </c>
      <c r="Q23" s="22" t="str">
        <f aca="false">IF($A23="","",IFERROR(INDEX(Risk!$D$2:$D$301,MATCH($A23,Policy!$A$2:$A$301,0)),0))</f>
        <v/>
      </c>
      <c r="R23" s="24" t="str">
        <f aca="false">IF($A23="","",L23*Q23/100)</f>
        <v/>
      </c>
      <c r="S23" s="24" t="str">
        <f aca="false">IF($A23="","",M23*Q23/100)</f>
        <v/>
      </c>
      <c r="T23" s="24" t="str">
        <f aca="false">IF($A23="","",N23*Q23/100)</f>
        <v/>
      </c>
      <c r="U23" s="24" t="str">
        <f aca="false">IF($A23="","",O23*Q23/100)</f>
        <v/>
      </c>
      <c r="V23" s="24" t="str">
        <f aca="false">IF($A23="","",R23+S23+T23+U23)</f>
        <v/>
      </c>
      <c r="W23" s="14"/>
      <c r="X23" s="15"/>
      <c r="Y23" s="23"/>
      <c r="Z23" s="14"/>
    </row>
    <row r="24" customFormat="false" ht="15" hidden="false" customHeight="false" outlineLevel="0" collapsed="false">
      <c r="A24" s="14"/>
      <c r="B24" s="17" t="str">
        <f aca="false">IF($A24="","",IFERROR(INDEX(Policy!$B$2:$B$301,MATCH($A24,Policy!$A$2:$A$301,0)),"MRO không có"))</f>
        <v/>
      </c>
      <c r="C24" s="17" t="str">
        <f aca="false">IF($A24="","",IFERROR(INDEX(Policy!$E$2:$E$301,MATCH($A24,Policy!$A$2:$A$301,0)),"MRO không có"))</f>
        <v/>
      </c>
      <c r="D24" s="14"/>
      <c r="E24" s="15"/>
      <c r="F24" s="15"/>
      <c r="G24" s="14"/>
      <c r="H24" s="14"/>
      <c r="I24" s="14"/>
      <c r="J24" s="14"/>
      <c r="K24" s="14"/>
      <c r="L24" s="23"/>
      <c r="M24" s="23"/>
      <c r="N24" s="23"/>
      <c r="O24" s="23"/>
      <c r="P24" s="24" t="str">
        <f aca="false">IF($A24="","",L24+M24+N24+O24)</f>
        <v/>
      </c>
      <c r="Q24" s="22" t="str">
        <f aca="false">IF($A24="","",IFERROR(INDEX(Risk!$D$2:$D$301,MATCH($A24,Policy!$A$2:$A$301,0)),0))</f>
        <v/>
      </c>
      <c r="R24" s="24" t="str">
        <f aca="false">IF($A24="","",L24*Q24/100)</f>
        <v/>
      </c>
      <c r="S24" s="24" t="str">
        <f aca="false">IF($A24="","",M24*Q24/100)</f>
        <v/>
      </c>
      <c r="T24" s="24" t="str">
        <f aca="false">IF($A24="","",N24*Q24/100)</f>
        <v/>
      </c>
      <c r="U24" s="24" t="str">
        <f aca="false">IF($A24="","",O24*Q24/100)</f>
        <v/>
      </c>
      <c r="V24" s="24" t="str">
        <f aca="false">IF($A24="","",R24+S24+T24+U24)</f>
        <v/>
      </c>
      <c r="W24" s="14"/>
      <c r="X24" s="15"/>
      <c r="Y24" s="23"/>
      <c r="Z24" s="14"/>
    </row>
    <row r="25" customFormat="false" ht="15" hidden="false" customHeight="false" outlineLevel="0" collapsed="false">
      <c r="A25" s="14"/>
      <c r="B25" s="17" t="str">
        <f aca="false">IF($A25="","",IFERROR(INDEX(Policy!$B$2:$B$301,MATCH($A25,Policy!$A$2:$A$301,0)),"MRO không có"))</f>
        <v/>
      </c>
      <c r="C25" s="17" t="str">
        <f aca="false">IF($A25="","",IFERROR(INDEX(Policy!$E$2:$E$301,MATCH($A25,Policy!$A$2:$A$301,0)),"MRO không có"))</f>
        <v/>
      </c>
      <c r="D25" s="14"/>
      <c r="E25" s="15"/>
      <c r="F25" s="15"/>
      <c r="G25" s="14"/>
      <c r="H25" s="14"/>
      <c r="I25" s="14"/>
      <c r="J25" s="14"/>
      <c r="K25" s="14"/>
      <c r="L25" s="23"/>
      <c r="M25" s="23"/>
      <c r="N25" s="23"/>
      <c r="O25" s="23"/>
      <c r="P25" s="24" t="str">
        <f aca="false">IF($A25="","",L25+M25+N25+O25)</f>
        <v/>
      </c>
      <c r="Q25" s="22" t="str">
        <f aca="false">IF($A25="","",IFERROR(INDEX(Risk!$D$2:$D$301,MATCH($A25,Policy!$A$2:$A$301,0)),0))</f>
        <v/>
      </c>
      <c r="R25" s="24" t="str">
        <f aca="false">IF($A25="","",L25*Q25/100)</f>
        <v/>
      </c>
      <c r="S25" s="24" t="str">
        <f aca="false">IF($A25="","",M25*Q25/100)</f>
        <v/>
      </c>
      <c r="T25" s="24" t="str">
        <f aca="false">IF($A25="","",N25*Q25/100)</f>
        <v/>
      </c>
      <c r="U25" s="24" t="str">
        <f aca="false">IF($A25="","",O25*Q25/100)</f>
        <v/>
      </c>
      <c r="V25" s="24" t="str">
        <f aca="false">IF($A25="","",R25+S25+T25+U25)</f>
        <v/>
      </c>
      <c r="W25" s="14"/>
      <c r="X25" s="15"/>
      <c r="Y25" s="23"/>
      <c r="Z25" s="14"/>
    </row>
    <row r="26" customFormat="false" ht="15" hidden="false" customHeight="false" outlineLevel="0" collapsed="false">
      <c r="A26" s="14"/>
      <c r="B26" s="17" t="str">
        <f aca="false">IF($A26="","",IFERROR(INDEX(Policy!$B$2:$B$301,MATCH($A26,Policy!$A$2:$A$301,0)),"MRO không có"))</f>
        <v/>
      </c>
      <c r="C26" s="17" t="str">
        <f aca="false">IF($A26="","",IFERROR(INDEX(Policy!$E$2:$E$301,MATCH($A26,Policy!$A$2:$A$301,0)),"MRO không có"))</f>
        <v/>
      </c>
      <c r="D26" s="14"/>
      <c r="E26" s="15"/>
      <c r="F26" s="15"/>
      <c r="G26" s="14"/>
      <c r="H26" s="14"/>
      <c r="I26" s="14"/>
      <c r="J26" s="14"/>
      <c r="K26" s="14"/>
      <c r="L26" s="23"/>
      <c r="M26" s="23"/>
      <c r="N26" s="23"/>
      <c r="O26" s="23"/>
      <c r="P26" s="24" t="str">
        <f aca="false">IF($A26="","",L26+M26+N26+O26)</f>
        <v/>
      </c>
      <c r="Q26" s="22" t="str">
        <f aca="false">IF($A26="","",IFERROR(INDEX(Risk!$D$2:$D$301,MATCH($A26,Policy!$A$2:$A$301,0)),0))</f>
        <v/>
      </c>
      <c r="R26" s="24" t="str">
        <f aca="false">IF($A26="","",L26*Q26/100)</f>
        <v/>
      </c>
      <c r="S26" s="24" t="str">
        <f aca="false">IF($A26="","",M26*Q26/100)</f>
        <v/>
      </c>
      <c r="T26" s="24" t="str">
        <f aca="false">IF($A26="","",N26*Q26/100)</f>
        <v/>
      </c>
      <c r="U26" s="24" t="str">
        <f aca="false">IF($A26="","",O26*Q26/100)</f>
        <v/>
      </c>
      <c r="V26" s="24" t="str">
        <f aca="false">IF($A26="","",R26+S26+T26+U26)</f>
        <v/>
      </c>
      <c r="W26" s="14"/>
      <c r="X26" s="15"/>
      <c r="Y26" s="23"/>
      <c r="Z26" s="14"/>
    </row>
    <row r="27" customFormat="false" ht="15" hidden="false" customHeight="false" outlineLevel="0" collapsed="false">
      <c r="A27" s="14"/>
      <c r="B27" s="17" t="str">
        <f aca="false">IF($A27="","",IFERROR(INDEX(Policy!$B$2:$B$301,MATCH($A27,Policy!$A$2:$A$301,0)),"MRO không có"))</f>
        <v/>
      </c>
      <c r="C27" s="17" t="str">
        <f aca="false">IF($A27="","",IFERROR(INDEX(Policy!$E$2:$E$301,MATCH($A27,Policy!$A$2:$A$301,0)),"MRO không có"))</f>
        <v/>
      </c>
      <c r="D27" s="14"/>
      <c r="E27" s="15"/>
      <c r="F27" s="15"/>
      <c r="G27" s="14"/>
      <c r="H27" s="14"/>
      <c r="I27" s="14"/>
      <c r="J27" s="14"/>
      <c r="K27" s="14"/>
      <c r="L27" s="23"/>
      <c r="M27" s="23"/>
      <c r="N27" s="23"/>
      <c r="O27" s="23"/>
      <c r="P27" s="24" t="str">
        <f aca="false">IF($A27="","",L27+M27+N27+O27)</f>
        <v/>
      </c>
      <c r="Q27" s="22" t="str">
        <f aca="false">IF($A27="","",IFERROR(INDEX(Risk!$D$2:$D$301,MATCH($A27,Policy!$A$2:$A$301,0)),0))</f>
        <v/>
      </c>
      <c r="R27" s="24" t="str">
        <f aca="false">IF($A27="","",L27*Q27/100)</f>
        <v/>
      </c>
      <c r="S27" s="24" t="str">
        <f aca="false">IF($A27="","",M27*Q27/100)</f>
        <v/>
      </c>
      <c r="T27" s="24" t="str">
        <f aca="false">IF($A27="","",N27*Q27/100)</f>
        <v/>
      </c>
      <c r="U27" s="24" t="str">
        <f aca="false">IF($A27="","",O27*Q27/100)</f>
        <v/>
      </c>
      <c r="V27" s="24" t="str">
        <f aca="false">IF($A27="","",R27+S27+T27+U27)</f>
        <v/>
      </c>
      <c r="W27" s="14"/>
      <c r="X27" s="15"/>
      <c r="Y27" s="23"/>
      <c r="Z27" s="14"/>
    </row>
    <row r="28" customFormat="false" ht="15" hidden="false" customHeight="false" outlineLevel="0" collapsed="false">
      <c r="A28" s="14"/>
      <c r="B28" s="17" t="str">
        <f aca="false">IF($A28="","",IFERROR(INDEX(Policy!$B$2:$B$301,MATCH($A28,Policy!$A$2:$A$301,0)),"MRO không có"))</f>
        <v/>
      </c>
      <c r="C28" s="17" t="str">
        <f aca="false">IF($A28="","",IFERROR(INDEX(Policy!$E$2:$E$301,MATCH($A28,Policy!$A$2:$A$301,0)),"MRO không có"))</f>
        <v/>
      </c>
      <c r="D28" s="14"/>
      <c r="E28" s="15"/>
      <c r="F28" s="15"/>
      <c r="G28" s="14"/>
      <c r="H28" s="14"/>
      <c r="I28" s="14"/>
      <c r="J28" s="14"/>
      <c r="K28" s="14"/>
      <c r="L28" s="23"/>
      <c r="M28" s="23"/>
      <c r="N28" s="23"/>
      <c r="O28" s="23"/>
      <c r="P28" s="24" t="str">
        <f aca="false">IF($A28="","",L28+M28+N28+O28)</f>
        <v/>
      </c>
      <c r="Q28" s="22" t="str">
        <f aca="false">IF($A28="","",IFERROR(INDEX(Risk!$D$2:$D$301,MATCH($A28,Policy!$A$2:$A$301,0)),0))</f>
        <v/>
      </c>
      <c r="R28" s="24" t="str">
        <f aca="false">IF($A28="","",L28*Q28/100)</f>
        <v/>
      </c>
      <c r="S28" s="24" t="str">
        <f aca="false">IF($A28="","",M28*Q28/100)</f>
        <v/>
      </c>
      <c r="T28" s="24" t="str">
        <f aca="false">IF($A28="","",N28*Q28/100)</f>
        <v/>
      </c>
      <c r="U28" s="24" t="str">
        <f aca="false">IF($A28="","",O28*Q28/100)</f>
        <v/>
      </c>
      <c r="V28" s="24" t="str">
        <f aca="false">IF($A28="","",R28+S28+T28+U28)</f>
        <v/>
      </c>
      <c r="W28" s="14"/>
      <c r="X28" s="15"/>
      <c r="Y28" s="23"/>
      <c r="Z28" s="14"/>
    </row>
    <row r="29" customFormat="false" ht="15" hidden="false" customHeight="false" outlineLevel="0" collapsed="false">
      <c r="A29" s="14"/>
      <c r="B29" s="17" t="str">
        <f aca="false">IF($A29="","",IFERROR(INDEX(Policy!$B$2:$B$301,MATCH($A29,Policy!$A$2:$A$301,0)),"MRO không có"))</f>
        <v/>
      </c>
      <c r="C29" s="17" t="str">
        <f aca="false">IF($A29="","",IFERROR(INDEX(Policy!$E$2:$E$301,MATCH($A29,Policy!$A$2:$A$301,0)),"MRO không có"))</f>
        <v/>
      </c>
      <c r="D29" s="14"/>
      <c r="E29" s="15"/>
      <c r="F29" s="15"/>
      <c r="G29" s="14"/>
      <c r="H29" s="14"/>
      <c r="I29" s="14"/>
      <c r="J29" s="14"/>
      <c r="K29" s="14"/>
      <c r="L29" s="23"/>
      <c r="M29" s="23"/>
      <c r="N29" s="23"/>
      <c r="O29" s="23"/>
      <c r="P29" s="24" t="str">
        <f aca="false">IF($A29="","",L29+M29+N29+O29)</f>
        <v/>
      </c>
      <c r="Q29" s="22" t="str">
        <f aca="false">IF($A29="","",IFERROR(INDEX(Risk!$D$2:$D$301,MATCH($A29,Policy!$A$2:$A$301,0)),0))</f>
        <v/>
      </c>
      <c r="R29" s="24" t="str">
        <f aca="false">IF($A29="","",L29*Q29/100)</f>
        <v/>
      </c>
      <c r="S29" s="24" t="str">
        <f aca="false">IF($A29="","",M29*Q29/100)</f>
        <v/>
      </c>
      <c r="T29" s="24" t="str">
        <f aca="false">IF($A29="","",N29*Q29/100)</f>
        <v/>
      </c>
      <c r="U29" s="24" t="str">
        <f aca="false">IF($A29="","",O29*Q29/100)</f>
        <v/>
      </c>
      <c r="V29" s="24" t="str">
        <f aca="false">IF($A29="","",R29+S29+T29+U29)</f>
        <v/>
      </c>
      <c r="W29" s="14"/>
      <c r="X29" s="15"/>
      <c r="Y29" s="23"/>
      <c r="Z29" s="14"/>
    </row>
    <row r="30" customFormat="false" ht="15" hidden="false" customHeight="false" outlineLevel="0" collapsed="false">
      <c r="A30" s="14"/>
      <c r="B30" s="17" t="str">
        <f aca="false">IF($A30="","",IFERROR(INDEX(Policy!$B$2:$B$301,MATCH($A30,Policy!$A$2:$A$301,0)),"MRO không có"))</f>
        <v/>
      </c>
      <c r="C30" s="17" t="str">
        <f aca="false">IF($A30="","",IFERROR(INDEX(Policy!$E$2:$E$301,MATCH($A30,Policy!$A$2:$A$301,0)),"MRO không có"))</f>
        <v/>
      </c>
      <c r="D30" s="14"/>
      <c r="E30" s="15"/>
      <c r="F30" s="15"/>
      <c r="G30" s="14"/>
      <c r="H30" s="14"/>
      <c r="I30" s="14"/>
      <c r="J30" s="14"/>
      <c r="K30" s="14"/>
      <c r="L30" s="23"/>
      <c r="M30" s="23"/>
      <c r="N30" s="23"/>
      <c r="O30" s="23"/>
      <c r="P30" s="24" t="str">
        <f aca="false">IF($A30="","",L30+M30+N30+O30)</f>
        <v/>
      </c>
      <c r="Q30" s="22" t="str">
        <f aca="false">IF($A30="","",IFERROR(INDEX(Risk!$D$2:$D$301,MATCH($A30,Policy!$A$2:$A$301,0)),0))</f>
        <v/>
      </c>
      <c r="R30" s="24" t="str">
        <f aca="false">IF($A30="","",L30*Q30/100)</f>
        <v/>
      </c>
      <c r="S30" s="24" t="str">
        <f aca="false">IF($A30="","",M30*Q30/100)</f>
        <v/>
      </c>
      <c r="T30" s="24" t="str">
        <f aca="false">IF($A30="","",N30*Q30/100)</f>
        <v/>
      </c>
      <c r="U30" s="24" t="str">
        <f aca="false">IF($A30="","",O30*Q30/100)</f>
        <v/>
      </c>
      <c r="V30" s="24" t="str">
        <f aca="false">IF($A30="","",R30+S30+T30+U30)</f>
        <v/>
      </c>
      <c r="W30" s="14"/>
      <c r="X30" s="15"/>
      <c r="Y30" s="23"/>
      <c r="Z30" s="14"/>
    </row>
    <row r="31" customFormat="false" ht="15" hidden="false" customHeight="false" outlineLevel="0" collapsed="false">
      <c r="A31" s="14"/>
      <c r="B31" s="17" t="str">
        <f aca="false">IF($A31="","",IFERROR(INDEX(Policy!$B$2:$B$301,MATCH($A31,Policy!$A$2:$A$301,0)),"MRO không có"))</f>
        <v/>
      </c>
      <c r="C31" s="17" t="str">
        <f aca="false">IF($A31="","",IFERROR(INDEX(Policy!$E$2:$E$301,MATCH($A31,Policy!$A$2:$A$301,0)),"MRO không có"))</f>
        <v/>
      </c>
      <c r="D31" s="14"/>
      <c r="E31" s="15"/>
      <c r="F31" s="15"/>
      <c r="G31" s="14"/>
      <c r="H31" s="14"/>
      <c r="I31" s="14"/>
      <c r="J31" s="14"/>
      <c r="K31" s="14"/>
      <c r="L31" s="23"/>
      <c r="M31" s="23"/>
      <c r="N31" s="23"/>
      <c r="O31" s="23"/>
      <c r="P31" s="24" t="str">
        <f aca="false">IF($A31="","",L31+M31+N31+O31)</f>
        <v/>
      </c>
      <c r="Q31" s="22" t="str">
        <f aca="false">IF($A31="","",IFERROR(INDEX(Risk!$D$2:$D$301,MATCH($A31,Policy!$A$2:$A$301,0)),0))</f>
        <v/>
      </c>
      <c r="R31" s="24" t="str">
        <f aca="false">IF($A31="","",L31*Q31/100)</f>
        <v/>
      </c>
      <c r="S31" s="24" t="str">
        <f aca="false">IF($A31="","",M31*Q31/100)</f>
        <v/>
      </c>
      <c r="T31" s="24" t="str">
        <f aca="false">IF($A31="","",N31*Q31/100)</f>
        <v/>
      </c>
      <c r="U31" s="24" t="str">
        <f aca="false">IF($A31="","",O31*Q31/100)</f>
        <v/>
      </c>
      <c r="V31" s="24" t="str">
        <f aca="false">IF($A31="","",R31+S31+T31+U31)</f>
        <v/>
      </c>
      <c r="W31" s="14"/>
      <c r="X31" s="15"/>
      <c r="Y31" s="23"/>
      <c r="Z31" s="14"/>
    </row>
    <row r="32" customFormat="false" ht="15" hidden="false" customHeight="false" outlineLevel="0" collapsed="false">
      <c r="A32" s="14"/>
      <c r="B32" s="17" t="str">
        <f aca="false">IF($A32="","",IFERROR(INDEX(Policy!$B$2:$B$301,MATCH($A32,Policy!$A$2:$A$301,0)),"MRO không có"))</f>
        <v/>
      </c>
      <c r="C32" s="17" t="str">
        <f aca="false">IF($A32="","",IFERROR(INDEX(Policy!$E$2:$E$301,MATCH($A32,Policy!$A$2:$A$301,0)),"MRO không có"))</f>
        <v/>
      </c>
      <c r="D32" s="14"/>
      <c r="E32" s="15"/>
      <c r="F32" s="15"/>
      <c r="G32" s="14"/>
      <c r="H32" s="14"/>
      <c r="I32" s="14"/>
      <c r="J32" s="14"/>
      <c r="K32" s="14"/>
      <c r="L32" s="23"/>
      <c r="M32" s="23"/>
      <c r="N32" s="23"/>
      <c r="O32" s="23"/>
      <c r="P32" s="24" t="str">
        <f aca="false">IF($A32="","",L32+M32+N32+O32)</f>
        <v/>
      </c>
      <c r="Q32" s="22" t="str">
        <f aca="false">IF($A32="","",IFERROR(INDEX(Risk!$D$2:$D$301,MATCH($A32,Policy!$A$2:$A$301,0)),0))</f>
        <v/>
      </c>
      <c r="R32" s="24" t="str">
        <f aca="false">IF($A32="","",L32*Q32/100)</f>
        <v/>
      </c>
      <c r="S32" s="24" t="str">
        <f aca="false">IF($A32="","",M32*Q32/100)</f>
        <v/>
      </c>
      <c r="T32" s="24" t="str">
        <f aca="false">IF($A32="","",N32*Q32/100)</f>
        <v/>
      </c>
      <c r="U32" s="24" t="str">
        <f aca="false">IF($A32="","",O32*Q32/100)</f>
        <v/>
      </c>
      <c r="V32" s="24" t="str">
        <f aca="false">IF($A32="","",R32+S32+T32+U32)</f>
        <v/>
      </c>
      <c r="W32" s="14"/>
      <c r="X32" s="15"/>
      <c r="Y32" s="23"/>
      <c r="Z32" s="14"/>
    </row>
    <row r="33" customFormat="false" ht="15" hidden="false" customHeight="false" outlineLevel="0" collapsed="false">
      <c r="A33" s="14"/>
      <c r="B33" s="17" t="str">
        <f aca="false">IF($A33="","",IFERROR(INDEX(Policy!$B$2:$B$301,MATCH($A33,Policy!$A$2:$A$301,0)),"MRO không có"))</f>
        <v/>
      </c>
      <c r="C33" s="17" t="str">
        <f aca="false">IF($A33="","",IFERROR(INDEX(Policy!$E$2:$E$301,MATCH($A33,Policy!$A$2:$A$301,0)),"MRO không có"))</f>
        <v/>
      </c>
      <c r="D33" s="14"/>
      <c r="E33" s="15"/>
      <c r="F33" s="15"/>
      <c r="G33" s="14"/>
      <c r="H33" s="14"/>
      <c r="I33" s="14"/>
      <c r="J33" s="14"/>
      <c r="K33" s="14"/>
      <c r="L33" s="23"/>
      <c r="M33" s="23"/>
      <c r="N33" s="23"/>
      <c r="O33" s="23"/>
      <c r="P33" s="24" t="str">
        <f aca="false">IF($A33="","",L33+M33+N33+O33)</f>
        <v/>
      </c>
      <c r="Q33" s="22" t="str">
        <f aca="false">IF($A33="","",IFERROR(INDEX(Risk!$D$2:$D$301,MATCH($A33,Policy!$A$2:$A$301,0)),0))</f>
        <v/>
      </c>
      <c r="R33" s="24" t="str">
        <f aca="false">IF($A33="","",L33*Q33/100)</f>
        <v/>
      </c>
      <c r="S33" s="24" t="str">
        <f aca="false">IF($A33="","",M33*Q33/100)</f>
        <v/>
      </c>
      <c r="T33" s="24" t="str">
        <f aca="false">IF($A33="","",N33*Q33/100)</f>
        <v/>
      </c>
      <c r="U33" s="24" t="str">
        <f aca="false">IF($A33="","",O33*Q33/100)</f>
        <v/>
      </c>
      <c r="V33" s="24" t="str">
        <f aca="false">IF($A33="","",R33+S33+T33+U33)</f>
        <v/>
      </c>
      <c r="W33" s="14"/>
      <c r="X33" s="15"/>
      <c r="Y33" s="23"/>
      <c r="Z33" s="14"/>
    </row>
    <row r="34" customFormat="false" ht="15" hidden="false" customHeight="false" outlineLevel="0" collapsed="false">
      <c r="A34" s="14"/>
      <c r="B34" s="17" t="str">
        <f aca="false">IF($A34="","",IFERROR(INDEX(Policy!$B$2:$B$301,MATCH($A34,Policy!$A$2:$A$301,0)),"MRO không có"))</f>
        <v/>
      </c>
      <c r="C34" s="17" t="str">
        <f aca="false">IF($A34="","",IFERROR(INDEX(Policy!$E$2:$E$301,MATCH($A34,Policy!$A$2:$A$301,0)),"MRO không có"))</f>
        <v/>
      </c>
      <c r="D34" s="14"/>
      <c r="E34" s="15"/>
      <c r="F34" s="15"/>
      <c r="G34" s="14"/>
      <c r="H34" s="14"/>
      <c r="I34" s="14"/>
      <c r="J34" s="14"/>
      <c r="K34" s="14"/>
      <c r="L34" s="23"/>
      <c r="M34" s="23"/>
      <c r="N34" s="23"/>
      <c r="O34" s="23"/>
      <c r="P34" s="24" t="str">
        <f aca="false">IF($A34="","",L34+M34+N34+O34)</f>
        <v/>
      </c>
      <c r="Q34" s="22" t="str">
        <f aca="false">IF($A34="","",IFERROR(INDEX(Risk!$D$2:$D$301,MATCH($A34,Policy!$A$2:$A$301,0)),0))</f>
        <v/>
      </c>
      <c r="R34" s="24" t="str">
        <f aca="false">IF($A34="","",L34*Q34/100)</f>
        <v/>
      </c>
      <c r="S34" s="24" t="str">
        <f aca="false">IF($A34="","",M34*Q34/100)</f>
        <v/>
      </c>
      <c r="T34" s="24" t="str">
        <f aca="false">IF($A34="","",N34*Q34/100)</f>
        <v/>
      </c>
      <c r="U34" s="24" t="str">
        <f aca="false">IF($A34="","",O34*Q34/100)</f>
        <v/>
      </c>
      <c r="V34" s="24" t="str">
        <f aca="false">IF($A34="","",R34+S34+T34+U34)</f>
        <v/>
      </c>
      <c r="W34" s="14"/>
      <c r="X34" s="15"/>
      <c r="Y34" s="23"/>
      <c r="Z34" s="14"/>
    </row>
    <row r="35" customFormat="false" ht="15" hidden="false" customHeight="false" outlineLevel="0" collapsed="false">
      <c r="A35" s="14"/>
      <c r="B35" s="17" t="str">
        <f aca="false">IF($A35="","",IFERROR(INDEX(Policy!$B$2:$B$301,MATCH($A35,Policy!$A$2:$A$301,0)),"MRO không có"))</f>
        <v/>
      </c>
      <c r="C35" s="17" t="str">
        <f aca="false">IF($A35="","",IFERROR(INDEX(Policy!$E$2:$E$301,MATCH($A35,Policy!$A$2:$A$301,0)),"MRO không có"))</f>
        <v/>
      </c>
      <c r="D35" s="14"/>
      <c r="E35" s="15"/>
      <c r="F35" s="15"/>
      <c r="G35" s="14"/>
      <c r="H35" s="14"/>
      <c r="I35" s="14"/>
      <c r="J35" s="14"/>
      <c r="K35" s="14"/>
      <c r="L35" s="23"/>
      <c r="M35" s="23"/>
      <c r="N35" s="23"/>
      <c r="O35" s="23"/>
      <c r="P35" s="24" t="str">
        <f aca="false">IF($A35="","",L35+M35+N35+O35)</f>
        <v/>
      </c>
      <c r="Q35" s="22" t="str">
        <f aca="false">IF($A35="","",IFERROR(INDEX(Risk!$D$2:$D$301,MATCH($A35,Policy!$A$2:$A$301,0)),0))</f>
        <v/>
      </c>
      <c r="R35" s="24" t="str">
        <f aca="false">IF($A35="","",L35*Q35/100)</f>
        <v/>
      </c>
      <c r="S35" s="24" t="str">
        <f aca="false">IF($A35="","",M35*Q35/100)</f>
        <v/>
      </c>
      <c r="T35" s="24" t="str">
        <f aca="false">IF($A35="","",N35*Q35/100)</f>
        <v/>
      </c>
      <c r="U35" s="24" t="str">
        <f aca="false">IF($A35="","",O35*Q35/100)</f>
        <v/>
      </c>
      <c r="V35" s="24" t="str">
        <f aca="false">IF($A35="","",R35+S35+T35+U35)</f>
        <v/>
      </c>
      <c r="W35" s="14"/>
      <c r="X35" s="15"/>
      <c r="Y35" s="23"/>
      <c r="Z35" s="14"/>
    </row>
    <row r="36" customFormat="false" ht="15" hidden="false" customHeight="false" outlineLevel="0" collapsed="false">
      <c r="A36" s="14"/>
      <c r="B36" s="17" t="str">
        <f aca="false">IF($A36="","",IFERROR(INDEX(Policy!$B$2:$B$301,MATCH($A36,Policy!$A$2:$A$301,0)),"MRO không có"))</f>
        <v/>
      </c>
      <c r="C36" s="17" t="str">
        <f aca="false">IF($A36="","",IFERROR(INDEX(Policy!$E$2:$E$301,MATCH($A36,Policy!$A$2:$A$301,0)),"MRO không có"))</f>
        <v/>
      </c>
      <c r="D36" s="14"/>
      <c r="E36" s="15"/>
      <c r="F36" s="15"/>
      <c r="G36" s="14"/>
      <c r="H36" s="14"/>
      <c r="I36" s="14"/>
      <c r="J36" s="14"/>
      <c r="K36" s="14"/>
      <c r="L36" s="23"/>
      <c r="M36" s="23"/>
      <c r="N36" s="23"/>
      <c r="O36" s="23"/>
      <c r="P36" s="24" t="str">
        <f aca="false">IF($A36="","",L36+M36+N36+O36)</f>
        <v/>
      </c>
      <c r="Q36" s="22" t="str">
        <f aca="false">IF($A36="","",IFERROR(INDEX(Risk!$D$2:$D$301,MATCH($A36,Policy!$A$2:$A$301,0)),0))</f>
        <v/>
      </c>
      <c r="R36" s="24" t="str">
        <f aca="false">IF($A36="","",L36*Q36/100)</f>
        <v/>
      </c>
      <c r="S36" s="24" t="str">
        <f aca="false">IF($A36="","",M36*Q36/100)</f>
        <v/>
      </c>
      <c r="T36" s="24" t="str">
        <f aca="false">IF($A36="","",N36*Q36/100)</f>
        <v/>
      </c>
      <c r="U36" s="24" t="str">
        <f aca="false">IF($A36="","",O36*Q36/100)</f>
        <v/>
      </c>
      <c r="V36" s="24" t="str">
        <f aca="false">IF($A36="","",R36+S36+T36+U36)</f>
        <v/>
      </c>
      <c r="W36" s="14"/>
      <c r="X36" s="15"/>
      <c r="Y36" s="23"/>
      <c r="Z36" s="14"/>
    </row>
    <row r="37" customFormat="false" ht="15" hidden="false" customHeight="false" outlineLevel="0" collapsed="false">
      <c r="A37" s="14"/>
      <c r="B37" s="17" t="str">
        <f aca="false">IF($A37="","",IFERROR(INDEX(Policy!$B$2:$B$301,MATCH($A37,Policy!$A$2:$A$301,0)),"MRO không có"))</f>
        <v/>
      </c>
      <c r="C37" s="17" t="str">
        <f aca="false">IF($A37="","",IFERROR(INDEX(Policy!$E$2:$E$301,MATCH($A37,Policy!$A$2:$A$301,0)),"MRO không có"))</f>
        <v/>
      </c>
      <c r="D37" s="14"/>
      <c r="E37" s="15"/>
      <c r="F37" s="15"/>
      <c r="G37" s="14"/>
      <c r="H37" s="14"/>
      <c r="I37" s="14"/>
      <c r="J37" s="14"/>
      <c r="K37" s="14"/>
      <c r="L37" s="23"/>
      <c r="M37" s="23"/>
      <c r="N37" s="23"/>
      <c r="O37" s="23"/>
      <c r="P37" s="24" t="str">
        <f aca="false">IF($A37="","",L37+M37+N37+O37)</f>
        <v/>
      </c>
      <c r="Q37" s="22" t="str">
        <f aca="false">IF($A37="","",IFERROR(INDEX(Risk!$D$2:$D$301,MATCH($A37,Policy!$A$2:$A$301,0)),0))</f>
        <v/>
      </c>
      <c r="R37" s="24" t="str">
        <f aca="false">IF($A37="","",L37*Q37/100)</f>
        <v/>
      </c>
      <c r="S37" s="24" t="str">
        <f aca="false">IF($A37="","",M37*Q37/100)</f>
        <v/>
      </c>
      <c r="T37" s="24" t="str">
        <f aca="false">IF($A37="","",N37*Q37/100)</f>
        <v/>
      </c>
      <c r="U37" s="24" t="str">
        <f aca="false">IF($A37="","",O37*Q37/100)</f>
        <v/>
      </c>
      <c r="V37" s="24" t="str">
        <f aca="false">IF($A37="","",R37+S37+T37+U37)</f>
        <v/>
      </c>
      <c r="W37" s="14"/>
      <c r="X37" s="15"/>
      <c r="Y37" s="23"/>
      <c r="Z37" s="14"/>
    </row>
    <row r="38" customFormat="false" ht="15" hidden="false" customHeight="false" outlineLevel="0" collapsed="false">
      <c r="A38" s="14"/>
      <c r="B38" s="17" t="str">
        <f aca="false">IF($A38="","",IFERROR(INDEX(Policy!$B$2:$B$301,MATCH($A38,Policy!$A$2:$A$301,0)),"MRO không có"))</f>
        <v/>
      </c>
      <c r="C38" s="17" t="str">
        <f aca="false">IF($A38="","",IFERROR(INDEX(Policy!$E$2:$E$301,MATCH($A38,Policy!$A$2:$A$301,0)),"MRO không có"))</f>
        <v/>
      </c>
      <c r="D38" s="14"/>
      <c r="E38" s="15"/>
      <c r="F38" s="15"/>
      <c r="G38" s="14"/>
      <c r="H38" s="14"/>
      <c r="I38" s="14"/>
      <c r="J38" s="14"/>
      <c r="K38" s="14"/>
      <c r="L38" s="23"/>
      <c r="M38" s="23"/>
      <c r="N38" s="23"/>
      <c r="O38" s="23"/>
      <c r="P38" s="24" t="str">
        <f aca="false">IF($A38="","",L38+M38+N38+O38)</f>
        <v/>
      </c>
      <c r="Q38" s="22" t="str">
        <f aca="false">IF($A38="","",IFERROR(INDEX(Risk!$D$2:$D$301,MATCH($A38,Policy!$A$2:$A$301,0)),0))</f>
        <v/>
      </c>
      <c r="R38" s="24" t="str">
        <f aca="false">IF($A38="","",L38*Q38/100)</f>
        <v/>
      </c>
      <c r="S38" s="24" t="str">
        <f aca="false">IF($A38="","",M38*Q38/100)</f>
        <v/>
      </c>
      <c r="T38" s="24" t="str">
        <f aca="false">IF($A38="","",N38*Q38/100)</f>
        <v/>
      </c>
      <c r="U38" s="24" t="str">
        <f aca="false">IF($A38="","",O38*Q38/100)</f>
        <v/>
      </c>
      <c r="V38" s="24" t="str">
        <f aca="false">IF($A38="","",R38+S38+T38+U38)</f>
        <v/>
      </c>
      <c r="W38" s="14"/>
      <c r="X38" s="15"/>
      <c r="Y38" s="23"/>
      <c r="Z38" s="14"/>
    </row>
    <row r="39" customFormat="false" ht="15" hidden="false" customHeight="false" outlineLevel="0" collapsed="false">
      <c r="A39" s="14"/>
      <c r="B39" s="17" t="str">
        <f aca="false">IF($A39="","",IFERROR(INDEX(Policy!$B$2:$B$301,MATCH($A39,Policy!$A$2:$A$301,0)),"MRO không có"))</f>
        <v/>
      </c>
      <c r="C39" s="17" t="str">
        <f aca="false">IF($A39="","",IFERROR(INDEX(Policy!$E$2:$E$301,MATCH($A39,Policy!$A$2:$A$301,0)),"MRO không có"))</f>
        <v/>
      </c>
      <c r="D39" s="14"/>
      <c r="E39" s="15"/>
      <c r="F39" s="15"/>
      <c r="G39" s="14"/>
      <c r="H39" s="14"/>
      <c r="I39" s="14"/>
      <c r="J39" s="14"/>
      <c r="K39" s="14"/>
      <c r="L39" s="23"/>
      <c r="M39" s="23"/>
      <c r="N39" s="23"/>
      <c r="O39" s="23"/>
      <c r="P39" s="24" t="str">
        <f aca="false">IF($A39="","",L39+M39+N39+O39)</f>
        <v/>
      </c>
      <c r="Q39" s="22" t="str">
        <f aca="false">IF($A39="","",IFERROR(INDEX(Risk!$D$2:$D$301,MATCH($A39,Policy!$A$2:$A$301,0)),0))</f>
        <v/>
      </c>
      <c r="R39" s="24" t="str">
        <f aca="false">IF($A39="","",L39*Q39/100)</f>
        <v/>
      </c>
      <c r="S39" s="24" t="str">
        <f aca="false">IF($A39="","",M39*Q39/100)</f>
        <v/>
      </c>
      <c r="T39" s="24" t="str">
        <f aca="false">IF($A39="","",N39*Q39/100)</f>
        <v/>
      </c>
      <c r="U39" s="24" t="str">
        <f aca="false">IF($A39="","",O39*Q39/100)</f>
        <v/>
      </c>
      <c r="V39" s="24" t="str">
        <f aca="false">IF($A39="","",R39+S39+T39+U39)</f>
        <v/>
      </c>
      <c r="W39" s="14"/>
      <c r="X39" s="15"/>
      <c r="Y39" s="23"/>
      <c r="Z39" s="14"/>
    </row>
    <row r="40" customFormat="false" ht="15" hidden="false" customHeight="false" outlineLevel="0" collapsed="false">
      <c r="A40" s="14"/>
      <c r="B40" s="17" t="str">
        <f aca="false">IF($A40="","",IFERROR(INDEX(Policy!$B$2:$B$301,MATCH($A40,Policy!$A$2:$A$301,0)),"MRO không có"))</f>
        <v/>
      </c>
      <c r="C40" s="17" t="str">
        <f aca="false">IF($A40="","",IFERROR(INDEX(Policy!$E$2:$E$301,MATCH($A40,Policy!$A$2:$A$301,0)),"MRO không có"))</f>
        <v/>
      </c>
      <c r="D40" s="14"/>
      <c r="E40" s="15"/>
      <c r="F40" s="15"/>
      <c r="G40" s="14"/>
      <c r="H40" s="14"/>
      <c r="I40" s="14"/>
      <c r="J40" s="14"/>
      <c r="K40" s="14"/>
      <c r="L40" s="23"/>
      <c r="M40" s="23"/>
      <c r="N40" s="23"/>
      <c r="O40" s="23"/>
      <c r="P40" s="24" t="str">
        <f aca="false">IF($A40="","",L40+M40+N40+O40)</f>
        <v/>
      </c>
      <c r="Q40" s="22" t="str">
        <f aca="false">IF($A40="","",IFERROR(INDEX(Risk!$D$2:$D$301,MATCH($A40,Policy!$A$2:$A$301,0)),0))</f>
        <v/>
      </c>
      <c r="R40" s="24" t="str">
        <f aca="false">IF($A40="","",L40*Q40/100)</f>
        <v/>
      </c>
      <c r="S40" s="24" t="str">
        <f aca="false">IF($A40="","",M40*Q40/100)</f>
        <v/>
      </c>
      <c r="T40" s="24" t="str">
        <f aca="false">IF($A40="","",N40*Q40/100)</f>
        <v/>
      </c>
      <c r="U40" s="24" t="str">
        <f aca="false">IF($A40="","",O40*Q40/100)</f>
        <v/>
      </c>
      <c r="V40" s="24" t="str">
        <f aca="false">IF($A40="","",R40+S40+T40+U40)</f>
        <v/>
      </c>
      <c r="W40" s="14"/>
      <c r="X40" s="15"/>
      <c r="Y40" s="23"/>
      <c r="Z40" s="14"/>
    </row>
    <row r="41" customFormat="false" ht="15" hidden="false" customHeight="false" outlineLevel="0" collapsed="false">
      <c r="A41" s="14"/>
      <c r="B41" s="17" t="str">
        <f aca="false">IF($A41="","",IFERROR(INDEX(Policy!$B$2:$B$301,MATCH($A41,Policy!$A$2:$A$301,0)),"MRO không có"))</f>
        <v/>
      </c>
      <c r="C41" s="17" t="str">
        <f aca="false">IF($A41="","",IFERROR(INDEX(Policy!$E$2:$E$301,MATCH($A41,Policy!$A$2:$A$301,0)),"MRO không có"))</f>
        <v/>
      </c>
      <c r="D41" s="14"/>
      <c r="E41" s="15"/>
      <c r="F41" s="15"/>
      <c r="G41" s="14"/>
      <c r="H41" s="14"/>
      <c r="I41" s="14"/>
      <c r="J41" s="14"/>
      <c r="K41" s="14"/>
      <c r="L41" s="23"/>
      <c r="M41" s="23"/>
      <c r="N41" s="23"/>
      <c r="O41" s="23"/>
      <c r="P41" s="24" t="str">
        <f aca="false">IF($A41="","",L41+M41+N41+O41)</f>
        <v/>
      </c>
      <c r="Q41" s="22" t="str">
        <f aca="false">IF($A41="","",IFERROR(INDEX(Risk!$D$2:$D$301,MATCH($A41,Policy!$A$2:$A$301,0)),0))</f>
        <v/>
      </c>
      <c r="R41" s="24" t="str">
        <f aca="false">IF($A41="","",L41*Q41/100)</f>
        <v/>
      </c>
      <c r="S41" s="24" t="str">
        <f aca="false">IF($A41="","",M41*Q41/100)</f>
        <v/>
      </c>
      <c r="T41" s="24" t="str">
        <f aca="false">IF($A41="","",N41*Q41/100)</f>
        <v/>
      </c>
      <c r="U41" s="24" t="str">
        <f aca="false">IF($A41="","",O41*Q41/100)</f>
        <v/>
      </c>
      <c r="V41" s="24" t="str">
        <f aca="false">IF($A41="","",R41+S41+T41+U41)</f>
        <v/>
      </c>
      <c r="W41" s="14"/>
      <c r="X41" s="15"/>
      <c r="Y41" s="23"/>
      <c r="Z41" s="14"/>
    </row>
    <row r="42" customFormat="false" ht="15" hidden="false" customHeight="false" outlineLevel="0" collapsed="false">
      <c r="A42" s="14"/>
      <c r="B42" s="17" t="str">
        <f aca="false">IF($A42="","",IFERROR(INDEX(Policy!$B$2:$B$301,MATCH($A42,Policy!$A$2:$A$301,0)),"MRO không có"))</f>
        <v/>
      </c>
      <c r="C42" s="17" t="str">
        <f aca="false">IF($A42="","",IFERROR(INDEX(Policy!$E$2:$E$301,MATCH($A42,Policy!$A$2:$A$301,0)),"MRO không có"))</f>
        <v/>
      </c>
      <c r="D42" s="14"/>
      <c r="E42" s="15"/>
      <c r="F42" s="15"/>
      <c r="G42" s="14"/>
      <c r="H42" s="14"/>
      <c r="I42" s="14"/>
      <c r="J42" s="14"/>
      <c r="K42" s="14"/>
      <c r="L42" s="23"/>
      <c r="M42" s="23"/>
      <c r="N42" s="23"/>
      <c r="O42" s="23"/>
      <c r="P42" s="24" t="str">
        <f aca="false">IF($A42="","",L42+M42+N42+O42)</f>
        <v/>
      </c>
      <c r="Q42" s="22" t="str">
        <f aca="false">IF($A42="","",IFERROR(INDEX(Risk!$D$2:$D$301,MATCH($A42,Policy!$A$2:$A$301,0)),0))</f>
        <v/>
      </c>
      <c r="R42" s="24" t="str">
        <f aca="false">IF($A42="","",L42*Q42/100)</f>
        <v/>
      </c>
      <c r="S42" s="24" t="str">
        <f aca="false">IF($A42="","",M42*Q42/100)</f>
        <v/>
      </c>
      <c r="T42" s="24" t="str">
        <f aca="false">IF($A42="","",N42*Q42/100)</f>
        <v/>
      </c>
      <c r="U42" s="24" t="str">
        <f aca="false">IF($A42="","",O42*Q42/100)</f>
        <v/>
      </c>
      <c r="V42" s="24" t="str">
        <f aca="false">IF($A42="","",R42+S42+T42+U42)</f>
        <v/>
      </c>
      <c r="W42" s="14"/>
      <c r="X42" s="15"/>
      <c r="Y42" s="23"/>
      <c r="Z42" s="14"/>
    </row>
    <row r="43" customFormat="false" ht="15" hidden="false" customHeight="false" outlineLevel="0" collapsed="false">
      <c r="A43" s="14"/>
      <c r="B43" s="17" t="str">
        <f aca="false">IF($A43="","",IFERROR(INDEX(Policy!$B$2:$B$301,MATCH($A43,Policy!$A$2:$A$301,0)),"MRO không có"))</f>
        <v/>
      </c>
      <c r="C43" s="17" t="str">
        <f aca="false">IF($A43="","",IFERROR(INDEX(Policy!$E$2:$E$301,MATCH($A43,Policy!$A$2:$A$301,0)),"MRO không có"))</f>
        <v/>
      </c>
      <c r="D43" s="14"/>
      <c r="E43" s="15"/>
      <c r="F43" s="15"/>
      <c r="G43" s="14"/>
      <c r="H43" s="14"/>
      <c r="I43" s="14"/>
      <c r="J43" s="14"/>
      <c r="K43" s="14"/>
      <c r="L43" s="23"/>
      <c r="M43" s="23"/>
      <c r="N43" s="23"/>
      <c r="O43" s="23"/>
      <c r="P43" s="24" t="str">
        <f aca="false">IF($A43="","",L43+M43+N43+O43)</f>
        <v/>
      </c>
      <c r="Q43" s="22" t="str">
        <f aca="false">IF($A43="","",IFERROR(INDEX(Risk!$D$2:$D$301,MATCH($A43,Policy!$A$2:$A$301,0)),0))</f>
        <v/>
      </c>
      <c r="R43" s="24" t="str">
        <f aca="false">IF($A43="","",L43*Q43/100)</f>
        <v/>
      </c>
      <c r="S43" s="24" t="str">
        <f aca="false">IF($A43="","",M43*Q43/100)</f>
        <v/>
      </c>
      <c r="T43" s="24" t="str">
        <f aca="false">IF($A43="","",N43*Q43/100)</f>
        <v/>
      </c>
      <c r="U43" s="24" t="str">
        <f aca="false">IF($A43="","",O43*Q43/100)</f>
        <v/>
      </c>
      <c r="V43" s="24" t="str">
        <f aca="false">IF($A43="","",R43+S43+T43+U43)</f>
        <v/>
      </c>
      <c r="W43" s="14"/>
      <c r="X43" s="15"/>
      <c r="Y43" s="23"/>
      <c r="Z43" s="14"/>
    </row>
    <row r="44" customFormat="false" ht="15" hidden="false" customHeight="false" outlineLevel="0" collapsed="false">
      <c r="A44" s="14"/>
      <c r="B44" s="17" t="str">
        <f aca="false">IF($A44="","",IFERROR(INDEX(Policy!$B$2:$B$301,MATCH($A44,Policy!$A$2:$A$301,0)),"MRO không có"))</f>
        <v/>
      </c>
      <c r="C44" s="17" t="str">
        <f aca="false">IF($A44="","",IFERROR(INDEX(Policy!$E$2:$E$301,MATCH($A44,Policy!$A$2:$A$301,0)),"MRO không có"))</f>
        <v/>
      </c>
      <c r="D44" s="14"/>
      <c r="E44" s="15"/>
      <c r="F44" s="15"/>
      <c r="G44" s="14"/>
      <c r="H44" s="14"/>
      <c r="I44" s="14"/>
      <c r="J44" s="14"/>
      <c r="K44" s="14"/>
      <c r="L44" s="23"/>
      <c r="M44" s="23"/>
      <c r="N44" s="23"/>
      <c r="O44" s="23"/>
      <c r="P44" s="24" t="str">
        <f aca="false">IF($A44="","",L44+M44+N44+O44)</f>
        <v/>
      </c>
      <c r="Q44" s="22" t="str">
        <f aca="false">IF($A44="","",IFERROR(INDEX(Risk!$D$2:$D$301,MATCH($A44,Policy!$A$2:$A$301,0)),0))</f>
        <v/>
      </c>
      <c r="R44" s="24" t="str">
        <f aca="false">IF($A44="","",L44*Q44/100)</f>
        <v/>
      </c>
      <c r="S44" s="24" t="str">
        <f aca="false">IF($A44="","",M44*Q44/100)</f>
        <v/>
      </c>
      <c r="T44" s="24" t="str">
        <f aca="false">IF($A44="","",N44*Q44/100)</f>
        <v/>
      </c>
      <c r="U44" s="24" t="str">
        <f aca="false">IF($A44="","",O44*Q44/100)</f>
        <v/>
      </c>
      <c r="V44" s="24" t="str">
        <f aca="false">IF($A44="","",R44+S44+T44+U44)</f>
        <v/>
      </c>
      <c r="W44" s="14"/>
      <c r="X44" s="15"/>
      <c r="Y44" s="23"/>
      <c r="Z44" s="14"/>
    </row>
    <row r="45" customFormat="false" ht="15" hidden="false" customHeight="false" outlineLevel="0" collapsed="false">
      <c r="A45" s="14"/>
      <c r="B45" s="17" t="str">
        <f aca="false">IF($A45="","",IFERROR(INDEX(Policy!$B$2:$B$301,MATCH($A45,Policy!$A$2:$A$301,0)),"MRO không có"))</f>
        <v/>
      </c>
      <c r="C45" s="17" t="str">
        <f aca="false">IF($A45="","",IFERROR(INDEX(Policy!$E$2:$E$301,MATCH($A45,Policy!$A$2:$A$301,0)),"MRO không có"))</f>
        <v/>
      </c>
      <c r="D45" s="14"/>
      <c r="E45" s="15"/>
      <c r="F45" s="15"/>
      <c r="G45" s="14"/>
      <c r="H45" s="14"/>
      <c r="I45" s="14"/>
      <c r="J45" s="14"/>
      <c r="K45" s="14"/>
      <c r="L45" s="23"/>
      <c r="M45" s="23"/>
      <c r="N45" s="23"/>
      <c r="O45" s="23"/>
      <c r="P45" s="24" t="str">
        <f aca="false">IF($A45="","",L45+M45+N45+O45)</f>
        <v/>
      </c>
      <c r="Q45" s="22" t="str">
        <f aca="false">IF($A45="","",IFERROR(INDEX(Risk!$D$2:$D$301,MATCH($A45,Policy!$A$2:$A$301,0)),0))</f>
        <v/>
      </c>
      <c r="R45" s="24" t="str">
        <f aca="false">IF($A45="","",L45*Q45/100)</f>
        <v/>
      </c>
      <c r="S45" s="24" t="str">
        <f aca="false">IF($A45="","",M45*Q45/100)</f>
        <v/>
      </c>
      <c r="T45" s="24" t="str">
        <f aca="false">IF($A45="","",N45*Q45/100)</f>
        <v/>
      </c>
      <c r="U45" s="24" t="str">
        <f aca="false">IF($A45="","",O45*Q45/100)</f>
        <v/>
      </c>
      <c r="V45" s="24" t="str">
        <f aca="false">IF($A45="","",R45+S45+T45+U45)</f>
        <v/>
      </c>
      <c r="W45" s="14"/>
      <c r="X45" s="15"/>
      <c r="Y45" s="23"/>
      <c r="Z45" s="14"/>
    </row>
    <row r="46" customFormat="false" ht="15" hidden="false" customHeight="false" outlineLevel="0" collapsed="false">
      <c r="A46" s="14"/>
      <c r="B46" s="17" t="str">
        <f aca="false">IF($A46="","",IFERROR(INDEX(Policy!$B$2:$B$301,MATCH($A46,Policy!$A$2:$A$301,0)),"MRO không có"))</f>
        <v/>
      </c>
      <c r="C46" s="17" t="str">
        <f aca="false">IF($A46="","",IFERROR(INDEX(Policy!$E$2:$E$301,MATCH($A46,Policy!$A$2:$A$301,0)),"MRO không có"))</f>
        <v/>
      </c>
      <c r="D46" s="14"/>
      <c r="E46" s="15"/>
      <c r="F46" s="15"/>
      <c r="G46" s="14"/>
      <c r="H46" s="14"/>
      <c r="I46" s="14"/>
      <c r="J46" s="14"/>
      <c r="K46" s="14"/>
      <c r="L46" s="23"/>
      <c r="M46" s="23"/>
      <c r="N46" s="23"/>
      <c r="O46" s="23"/>
      <c r="P46" s="24" t="str">
        <f aca="false">IF($A46="","",L46+M46+N46+O46)</f>
        <v/>
      </c>
      <c r="Q46" s="22" t="str">
        <f aca="false">IF($A46="","",IFERROR(INDEX(Risk!$D$2:$D$301,MATCH($A46,Policy!$A$2:$A$301,0)),0))</f>
        <v/>
      </c>
      <c r="R46" s="24" t="str">
        <f aca="false">IF($A46="","",L46*Q46/100)</f>
        <v/>
      </c>
      <c r="S46" s="24" t="str">
        <f aca="false">IF($A46="","",M46*Q46/100)</f>
        <v/>
      </c>
      <c r="T46" s="24" t="str">
        <f aca="false">IF($A46="","",N46*Q46/100)</f>
        <v/>
      </c>
      <c r="U46" s="24" t="str">
        <f aca="false">IF($A46="","",O46*Q46/100)</f>
        <v/>
      </c>
      <c r="V46" s="24" t="str">
        <f aca="false">IF($A46="","",R46+S46+T46+U46)</f>
        <v/>
      </c>
      <c r="W46" s="14"/>
      <c r="X46" s="15"/>
      <c r="Y46" s="23"/>
      <c r="Z46" s="14"/>
    </row>
    <row r="47" customFormat="false" ht="15" hidden="false" customHeight="false" outlineLevel="0" collapsed="false">
      <c r="A47" s="14"/>
      <c r="B47" s="17" t="str">
        <f aca="false">IF($A47="","",IFERROR(INDEX(Policy!$B$2:$B$301,MATCH($A47,Policy!$A$2:$A$301,0)),"MRO không có"))</f>
        <v/>
      </c>
      <c r="C47" s="17" t="str">
        <f aca="false">IF($A47="","",IFERROR(INDEX(Policy!$E$2:$E$301,MATCH($A47,Policy!$A$2:$A$301,0)),"MRO không có"))</f>
        <v/>
      </c>
      <c r="D47" s="14"/>
      <c r="E47" s="15"/>
      <c r="F47" s="15"/>
      <c r="G47" s="14"/>
      <c r="H47" s="14"/>
      <c r="I47" s="14"/>
      <c r="J47" s="14"/>
      <c r="K47" s="14"/>
      <c r="L47" s="23"/>
      <c r="M47" s="23"/>
      <c r="N47" s="23"/>
      <c r="O47" s="23"/>
      <c r="P47" s="24" t="str">
        <f aca="false">IF($A47="","",L47+M47+N47+O47)</f>
        <v/>
      </c>
      <c r="Q47" s="22" t="str">
        <f aca="false">IF($A47="","",IFERROR(INDEX(Risk!$D$2:$D$301,MATCH($A47,Policy!$A$2:$A$301,0)),0))</f>
        <v/>
      </c>
      <c r="R47" s="24" t="str">
        <f aca="false">IF($A47="","",L47*Q47/100)</f>
        <v/>
      </c>
      <c r="S47" s="24" t="str">
        <f aca="false">IF($A47="","",M47*Q47/100)</f>
        <v/>
      </c>
      <c r="T47" s="24" t="str">
        <f aca="false">IF($A47="","",N47*Q47/100)</f>
        <v/>
      </c>
      <c r="U47" s="24" t="str">
        <f aca="false">IF($A47="","",O47*Q47/100)</f>
        <v/>
      </c>
      <c r="V47" s="24" t="str">
        <f aca="false">IF($A47="","",R47+S47+T47+U47)</f>
        <v/>
      </c>
      <c r="W47" s="14"/>
      <c r="X47" s="15"/>
      <c r="Y47" s="23"/>
      <c r="Z47" s="14"/>
    </row>
    <row r="48" customFormat="false" ht="15" hidden="false" customHeight="false" outlineLevel="0" collapsed="false">
      <c r="A48" s="14"/>
      <c r="B48" s="17" t="str">
        <f aca="false">IF($A48="","",IFERROR(INDEX(Policy!$B$2:$B$301,MATCH($A48,Policy!$A$2:$A$301,0)),"MRO không có"))</f>
        <v/>
      </c>
      <c r="C48" s="17" t="str">
        <f aca="false">IF($A48="","",IFERROR(INDEX(Policy!$E$2:$E$301,MATCH($A48,Policy!$A$2:$A$301,0)),"MRO không có"))</f>
        <v/>
      </c>
      <c r="D48" s="14"/>
      <c r="E48" s="15"/>
      <c r="F48" s="15"/>
      <c r="G48" s="14"/>
      <c r="H48" s="14"/>
      <c r="I48" s="14"/>
      <c r="J48" s="14"/>
      <c r="K48" s="14"/>
      <c r="L48" s="23"/>
      <c r="M48" s="23"/>
      <c r="N48" s="23"/>
      <c r="O48" s="23"/>
      <c r="P48" s="24" t="str">
        <f aca="false">IF($A48="","",L48+M48+N48+O48)</f>
        <v/>
      </c>
      <c r="Q48" s="22" t="str">
        <f aca="false">IF($A48="","",IFERROR(INDEX(Risk!$D$2:$D$301,MATCH($A48,Policy!$A$2:$A$301,0)),0))</f>
        <v/>
      </c>
      <c r="R48" s="24" t="str">
        <f aca="false">IF($A48="","",L48*Q48/100)</f>
        <v/>
      </c>
      <c r="S48" s="24" t="str">
        <f aca="false">IF($A48="","",M48*Q48/100)</f>
        <v/>
      </c>
      <c r="T48" s="24" t="str">
        <f aca="false">IF($A48="","",N48*Q48/100)</f>
        <v/>
      </c>
      <c r="U48" s="24" t="str">
        <f aca="false">IF($A48="","",O48*Q48/100)</f>
        <v/>
      </c>
      <c r="V48" s="24" t="str">
        <f aca="false">IF($A48="","",R48+S48+T48+U48)</f>
        <v/>
      </c>
      <c r="W48" s="14"/>
      <c r="X48" s="15"/>
      <c r="Y48" s="23"/>
      <c r="Z48" s="14"/>
    </row>
    <row r="49" customFormat="false" ht="15" hidden="false" customHeight="false" outlineLevel="0" collapsed="false">
      <c r="A49" s="14"/>
      <c r="B49" s="17" t="str">
        <f aca="false">IF($A49="","",IFERROR(INDEX(Policy!$B$2:$B$301,MATCH($A49,Policy!$A$2:$A$301,0)),"MRO không có"))</f>
        <v/>
      </c>
      <c r="C49" s="17" t="str">
        <f aca="false">IF($A49="","",IFERROR(INDEX(Policy!$E$2:$E$301,MATCH($A49,Policy!$A$2:$A$301,0)),"MRO không có"))</f>
        <v/>
      </c>
      <c r="D49" s="14"/>
      <c r="E49" s="15"/>
      <c r="F49" s="15"/>
      <c r="G49" s="14"/>
      <c r="H49" s="14"/>
      <c r="I49" s="14"/>
      <c r="J49" s="14"/>
      <c r="K49" s="14"/>
      <c r="L49" s="23"/>
      <c r="M49" s="23"/>
      <c r="N49" s="23"/>
      <c r="O49" s="23"/>
      <c r="P49" s="24" t="str">
        <f aca="false">IF($A49="","",L49+M49+N49+O49)</f>
        <v/>
      </c>
      <c r="Q49" s="22" t="str">
        <f aca="false">IF($A49="","",IFERROR(INDEX(Risk!$D$2:$D$301,MATCH($A49,Policy!$A$2:$A$301,0)),0))</f>
        <v/>
      </c>
      <c r="R49" s="24" t="str">
        <f aca="false">IF($A49="","",L49*Q49/100)</f>
        <v/>
      </c>
      <c r="S49" s="24" t="str">
        <f aca="false">IF($A49="","",M49*Q49/100)</f>
        <v/>
      </c>
      <c r="T49" s="24" t="str">
        <f aca="false">IF($A49="","",N49*Q49/100)</f>
        <v/>
      </c>
      <c r="U49" s="24" t="str">
        <f aca="false">IF($A49="","",O49*Q49/100)</f>
        <v/>
      </c>
      <c r="V49" s="24" t="str">
        <f aca="false">IF($A49="","",R49+S49+T49+U49)</f>
        <v/>
      </c>
      <c r="W49" s="14"/>
      <c r="X49" s="15"/>
      <c r="Y49" s="23"/>
      <c r="Z49" s="14"/>
    </row>
    <row r="50" customFormat="false" ht="15" hidden="false" customHeight="false" outlineLevel="0" collapsed="false">
      <c r="A50" s="14"/>
      <c r="B50" s="17" t="str">
        <f aca="false">IF($A50="","",IFERROR(INDEX(Policy!$B$2:$B$301,MATCH($A50,Policy!$A$2:$A$301,0)),"MRO không có"))</f>
        <v/>
      </c>
      <c r="C50" s="17" t="str">
        <f aca="false">IF($A50="","",IFERROR(INDEX(Policy!$E$2:$E$301,MATCH($A50,Policy!$A$2:$A$301,0)),"MRO không có"))</f>
        <v/>
      </c>
      <c r="D50" s="14"/>
      <c r="E50" s="15"/>
      <c r="F50" s="15"/>
      <c r="G50" s="14"/>
      <c r="H50" s="14"/>
      <c r="I50" s="14"/>
      <c r="J50" s="14"/>
      <c r="K50" s="14"/>
      <c r="L50" s="23"/>
      <c r="M50" s="23"/>
      <c r="N50" s="23"/>
      <c r="O50" s="23"/>
      <c r="P50" s="24" t="str">
        <f aca="false">IF($A50="","",L50+M50+N50+O50)</f>
        <v/>
      </c>
      <c r="Q50" s="22" t="str">
        <f aca="false">IF($A50="","",IFERROR(INDEX(Risk!$D$2:$D$301,MATCH($A50,Policy!$A$2:$A$301,0)),0))</f>
        <v/>
      </c>
      <c r="R50" s="24" t="str">
        <f aca="false">IF($A50="","",L50*Q50/100)</f>
        <v/>
      </c>
      <c r="S50" s="24" t="str">
        <f aca="false">IF($A50="","",M50*Q50/100)</f>
        <v/>
      </c>
      <c r="T50" s="24" t="str">
        <f aca="false">IF($A50="","",N50*Q50/100)</f>
        <v/>
      </c>
      <c r="U50" s="24" t="str">
        <f aca="false">IF($A50="","",O50*Q50/100)</f>
        <v/>
      </c>
      <c r="V50" s="24" t="str">
        <f aca="false">IF($A50="","",R50+S50+T50+U50)</f>
        <v/>
      </c>
      <c r="W50" s="14"/>
      <c r="X50" s="15"/>
      <c r="Y50" s="23"/>
      <c r="Z50" s="14"/>
    </row>
    <row r="51" customFormat="false" ht="15" hidden="false" customHeight="false" outlineLevel="0" collapsed="false">
      <c r="A51" s="14"/>
      <c r="B51" s="17" t="str">
        <f aca="false">IF($A51="","",IFERROR(INDEX(Policy!$B$2:$B$301,MATCH($A51,Policy!$A$2:$A$301,0)),"MRO không có"))</f>
        <v/>
      </c>
      <c r="C51" s="17" t="str">
        <f aca="false">IF($A51="","",IFERROR(INDEX(Policy!$E$2:$E$301,MATCH($A51,Policy!$A$2:$A$301,0)),"MRO không có"))</f>
        <v/>
      </c>
      <c r="D51" s="14"/>
      <c r="E51" s="15"/>
      <c r="F51" s="15"/>
      <c r="G51" s="14"/>
      <c r="H51" s="14"/>
      <c r="I51" s="14"/>
      <c r="J51" s="14"/>
      <c r="K51" s="14"/>
      <c r="L51" s="23"/>
      <c r="M51" s="23"/>
      <c r="N51" s="23"/>
      <c r="O51" s="23"/>
      <c r="P51" s="24" t="str">
        <f aca="false">IF($A51="","",L51+M51+N51+O51)</f>
        <v/>
      </c>
      <c r="Q51" s="22" t="str">
        <f aca="false">IF($A51="","",IFERROR(INDEX(Risk!$D$2:$D$301,MATCH($A51,Policy!$A$2:$A$301,0)),0))</f>
        <v/>
      </c>
      <c r="R51" s="24" t="str">
        <f aca="false">IF($A51="","",L51*Q51/100)</f>
        <v/>
      </c>
      <c r="S51" s="24" t="str">
        <f aca="false">IF($A51="","",M51*Q51/100)</f>
        <v/>
      </c>
      <c r="T51" s="24" t="str">
        <f aca="false">IF($A51="","",N51*Q51/100)</f>
        <v/>
      </c>
      <c r="U51" s="24" t="str">
        <f aca="false">IF($A51="","",O51*Q51/100)</f>
        <v/>
      </c>
      <c r="V51" s="24" t="str">
        <f aca="false">IF($A51="","",R51+S51+T51+U51)</f>
        <v/>
      </c>
      <c r="W51" s="14"/>
      <c r="X51" s="15"/>
      <c r="Y51" s="23"/>
      <c r="Z51" s="14"/>
    </row>
    <row r="52" customFormat="false" ht="15" hidden="false" customHeight="false" outlineLevel="0" collapsed="false">
      <c r="A52" s="14"/>
      <c r="B52" s="17" t="str">
        <f aca="false">IF($A52="","",IFERROR(INDEX(Policy!$B$2:$B$301,MATCH($A52,Policy!$A$2:$A$301,0)),"MRO không có"))</f>
        <v/>
      </c>
      <c r="C52" s="17" t="str">
        <f aca="false">IF($A52="","",IFERROR(INDEX(Policy!$E$2:$E$301,MATCH($A52,Policy!$A$2:$A$301,0)),"MRO không có"))</f>
        <v/>
      </c>
      <c r="D52" s="14"/>
      <c r="E52" s="15"/>
      <c r="F52" s="15"/>
      <c r="G52" s="14"/>
      <c r="H52" s="14"/>
      <c r="I52" s="14"/>
      <c r="J52" s="14"/>
      <c r="K52" s="14"/>
      <c r="L52" s="23"/>
      <c r="M52" s="23"/>
      <c r="N52" s="23"/>
      <c r="O52" s="23"/>
      <c r="P52" s="24" t="str">
        <f aca="false">IF($A52="","",L52+M52+N52+O52)</f>
        <v/>
      </c>
      <c r="Q52" s="22" t="str">
        <f aca="false">IF($A52="","",IFERROR(INDEX(Risk!$D$2:$D$301,MATCH($A52,Policy!$A$2:$A$301,0)),0))</f>
        <v/>
      </c>
      <c r="R52" s="24" t="str">
        <f aca="false">IF($A52="","",L52*Q52/100)</f>
        <v/>
      </c>
      <c r="S52" s="24" t="str">
        <f aca="false">IF($A52="","",M52*Q52/100)</f>
        <v/>
      </c>
      <c r="T52" s="24" t="str">
        <f aca="false">IF($A52="","",N52*Q52/100)</f>
        <v/>
      </c>
      <c r="U52" s="24" t="str">
        <f aca="false">IF($A52="","",O52*Q52/100)</f>
        <v/>
      </c>
      <c r="V52" s="24" t="str">
        <f aca="false">IF($A52="","",R52+S52+T52+U52)</f>
        <v/>
      </c>
      <c r="W52" s="14"/>
      <c r="X52" s="15"/>
      <c r="Y52" s="23"/>
      <c r="Z52" s="14"/>
    </row>
    <row r="53" customFormat="false" ht="15" hidden="false" customHeight="false" outlineLevel="0" collapsed="false">
      <c r="A53" s="14"/>
      <c r="B53" s="17" t="str">
        <f aca="false">IF($A53="","",IFERROR(INDEX(Policy!$B$2:$B$301,MATCH($A53,Policy!$A$2:$A$301,0)),"MRO không có"))</f>
        <v/>
      </c>
      <c r="C53" s="17" t="str">
        <f aca="false">IF($A53="","",IFERROR(INDEX(Policy!$E$2:$E$301,MATCH($A53,Policy!$A$2:$A$301,0)),"MRO không có"))</f>
        <v/>
      </c>
      <c r="D53" s="14"/>
      <c r="E53" s="15"/>
      <c r="F53" s="15"/>
      <c r="G53" s="14"/>
      <c r="H53" s="14"/>
      <c r="I53" s="14"/>
      <c r="J53" s="14"/>
      <c r="K53" s="14"/>
      <c r="L53" s="23"/>
      <c r="M53" s="23"/>
      <c r="N53" s="23"/>
      <c r="O53" s="23"/>
      <c r="P53" s="24" t="str">
        <f aca="false">IF($A53="","",L53+M53+N53+O53)</f>
        <v/>
      </c>
      <c r="Q53" s="22" t="str">
        <f aca="false">IF($A53="","",IFERROR(INDEX(Risk!$D$2:$D$301,MATCH($A53,Policy!$A$2:$A$301,0)),0))</f>
        <v/>
      </c>
      <c r="R53" s="24" t="str">
        <f aca="false">IF($A53="","",L53*Q53/100)</f>
        <v/>
      </c>
      <c r="S53" s="24" t="str">
        <f aca="false">IF($A53="","",M53*Q53/100)</f>
        <v/>
      </c>
      <c r="T53" s="24" t="str">
        <f aca="false">IF($A53="","",N53*Q53/100)</f>
        <v/>
      </c>
      <c r="U53" s="24" t="str">
        <f aca="false">IF($A53="","",O53*Q53/100)</f>
        <v/>
      </c>
      <c r="V53" s="24" t="str">
        <f aca="false">IF($A53="","",R53+S53+T53+U53)</f>
        <v/>
      </c>
      <c r="W53" s="14"/>
      <c r="X53" s="15"/>
      <c r="Y53" s="23"/>
      <c r="Z53" s="14"/>
    </row>
    <row r="54" customFormat="false" ht="15" hidden="false" customHeight="false" outlineLevel="0" collapsed="false">
      <c r="A54" s="14"/>
      <c r="B54" s="17" t="str">
        <f aca="false">IF($A54="","",IFERROR(INDEX(Policy!$B$2:$B$301,MATCH($A54,Policy!$A$2:$A$301,0)),"MRO không có"))</f>
        <v/>
      </c>
      <c r="C54" s="17" t="str">
        <f aca="false">IF($A54="","",IFERROR(INDEX(Policy!$E$2:$E$301,MATCH($A54,Policy!$A$2:$A$301,0)),"MRO không có"))</f>
        <v/>
      </c>
      <c r="D54" s="14"/>
      <c r="E54" s="15"/>
      <c r="F54" s="15"/>
      <c r="G54" s="14"/>
      <c r="H54" s="14"/>
      <c r="I54" s="14"/>
      <c r="J54" s="14"/>
      <c r="K54" s="14"/>
      <c r="L54" s="23"/>
      <c r="M54" s="23"/>
      <c r="N54" s="23"/>
      <c r="O54" s="23"/>
      <c r="P54" s="24" t="str">
        <f aca="false">IF($A54="","",L54+M54+N54+O54)</f>
        <v/>
      </c>
      <c r="Q54" s="22" t="str">
        <f aca="false">IF($A54="","",IFERROR(INDEX(Risk!$D$2:$D$301,MATCH($A54,Policy!$A$2:$A$301,0)),0))</f>
        <v/>
      </c>
      <c r="R54" s="24" t="str">
        <f aca="false">IF($A54="","",L54*Q54/100)</f>
        <v/>
      </c>
      <c r="S54" s="24" t="str">
        <f aca="false">IF($A54="","",M54*Q54/100)</f>
        <v/>
      </c>
      <c r="T54" s="24" t="str">
        <f aca="false">IF($A54="","",N54*Q54/100)</f>
        <v/>
      </c>
      <c r="U54" s="24" t="str">
        <f aca="false">IF($A54="","",O54*Q54/100)</f>
        <v/>
      </c>
      <c r="V54" s="24" t="str">
        <f aca="false">IF($A54="","",R54+S54+T54+U54)</f>
        <v/>
      </c>
      <c r="W54" s="14"/>
      <c r="X54" s="15"/>
      <c r="Y54" s="23"/>
      <c r="Z54" s="14"/>
    </row>
    <row r="55" customFormat="false" ht="15" hidden="false" customHeight="false" outlineLevel="0" collapsed="false">
      <c r="A55" s="14"/>
      <c r="B55" s="17" t="str">
        <f aca="false">IF($A55="","",IFERROR(INDEX(Policy!$B$2:$B$301,MATCH($A55,Policy!$A$2:$A$301,0)),"MRO không có"))</f>
        <v/>
      </c>
      <c r="C55" s="17" t="str">
        <f aca="false">IF($A55="","",IFERROR(INDEX(Policy!$E$2:$E$301,MATCH($A55,Policy!$A$2:$A$301,0)),"MRO không có"))</f>
        <v/>
      </c>
      <c r="D55" s="14"/>
      <c r="E55" s="15"/>
      <c r="F55" s="15"/>
      <c r="G55" s="14"/>
      <c r="H55" s="14"/>
      <c r="I55" s="14"/>
      <c r="J55" s="14"/>
      <c r="K55" s="14"/>
      <c r="L55" s="23"/>
      <c r="M55" s="23"/>
      <c r="N55" s="23"/>
      <c r="O55" s="23"/>
      <c r="P55" s="24" t="str">
        <f aca="false">IF($A55="","",L55+M55+N55+O55)</f>
        <v/>
      </c>
      <c r="Q55" s="22" t="str">
        <f aca="false">IF($A55="","",IFERROR(INDEX(Risk!$D$2:$D$301,MATCH($A55,Policy!$A$2:$A$301,0)),0))</f>
        <v/>
      </c>
      <c r="R55" s="24" t="str">
        <f aca="false">IF($A55="","",L55*Q55/100)</f>
        <v/>
      </c>
      <c r="S55" s="24" t="str">
        <f aca="false">IF($A55="","",M55*Q55/100)</f>
        <v/>
      </c>
      <c r="T55" s="24" t="str">
        <f aca="false">IF($A55="","",N55*Q55/100)</f>
        <v/>
      </c>
      <c r="U55" s="24" t="str">
        <f aca="false">IF($A55="","",O55*Q55/100)</f>
        <v/>
      </c>
      <c r="V55" s="24" t="str">
        <f aca="false">IF($A55="","",R55+S55+T55+U55)</f>
        <v/>
      </c>
      <c r="W55" s="14"/>
      <c r="X55" s="15"/>
      <c r="Y55" s="23"/>
      <c r="Z55" s="14"/>
    </row>
    <row r="56" customFormat="false" ht="15" hidden="false" customHeight="false" outlineLevel="0" collapsed="false">
      <c r="A56" s="14"/>
      <c r="B56" s="17" t="str">
        <f aca="false">IF($A56="","",IFERROR(INDEX(Policy!$B$2:$B$301,MATCH($A56,Policy!$A$2:$A$301,0)),"MRO không có"))</f>
        <v/>
      </c>
      <c r="C56" s="17" t="str">
        <f aca="false">IF($A56="","",IFERROR(INDEX(Policy!$E$2:$E$301,MATCH($A56,Policy!$A$2:$A$301,0)),"MRO không có"))</f>
        <v/>
      </c>
      <c r="D56" s="14"/>
      <c r="E56" s="15"/>
      <c r="F56" s="15"/>
      <c r="G56" s="14"/>
      <c r="H56" s="14"/>
      <c r="I56" s="14"/>
      <c r="J56" s="14"/>
      <c r="K56" s="14"/>
      <c r="L56" s="23"/>
      <c r="M56" s="23"/>
      <c r="N56" s="23"/>
      <c r="O56" s="23"/>
      <c r="P56" s="24" t="str">
        <f aca="false">IF($A56="","",L56+M56+N56+O56)</f>
        <v/>
      </c>
      <c r="Q56" s="22" t="str">
        <f aca="false">IF($A56="","",IFERROR(INDEX(Risk!$D$2:$D$301,MATCH($A56,Policy!$A$2:$A$301,0)),0))</f>
        <v/>
      </c>
      <c r="R56" s="24" t="str">
        <f aca="false">IF($A56="","",L56*Q56/100)</f>
        <v/>
      </c>
      <c r="S56" s="24" t="str">
        <f aca="false">IF($A56="","",M56*Q56/100)</f>
        <v/>
      </c>
      <c r="T56" s="24" t="str">
        <f aca="false">IF($A56="","",N56*Q56/100)</f>
        <v/>
      </c>
      <c r="U56" s="24" t="str">
        <f aca="false">IF($A56="","",O56*Q56/100)</f>
        <v/>
      </c>
      <c r="V56" s="24" t="str">
        <f aca="false">IF($A56="","",R56+S56+T56+U56)</f>
        <v/>
      </c>
      <c r="W56" s="14"/>
      <c r="X56" s="15"/>
      <c r="Y56" s="23"/>
      <c r="Z56" s="14"/>
    </row>
    <row r="57" customFormat="false" ht="15" hidden="false" customHeight="false" outlineLevel="0" collapsed="false">
      <c r="A57" s="14"/>
      <c r="B57" s="17" t="str">
        <f aca="false">IF($A57="","",IFERROR(INDEX(Policy!$B$2:$B$301,MATCH($A57,Policy!$A$2:$A$301,0)),"MRO không có"))</f>
        <v/>
      </c>
      <c r="C57" s="17" t="str">
        <f aca="false">IF($A57="","",IFERROR(INDEX(Policy!$E$2:$E$301,MATCH($A57,Policy!$A$2:$A$301,0)),"MRO không có"))</f>
        <v/>
      </c>
      <c r="D57" s="14"/>
      <c r="E57" s="15"/>
      <c r="F57" s="15"/>
      <c r="G57" s="14"/>
      <c r="H57" s="14"/>
      <c r="I57" s="14"/>
      <c r="J57" s="14"/>
      <c r="K57" s="14"/>
      <c r="L57" s="23"/>
      <c r="M57" s="23"/>
      <c r="N57" s="23"/>
      <c r="O57" s="23"/>
      <c r="P57" s="24" t="str">
        <f aca="false">IF($A57="","",L57+M57+N57+O57)</f>
        <v/>
      </c>
      <c r="Q57" s="22" t="str">
        <f aca="false">IF($A57="","",IFERROR(INDEX(Risk!$D$2:$D$301,MATCH($A57,Policy!$A$2:$A$301,0)),0))</f>
        <v/>
      </c>
      <c r="R57" s="24" t="str">
        <f aca="false">IF($A57="","",L57*Q57/100)</f>
        <v/>
      </c>
      <c r="S57" s="24" t="str">
        <f aca="false">IF($A57="","",M57*Q57/100)</f>
        <v/>
      </c>
      <c r="T57" s="24" t="str">
        <f aca="false">IF($A57="","",N57*Q57/100)</f>
        <v/>
      </c>
      <c r="U57" s="24" t="str">
        <f aca="false">IF($A57="","",O57*Q57/100)</f>
        <v/>
      </c>
      <c r="V57" s="24" t="str">
        <f aca="false">IF($A57="","",R57+S57+T57+U57)</f>
        <v/>
      </c>
      <c r="W57" s="14"/>
      <c r="X57" s="15"/>
      <c r="Y57" s="23"/>
      <c r="Z57" s="14"/>
    </row>
    <row r="58" customFormat="false" ht="15" hidden="false" customHeight="false" outlineLevel="0" collapsed="false">
      <c r="A58" s="14"/>
      <c r="B58" s="17" t="str">
        <f aca="false">IF($A58="","",IFERROR(INDEX(Policy!$B$2:$B$301,MATCH($A58,Policy!$A$2:$A$301,0)),"MRO không có"))</f>
        <v/>
      </c>
      <c r="C58" s="17" t="str">
        <f aca="false">IF($A58="","",IFERROR(INDEX(Policy!$E$2:$E$301,MATCH($A58,Policy!$A$2:$A$301,0)),"MRO không có"))</f>
        <v/>
      </c>
      <c r="D58" s="14"/>
      <c r="E58" s="15"/>
      <c r="F58" s="15"/>
      <c r="G58" s="14"/>
      <c r="H58" s="14"/>
      <c r="I58" s="14"/>
      <c r="J58" s="14"/>
      <c r="K58" s="14"/>
      <c r="L58" s="23"/>
      <c r="M58" s="23"/>
      <c r="N58" s="23"/>
      <c r="O58" s="23"/>
      <c r="P58" s="24" t="str">
        <f aca="false">IF($A58="","",L58+M58+N58+O58)</f>
        <v/>
      </c>
      <c r="Q58" s="22" t="str">
        <f aca="false">IF($A58="","",IFERROR(INDEX(Risk!$D$2:$D$301,MATCH($A58,Policy!$A$2:$A$301,0)),0))</f>
        <v/>
      </c>
      <c r="R58" s="24" t="str">
        <f aca="false">IF($A58="","",L58*Q58/100)</f>
        <v/>
      </c>
      <c r="S58" s="24" t="str">
        <f aca="false">IF($A58="","",M58*Q58/100)</f>
        <v/>
      </c>
      <c r="T58" s="24" t="str">
        <f aca="false">IF($A58="","",N58*Q58/100)</f>
        <v/>
      </c>
      <c r="U58" s="24" t="str">
        <f aca="false">IF($A58="","",O58*Q58/100)</f>
        <v/>
      </c>
      <c r="V58" s="24" t="str">
        <f aca="false">IF($A58="","",R58+S58+T58+U58)</f>
        <v/>
      </c>
      <c r="W58" s="14"/>
      <c r="X58" s="15"/>
      <c r="Y58" s="23"/>
      <c r="Z58" s="14"/>
    </row>
    <row r="59" customFormat="false" ht="15" hidden="false" customHeight="false" outlineLevel="0" collapsed="false">
      <c r="A59" s="14"/>
      <c r="B59" s="17" t="str">
        <f aca="false">IF($A59="","",IFERROR(INDEX(Policy!$B$2:$B$301,MATCH($A59,Policy!$A$2:$A$301,0)),"MRO không có"))</f>
        <v/>
      </c>
      <c r="C59" s="17" t="str">
        <f aca="false">IF($A59="","",IFERROR(INDEX(Policy!$E$2:$E$301,MATCH($A59,Policy!$A$2:$A$301,0)),"MRO không có"))</f>
        <v/>
      </c>
      <c r="D59" s="14"/>
      <c r="E59" s="15"/>
      <c r="F59" s="15"/>
      <c r="G59" s="14"/>
      <c r="H59" s="14"/>
      <c r="I59" s="14"/>
      <c r="J59" s="14"/>
      <c r="K59" s="14"/>
      <c r="L59" s="23"/>
      <c r="M59" s="23"/>
      <c r="N59" s="23"/>
      <c r="O59" s="23"/>
      <c r="P59" s="24" t="str">
        <f aca="false">IF($A59="","",L59+M59+N59+O59)</f>
        <v/>
      </c>
      <c r="Q59" s="22" t="str">
        <f aca="false">IF($A59="","",IFERROR(INDEX(Risk!$D$2:$D$301,MATCH($A59,Policy!$A$2:$A$301,0)),0))</f>
        <v/>
      </c>
      <c r="R59" s="24" t="str">
        <f aca="false">IF($A59="","",L59*Q59/100)</f>
        <v/>
      </c>
      <c r="S59" s="24" t="str">
        <f aca="false">IF($A59="","",M59*Q59/100)</f>
        <v/>
      </c>
      <c r="T59" s="24" t="str">
        <f aca="false">IF($A59="","",N59*Q59/100)</f>
        <v/>
      </c>
      <c r="U59" s="24" t="str">
        <f aca="false">IF($A59="","",O59*Q59/100)</f>
        <v/>
      </c>
      <c r="V59" s="24" t="str">
        <f aca="false">IF($A59="","",R59+S59+T59+U59)</f>
        <v/>
      </c>
      <c r="W59" s="14"/>
      <c r="X59" s="15"/>
      <c r="Y59" s="23"/>
      <c r="Z59" s="14"/>
    </row>
    <row r="60" customFormat="false" ht="15" hidden="false" customHeight="false" outlineLevel="0" collapsed="false">
      <c r="A60" s="14"/>
      <c r="B60" s="17" t="str">
        <f aca="false">IF($A60="","",IFERROR(INDEX(Policy!$B$2:$B$301,MATCH($A60,Policy!$A$2:$A$301,0)),"MRO không có"))</f>
        <v/>
      </c>
      <c r="C60" s="17" t="str">
        <f aca="false">IF($A60="","",IFERROR(INDEX(Policy!$E$2:$E$301,MATCH($A60,Policy!$A$2:$A$301,0)),"MRO không có"))</f>
        <v/>
      </c>
      <c r="D60" s="14"/>
      <c r="E60" s="15"/>
      <c r="F60" s="15"/>
      <c r="G60" s="14"/>
      <c r="H60" s="14"/>
      <c r="I60" s="14"/>
      <c r="J60" s="14"/>
      <c r="K60" s="14"/>
      <c r="L60" s="23"/>
      <c r="M60" s="23"/>
      <c r="N60" s="23"/>
      <c r="O60" s="23"/>
      <c r="P60" s="24" t="str">
        <f aca="false">IF($A60="","",L60+M60+N60+O60)</f>
        <v/>
      </c>
      <c r="Q60" s="22" t="str">
        <f aca="false">IF($A60="","",IFERROR(INDEX(Risk!$D$2:$D$301,MATCH($A60,Policy!$A$2:$A$301,0)),0))</f>
        <v/>
      </c>
      <c r="R60" s="24" t="str">
        <f aca="false">IF($A60="","",L60*Q60/100)</f>
        <v/>
      </c>
      <c r="S60" s="24" t="str">
        <f aca="false">IF($A60="","",M60*Q60/100)</f>
        <v/>
      </c>
      <c r="T60" s="24" t="str">
        <f aca="false">IF($A60="","",N60*Q60/100)</f>
        <v/>
      </c>
      <c r="U60" s="24" t="str">
        <f aca="false">IF($A60="","",O60*Q60/100)</f>
        <v/>
      </c>
      <c r="V60" s="24" t="str">
        <f aca="false">IF($A60="","",R60+S60+T60+U60)</f>
        <v/>
      </c>
      <c r="W60" s="14"/>
      <c r="X60" s="15"/>
      <c r="Y60" s="23"/>
      <c r="Z60" s="14"/>
    </row>
    <row r="61" customFormat="false" ht="15" hidden="false" customHeight="false" outlineLevel="0" collapsed="false">
      <c r="A61" s="14"/>
      <c r="B61" s="17" t="str">
        <f aca="false">IF($A61="","",IFERROR(INDEX(Policy!$B$2:$B$301,MATCH($A61,Policy!$A$2:$A$301,0)),"MRO không có"))</f>
        <v/>
      </c>
      <c r="C61" s="17" t="str">
        <f aca="false">IF($A61="","",IFERROR(INDEX(Policy!$E$2:$E$301,MATCH($A61,Policy!$A$2:$A$301,0)),"MRO không có"))</f>
        <v/>
      </c>
      <c r="D61" s="14"/>
      <c r="E61" s="15"/>
      <c r="F61" s="15"/>
      <c r="G61" s="14"/>
      <c r="H61" s="14"/>
      <c r="I61" s="14"/>
      <c r="J61" s="14"/>
      <c r="K61" s="14"/>
      <c r="L61" s="23"/>
      <c r="M61" s="23"/>
      <c r="N61" s="23"/>
      <c r="O61" s="23"/>
      <c r="P61" s="24" t="str">
        <f aca="false">IF($A61="","",L61+M61+N61+O61)</f>
        <v/>
      </c>
      <c r="Q61" s="22" t="str">
        <f aca="false">IF($A61="","",IFERROR(INDEX(Risk!$D$2:$D$301,MATCH($A61,Policy!$A$2:$A$301,0)),0))</f>
        <v/>
      </c>
      <c r="R61" s="24" t="str">
        <f aca="false">IF($A61="","",L61*Q61/100)</f>
        <v/>
      </c>
      <c r="S61" s="24" t="str">
        <f aca="false">IF($A61="","",M61*Q61/100)</f>
        <v/>
      </c>
      <c r="T61" s="24" t="str">
        <f aca="false">IF($A61="","",N61*Q61/100)</f>
        <v/>
      </c>
      <c r="U61" s="24" t="str">
        <f aca="false">IF($A61="","",O61*Q61/100)</f>
        <v/>
      </c>
      <c r="V61" s="24" t="str">
        <f aca="false">IF($A61="","",R61+S61+T61+U61)</f>
        <v/>
      </c>
      <c r="W61" s="14"/>
      <c r="X61" s="15"/>
      <c r="Y61" s="23"/>
      <c r="Z61" s="14"/>
    </row>
    <row r="62" customFormat="false" ht="15" hidden="false" customHeight="false" outlineLevel="0" collapsed="false">
      <c r="A62" s="14"/>
      <c r="B62" s="17" t="str">
        <f aca="false">IF($A62="","",IFERROR(INDEX(Policy!$B$2:$B$301,MATCH($A62,Policy!$A$2:$A$301,0)),"MRO không có"))</f>
        <v/>
      </c>
      <c r="C62" s="17" t="str">
        <f aca="false">IF($A62="","",IFERROR(INDEX(Policy!$E$2:$E$301,MATCH($A62,Policy!$A$2:$A$301,0)),"MRO không có"))</f>
        <v/>
      </c>
      <c r="D62" s="14"/>
      <c r="E62" s="15"/>
      <c r="F62" s="15"/>
      <c r="G62" s="14"/>
      <c r="H62" s="14"/>
      <c r="I62" s="14"/>
      <c r="J62" s="14"/>
      <c r="K62" s="14"/>
      <c r="L62" s="23"/>
      <c r="M62" s="23"/>
      <c r="N62" s="23"/>
      <c r="O62" s="23"/>
      <c r="P62" s="24" t="str">
        <f aca="false">IF($A62="","",L62+M62+N62+O62)</f>
        <v/>
      </c>
      <c r="Q62" s="22" t="str">
        <f aca="false">IF($A62="","",IFERROR(INDEX(Risk!$D$2:$D$301,MATCH($A62,Policy!$A$2:$A$301,0)),0))</f>
        <v/>
      </c>
      <c r="R62" s="24" t="str">
        <f aca="false">IF($A62="","",L62*Q62/100)</f>
        <v/>
      </c>
      <c r="S62" s="24" t="str">
        <f aca="false">IF($A62="","",M62*Q62/100)</f>
        <v/>
      </c>
      <c r="T62" s="24" t="str">
        <f aca="false">IF($A62="","",N62*Q62/100)</f>
        <v/>
      </c>
      <c r="U62" s="24" t="str">
        <f aca="false">IF($A62="","",O62*Q62/100)</f>
        <v/>
      </c>
      <c r="V62" s="24" t="str">
        <f aca="false">IF($A62="","",R62+S62+T62+U62)</f>
        <v/>
      </c>
      <c r="W62" s="14"/>
      <c r="X62" s="15"/>
      <c r="Y62" s="23"/>
      <c r="Z62" s="14"/>
    </row>
    <row r="63" customFormat="false" ht="15" hidden="false" customHeight="false" outlineLevel="0" collapsed="false">
      <c r="A63" s="14"/>
      <c r="B63" s="17" t="str">
        <f aca="false">IF($A63="","",IFERROR(INDEX(Policy!$B$2:$B$301,MATCH($A63,Policy!$A$2:$A$301,0)),"MRO không có"))</f>
        <v/>
      </c>
      <c r="C63" s="17" t="str">
        <f aca="false">IF($A63="","",IFERROR(INDEX(Policy!$E$2:$E$301,MATCH($A63,Policy!$A$2:$A$301,0)),"MRO không có"))</f>
        <v/>
      </c>
      <c r="D63" s="14"/>
      <c r="E63" s="15"/>
      <c r="F63" s="15"/>
      <c r="G63" s="14"/>
      <c r="H63" s="14"/>
      <c r="I63" s="14"/>
      <c r="J63" s="14"/>
      <c r="K63" s="14"/>
      <c r="L63" s="23"/>
      <c r="M63" s="23"/>
      <c r="N63" s="23"/>
      <c r="O63" s="23"/>
      <c r="P63" s="24" t="str">
        <f aca="false">IF($A63="","",L63+M63+N63+O63)</f>
        <v/>
      </c>
      <c r="Q63" s="22" t="str">
        <f aca="false">IF($A63="","",IFERROR(INDEX(Risk!$D$2:$D$301,MATCH($A63,Policy!$A$2:$A$301,0)),0))</f>
        <v/>
      </c>
      <c r="R63" s="24" t="str">
        <f aca="false">IF($A63="","",L63*Q63/100)</f>
        <v/>
      </c>
      <c r="S63" s="24" t="str">
        <f aca="false">IF($A63="","",M63*Q63/100)</f>
        <v/>
      </c>
      <c r="T63" s="24" t="str">
        <f aca="false">IF($A63="","",N63*Q63/100)</f>
        <v/>
      </c>
      <c r="U63" s="24" t="str">
        <f aca="false">IF($A63="","",O63*Q63/100)</f>
        <v/>
      </c>
      <c r="V63" s="24" t="str">
        <f aca="false">IF($A63="","",R63+S63+T63+U63)</f>
        <v/>
      </c>
      <c r="W63" s="14"/>
      <c r="X63" s="15"/>
      <c r="Y63" s="23"/>
      <c r="Z63" s="14"/>
    </row>
    <row r="64" customFormat="false" ht="15" hidden="false" customHeight="false" outlineLevel="0" collapsed="false">
      <c r="A64" s="14"/>
      <c r="B64" s="17" t="str">
        <f aca="false">IF($A64="","",IFERROR(INDEX(Policy!$B$2:$B$301,MATCH($A64,Policy!$A$2:$A$301,0)),"MRO không có"))</f>
        <v/>
      </c>
      <c r="C64" s="17" t="str">
        <f aca="false">IF($A64="","",IFERROR(INDEX(Policy!$E$2:$E$301,MATCH($A64,Policy!$A$2:$A$301,0)),"MRO không có"))</f>
        <v/>
      </c>
      <c r="D64" s="14"/>
      <c r="E64" s="15"/>
      <c r="F64" s="15"/>
      <c r="G64" s="14"/>
      <c r="H64" s="14"/>
      <c r="I64" s="14"/>
      <c r="J64" s="14"/>
      <c r="K64" s="14"/>
      <c r="L64" s="23"/>
      <c r="M64" s="23"/>
      <c r="N64" s="23"/>
      <c r="O64" s="23"/>
      <c r="P64" s="24" t="str">
        <f aca="false">IF($A64="","",L64+M64+N64+O64)</f>
        <v/>
      </c>
      <c r="Q64" s="22" t="str">
        <f aca="false">IF($A64="","",IFERROR(INDEX(Risk!$D$2:$D$301,MATCH($A64,Policy!$A$2:$A$301,0)),0))</f>
        <v/>
      </c>
      <c r="R64" s="24" t="str">
        <f aca="false">IF($A64="","",L64*Q64/100)</f>
        <v/>
      </c>
      <c r="S64" s="24" t="str">
        <f aca="false">IF($A64="","",M64*Q64/100)</f>
        <v/>
      </c>
      <c r="T64" s="24" t="str">
        <f aca="false">IF($A64="","",N64*Q64/100)</f>
        <v/>
      </c>
      <c r="U64" s="24" t="str">
        <f aca="false">IF($A64="","",O64*Q64/100)</f>
        <v/>
      </c>
      <c r="V64" s="24" t="str">
        <f aca="false">IF($A64="","",R64+S64+T64+U64)</f>
        <v/>
      </c>
      <c r="W64" s="14"/>
      <c r="X64" s="15"/>
      <c r="Y64" s="23"/>
      <c r="Z64" s="14"/>
    </row>
    <row r="65" customFormat="false" ht="15" hidden="false" customHeight="false" outlineLevel="0" collapsed="false">
      <c r="A65" s="14"/>
      <c r="B65" s="17" t="str">
        <f aca="false">IF($A65="","",IFERROR(INDEX(Policy!$B$2:$B$301,MATCH($A65,Policy!$A$2:$A$301,0)),"MRO không có"))</f>
        <v/>
      </c>
      <c r="C65" s="17" t="str">
        <f aca="false">IF($A65="","",IFERROR(INDEX(Policy!$E$2:$E$301,MATCH($A65,Policy!$A$2:$A$301,0)),"MRO không có"))</f>
        <v/>
      </c>
      <c r="D65" s="14"/>
      <c r="E65" s="15"/>
      <c r="F65" s="15"/>
      <c r="G65" s="14"/>
      <c r="H65" s="14"/>
      <c r="I65" s="14"/>
      <c r="J65" s="14"/>
      <c r="K65" s="14"/>
      <c r="L65" s="23"/>
      <c r="M65" s="23"/>
      <c r="N65" s="23"/>
      <c r="O65" s="23"/>
      <c r="P65" s="24" t="str">
        <f aca="false">IF($A65="","",L65+M65+N65+O65)</f>
        <v/>
      </c>
      <c r="Q65" s="22" t="str">
        <f aca="false">IF($A65="","",IFERROR(INDEX(Risk!$D$2:$D$301,MATCH($A65,Policy!$A$2:$A$301,0)),0))</f>
        <v/>
      </c>
      <c r="R65" s="24" t="str">
        <f aca="false">IF($A65="","",L65*Q65/100)</f>
        <v/>
      </c>
      <c r="S65" s="24" t="str">
        <f aca="false">IF($A65="","",M65*Q65/100)</f>
        <v/>
      </c>
      <c r="T65" s="24" t="str">
        <f aca="false">IF($A65="","",N65*Q65/100)</f>
        <v/>
      </c>
      <c r="U65" s="24" t="str">
        <f aca="false">IF($A65="","",O65*Q65/100)</f>
        <v/>
      </c>
      <c r="V65" s="24" t="str">
        <f aca="false">IF($A65="","",R65+S65+T65+U65)</f>
        <v/>
      </c>
      <c r="W65" s="14"/>
      <c r="X65" s="15"/>
      <c r="Y65" s="23"/>
      <c r="Z65" s="14"/>
    </row>
    <row r="66" customFormat="false" ht="15" hidden="false" customHeight="false" outlineLevel="0" collapsed="false">
      <c r="A66" s="14"/>
      <c r="B66" s="17" t="str">
        <f aca="false">IF($A66="","",IFERROR(INDEX(Policy!$B$2:$B$301,MATCH($A66,Policy!$A$2:$A$301,0)),"MRO không có"))</f>
        <v/>
      </c>
      <c r="C66" s="17" t="str">
        <f aca="false">IF($A66="","",IFERROR(INDEX(Policy!$E$2:$E$301,MATCH($A66,Policy!$A$2:$A$301,0)),"MRO không có"))</f>
        <v/>
      </c>
      <c r="D66" s="14"/>
      <c r="E66" s="15"/>
      <c r="F66" s="15"/>
      <c r="G66" s="14"/>
      <c r="H66" s="14"/>
      <c r="I66" s="14"/>
      <c r="J66" s="14"/>
      <c r="K66" s="14"/>
      <c r="L66" s="23"/>
      <c r="M66" s="23"/>
      <c r="N66" s="23"/>
      <c r="O66" s="23"/>
      <c r="P66" s="24" t="str">
        <f aca="false">IF($A66="","",L66+M66+N66+O66)</f>
        <v/>
      </c>
      <c r="Q66" s="22" t="str">
        <f aca="false">IF($A66="","",IFERROR(INDEX(Risk!$D$2:$D$301,MATCH($A66,Policy!$A$2:$A$301,0)),0))</f>
        <v/>
      </c>
      <c r="R66" s="24" t="str">
        <f aca="false">IF($A66="","",L66*Q66/100)</f>
        <v/>
      </c>
      <c r="S66" s="24" t="str">
        <f aca="false">IF($A66="","",M66*Q66/100)</f>
        <v/>
      </c>
      <c r="T66" s="24" t="str">
        <f aca="false">IF($A66="","",N66*Q66/100)</f>
        <v/>
      </c>
      <c r="U66" s="24" t="str">
        <f aca="false">IF($A66="","",O66*Q66/100)</f>
        <v/>
      </c>
      <c r="V66" s="24" t="str">
        <f aca="false">IF($A66="","",R66+S66+T66+U66)</f>
        <v/>
      </c>
      <c r="W66" s="14"/>
      <c r="X66" s="15"/>
      <c r="Y66" s="23"/>
      <c r="Z66" s="14"/>
    </row>
    <row r="67" customFormat="false" ht="15" hidden="false" customHeight="false" outlineLevel="0" collapsed="false">
      <c r="A67" s="14"/>
      <c r="B67" s="17" t="str">
        <f aca="false">IF($A67="","",IFERROR(INDEX(Policy!$B$2:$B$301,MATCH($A67,Policy!$A$2:$A$301,0)),"MRO không có"))</f>
        <v/>
      </c>
      <c r="C67" s="17" t="str">
        <f aca="false">IF($A67="","",IFERROR(INDEX(Policy!$E$2:$E$301,MATCH($A67,Policy!$A$2:$A$301,0)),"MRO không có"))</f>
        <v/>
      </c>
      <c r="D67" s="14"/>
      <c r="E67" s="15"/>
      <c r="F67" s="15"/>
      <c r="G67" s="14"/>
      <c r="H67" s="14"/>
      <c r="I67" s="14"/>
      <c r="J67" s="14"/>
      <c r="K67" s="14"/>
      <c r="L67" s="23"/>
      <c r="M67" s="23"/>
      <c r="N67" s="23"/>
      <c r="O67" s="23"/>
      <c r="P67" s="24" t="str">
        <f aca="false">IF($A67="","",L67+M67+N67+O67)</f>
        <v/>
      </c>
      <c r="Q67" s="22" t="str">
        <f aca="false">IF($A67="","",IFERROR(INDEX(Risk!$D$2:$D$301,MATCH($A67,Policy!$A$2:$A$301,0)),0))</f>
        <v/>
      </c>
      <c r="R67" s="24" t="str">
        <f aca="false">IF($A67="","",L67*Q67/100)</f>
        <v/>
      </c>
      <c r="S67" s="24" t="str">
        <f aca="false">IF($A67="","",M67*Q67/100)</f>
        <v/>
      </c>
      <c r="T67" s="24" t="str">
        <f aca="false">IF($A67="","",N67*Q67/100)</f>
        <v/>
      </c>
      <c r="U67" s="24" t="str">
        <f aca="false">IF($A67="","",O67*Q67/100)</f>
        <v/>
      </c>
      <c r="V67" s="24" t="str">
        <f aca="false">IF($A67="","",R67+S67+T67+U67)</f>
        <v/>
      </c>
      <c r="W67" s="14"/>
      <c r="X67" s="15"/>
      <c r="Y67" s="23"/>
      <c r="Z67" s="14"/>
    </row>
    <row r="68" customFormat="false" ht="15" hidden="false" customHeight="false" outlineLevel="0" collapsed="false">
      <c r="A68" s="14"/>
      <c r="B68" s="17" t="str">
        <f aca="false">IF($A68="","",IFERROR(INDEX(Policy!$B$2:$B$301,MATCH($A68,Policy!$A$2:$A$301,0)),"MRO không có"))</f>
        <v/>
      </c>
      <c r="C68" s="17" t="str">
        <f aca="false">IF($A68="","",IFERROR(INDEX(Policy!$E$2:$E$301,MATCH($A68,Policy!$A$2:$A$301,0)),"MRO không có"))</f>
        <v/>
      </c>
      <c r="D68" s="14"/>
      <c r="E68" s="15"/>
      <c r="F68" s="15"/>
      <c r="G68" s="14"/>
      <c r="H68" s="14"/>
      <c r="I68" s="14"/>
      <c r="J68" s="14"/>
      <c r="K68" s="14"/>
      <c r="L68" s="23"/>
      <c r="M68" s="23"/>
      <c r="N68" s="23"/>
      <c r="O68" s="23"/>
      <c r="P68" s="24" t="str">
        <f aca="false">IF($A68="","",L68+M68+N68+O68)</f>
        <v/>
      </c>
      <c r="Q68" s="22" t="str">
        <f aca="false">IF($A68="","",IFERROR(INDEX(Risk!$D$2:$D$301,MATCH($A68,Policy!$A$2:$A$301,0)),0))</f>
        <v/>
      </c>
      <c r="R68" s="24" t="str">
        <f aca="false">IF($A68="","",L68*Q68/100)</f>
        <v/>
      </c>
      <c r="S68" s="24" t="str">
        <f aca="false">IF($A68="","",M68*Q68/100)</f>
        <v/>
      </c>
      <c r="T68" s="24" t="str">
        <f aca="false">IF($A68="","",N68*Q68/100)</f>
        <v/>
      </c>
      <c r="U68" s="24" t="str">
        <f aca="false">IF($A68="","",O68*Q68/100)</f>
        <v/>
      </c>
      <c r="V68" s="24" t="str">
        <f aca="false">IF($A68="","",R68+S68+T68+U68)</f>
        <v/>
      </c>
      <c r="W68" s="14"/>
      <c r="X68" s="15"/>
      <c r="Y68" s="23"/>
      <c r="Z68" s="14"/>
    </row>
    <row r="69" customFormat="false" ht="15" hidden="false" customHeight="false" outlineLevel="0" collapsed="false">
      <c r="A69" s="14"/>
      <c r="B69" s="17" t="str">
        <f aca="false">IF($A69="","",IFERROR(INDEX(Policy!$B$2:$B$301,MATCH($A69,Policy!$A$2:$A$301,0)),"MRO không có"))</f>
        <v/>
      </c>
      <c r="C69" s="17" t="str">
        <f aca="false">IF($A69="","",IFERROR(INDEX(Policy!$E$2:$E$301,MATCH($A69,Policy!$A$2:$A$301,0)),"MRO không có"))</f>
        <v/>
      </c>
      <c r="D69" s="14"/>
      <c r="E69" s="15"/>
      <c r="F69" s="15"/>
      <c r="G69" s="14"/>
      <c r="H69" s="14"/>
      <c r="I69" s="14"/>
      <c r="J69" s="14"/>
      <c r="K69" s="14"/>
      <c r="L69" s="23"/>
      <c r="M69" s="23"/>
      <c r="N69" s="23"/>
      <c r="O69" s="23"/>
      <c r="P69" s="24" t="str">
        <f aca="false">IF($A69="","",L69+M69+N69+O69)</f>
        <v/>
      </c>
      <c r="Q69" s="22" t="str">
        <f aca="false">IF($A69="","",IFERROR(INDEX(Risk!$D$2:$D$301,MATCH($A69,Policy!$A$2:$A$301,0)),0))</f>
        <v/>
      </c>
      <c r="R69" s="24" t="str">
        <f aca="false">IF($A69="","",L69*Q69/100)</f>
        <v/>
      </c>
      <c r="S69" s="24" t="str">
        <f aca="false">IF($A69="","",M69*Q69/100)</f>
        <v/>
      </c>
      <c r="T69" s="24" t="str">
        <f aca="false">IF($A69="","",N69*Q69/100)</f>
        <v/>
      </c>
      <c r="U69" s="24" t="str">
        <f aca="false">IF($A69="","",O69*Q69/100)</f>
        <v/>
      </c>
      <c r="V69" s="24" t="str">
        <f aca="false">IF($A69="","",R69+S69+T69+U69)</f>
        <v/>
      </c>
      <c r="W69" s="14"/>
      <c r="X69" s="15"/>
      <c r="Y69" s="23"/>
      <c r="Z69" s="14"/>
    </row>
    <row r="70" customFormat="false" ht="15" hidden="false" customHeight="false" outlineLevel="0" collapsed="false">
      <c r="A70" s="14"/>
      <c r="B70" s="17" t="str">
        <f aca="false">IF($A70="","",IFERROR(INDEX(Policy!$B$2:$B$301,MATCH($A70,Policy!$A$2:$A$301,0)),"MRO không có"))</f>
        <v/>
      </c>
      <c r="C70" s="17" t="str">
        <f aca="false">IF($A70="","",IFERROR(INDEX(Policy!$E$2:$E$301,MATCH($A70,Policy!$A$2:$A$301,0)),"MRO không có"))</f>
        <v/>
      </c>
      <c r="D70" s="14"/>
      <c r="E70" s="15"/>
      <c r="F70" s="15"/>
      <c r="G70" s="14"/>
      <c r="H70" s="14"/>
      <c r="I70" s="14"/>
      <c r="J70" s="14"/>
      <c r="K70" s="14"/>
      <c r="L70" s="23"/>
      <c r="M70" s="23"/>
      <c r="N70" s="23"/>
      <c r="O70" s="23"/>
      <c r="P70" s="24" t="str">
        <f aca="false">IF($A70="","",L70+M70+N70+O70)</f>
        <v/>
      </c>
      <c r="Q70" s="22" t="str">
        <f aca="false">IF($A70="","",IFERROR(INDEX(Risk!$D$2:$D$301,MATCH($A70,Policy!$A$2:$A$301,0)),0))</f>
        <v/>
      </c>
      <c r="R70" s="24" t="str">
        <f aca="false">IF($A70="","",L70*Q70/100)</f>
        <v/>
      </c>
      <c r="S70" s="24" t="str">
        <f aca="false">IF($A70="","",M70*Q70/100)</f>
        <v/>
      </c>
      <c r="T70" s="24" t="str">
        <f aca="false">IF($A70="","",N70*Q70/100)</f>
        <v/>
      </c>
      <c r="U70" s="24" t="str">
        <f aca="false">IF($A70="","",O70*Q70/100)</f>
        <v/>
      </c>
      <c r="V70" s="24" t="str">
        <f aca="false">IF($A70="","",R70+S70+T70+U70)</f>
        <v/>
      </c>
      <c r="W70" s="14"/>
      <c r="X70" s="15"/>
      <c r="Y70" s="23"/>
      <c r="Z70" s="14"/>
    </row>
    <row r="71" customFormat="false" ht="15" hidden="false" customHeight="false" outlineLevel="0" collapsed="false">
      <c r="A71" s="14"/>
      <c r="B71" s="17" t="str">
        <f aca="false">IF($A71="","",IFERROR(INDEX(Policy!$B$2:$B$301,MATCH($A71,Policy!$A$2:$A$301,0)),"MRO không có"))</f>
        <v/>
      </c>
      <c r="C71" s="17" t="str">
        <f aca="false">IF($A71="","",IFERROR(INDEX(Policy!$E$2:$E$301,MATCH($A71,Policy!$A$2:$A$301,0)),"MRO không có"))</f>
        <v/>
      </c>
      <c r="D71" s="14"/>
      <c r="E71" s="15"/>
      <c r="F71" s="15"/>
      <c r="G71" s="14"/>
      <c r="H71" s="14"/>
      <c r="I71" s="14"/>
      <c r="J71" s="14"/>
      <c r="K71" s="14"/>
      <c r="L71" s="23"/>
      <c r="M71" s="23"/>
      <c r="N71" s="23"/>
      <c r="O71" s="23"/>
      <c r="P71" s="24" t="str">
        <f aca="false">IF($A71="","",L71+M71+N71+O71)</f>
        <v/>
      </c>
      <c r="Q71" s="22" t="str">
        <f aca="false">IF($A71="","",IFERROR(INDEX(Risk!$D$2:$D$301,MATCH($A71,Policy!$A$2:$A$301,0)),0))</f>
        <v/>
      </c>
      <c r="R71" s="24" t="str">
        <f aca="false">IF($A71="","",L71*Q71/100)</f>
        <v/>
      </c>
      <c r="S71" s="24" t="str">
        <f aca="false">IF($A71="","",M71*Q71/100)</f>
        <v/>
      </c>
      <c r="T71" s="24" t="str">
        <f aca="false">IF($A71="","",N71*Q71/100)</f>
        <v/>
      </c>
      <c r="U71" s="24" t="str">
        <f aca="false">IF($A71="","",O71*Q71/100)</f>
        <v/>
      </c>
      <c r="V71" s="24" t="str">
        <f aca="false">IF($A71="","",R71+S71+T71+U71)</f>
        <v/>
      </c>
      <c r="W71" s="14"/>
      <c r="X71" s="15"/>
      <c r="Y71" s="23"/>
      <c r="Z71" s="14"/>
    </row>
    <row r="72" customFormat="false" ht="15" hidden="false" customHeight="false" outlineLevel="0" collapsed="false">
      <c r="A72" s="14"/>
      <c r="B72" s="17" t="str">
        <f aca="false">IF($A72="","",IFERROR(INDEX(Policy!$B$2:$B$301,MATCH($A72,Policy!$A$2:$A$301,0)),"MRO không có"))</f>
        <v/>
      </c>
      <c r="C72" s="17" t="str">
        <f aca="false">IF($A72="","",IFERROR(INDEX(Policy!$E$2:$E$301,MATCH($A72,Policy!$A$2:$A$301,0)),"MRO không có"))</f>
        <v/>
      </c>
      <c r="D72" s="14"/>
      <c r="E72" s="15"/>
      <c r="F72" s="15"/>
      <c r="G72" s="14"/>
      <c r="H72" s="14"/>
      <c r="I72" s="14"/>
      <c r="J72" s="14"/>
      <c r="K72" s="14"/>
      <c r="L72" s="23"/>
      <c r="M72" s="23"/>
      <c r="N72" s="23"/>
      <c r="O72" s="23"/>
      <c r="P72" s="24" t="str">
        <f aca="false">IF($A72="","",L72+M72+N72+O72)</f>
        <v/>
      </c>
      <c r="Q72" s="22" t="str">
        <f aca="false">IF($A72="","",IFERROR(INDEX(Risk!$D$2:$D$301,MATCH($A72,Policy!$A$2:$A$301,0)),0))</f>
        <v/>
      </c>
      <c r="R72" s="24" t="str">
        <f aca="false">IF($A72="","",L72*Q72/100)</f>
        <v/>
      </c>
      <c r="S72" s="24" t="str">
        <f aca="false">IF($A72="","",M72*Q72/100)</f>
        <v/>
      </c>
      <c r="T72" s="24" t="str">
        <f aca="false">IF($A72="","",N72*Q72/100)</f>
        <v/>
      </c>
      <c r="U72" s="24" t="str">
        <f aca="false">IF($A72="","",O72*Q72/100)</f>
        <v/>
      </c>
      <c r="V72" s="24" t="str">
        <f aca="false">IF($A72="","",R72+S72+T72+U72)</f>
        <v/>
      </c>
      <c r="W72" s="14"/>
      <c r="X72" s="15"/>
      <c r="Y72" s="23"/>
      <c r="Z72" s="14"/>
    </row>
    <row r="73" customFormat="false" ht="15" hidden="false" customHeight="false" outlineLevel="0" collapsed="false">
      <c r="A73" s="14"/>
      <c r="B73" s="17" t="str">
        <f aca="false">IF($A73="","",IFERROR(INDEX(Policy!$B$2:$B$301,MATCH($A73,Policy!$A$2:$A$301,0)),"MRO không có"))</f>
        <v/>
      </c>
      <c r="C73" s="17" t="str">
        <f aca="false">IF($A73="","",IFERROR(INDEX(Policy!$E$2:$E$301,MATCH($A73,Policy!$A$2:$A$301,0)),"MRO không có"))</f>
        <v/>
      </c>
      <c r="D73" s="14"/>
      <c r="E73" s="15"/>
      <c r="F73" s="15"/>
      <c r="G73" s="14"/>
      <c r="H73" s="14"/>
      <c r="I73" s="14"/>
      <c r="J73" s="14"/>
      <c r="K73" s="14"/>
      <c r="L73" s="23"/>
      <c r="M73" s="23"/>
      <c r="N73" s="23"/>
      <c r="O73" s="23"/>
      <c r="P73" s="24" t="str">
        <f aca="false">IF($A73="","",L73+M73+N73+O73)</f>
        <v/>
      </c>
      <c r="Q73" s="22" t="str">
        <f aca="false">IF($A73="","",IFERROR(INDEX(Risk!$D$2:$D$301,MATCH($A73,Policy!$A$2:$A$301,0)),0))</f>
        <v/>
      </c>
      <c r="R73" s="24" t="str">
        <f aca="false">IF($A73="","",L73*Q73/100)</f>
        <v/>
      </c>
      <c r="S73" s="24" t="str">
        <f aca="false">IF($A73="","",M73*Q73/100)</f>
        <v/>
      </c>
      <c r="T73" s="24" t="str">
        <f aca="false">IF($A73="","",N73*Q73/100)</f>
        <v/>
      </c>
      <c r="U73" s="24" t="str">
        <f aca="false">IF($A73="","",O73*Q73/100)</f>
        <v/>
      </c>
      <c r="V73" s="24" t="str">
        <f aca="false">IF($A73="","",R73+S73+T73+U73)</f>
        <v/>
      </c>
      <c r="W73" s="14"/>
      <c r="X73" s="15"/>
      <c r="Y73" s="23"/>
      <c r="Z73" s="14"/>
    </row>
    <row r="74" customFormat="false" ht="15" hidden="false" customHeight="false" outlineLevel="0" collapsed="false">
      <c r="A74" s="14"/>
      <c r="B74" s="17" t="str">
        <f aca="false">IF($A74="","",IFERROR(INDEX(Policy!$B$2:$B$301,MATCH($A74,Policy!$A$2:$A$301,0)),"MRO không có"))</f>
        <v/>
      </c>
      <c r="C74" s="17" t="str">
        <f aca="false">IF($A74="","",IFERROR(INDEX(Policy!$E$2:$E$301,MATCH($A74,Policy!$A$2:$A$301,0)),"MRO không có"))</f>
        <v/>
      </c>
      <c r="D74" s="14"/>
      <c r="E74" s="15"/>
      <c r="F74" s="15"/>
      <c r="G74" s="14"/>
      <c r="H74" s="14"/>
      <c r="I74" s="14"/>
      <c r="J74" s="14"/>
      <c r="K74" s="14"/>
      <c r="L74" s="23"/>
      <c r="M74" s="23"/>
      <c r="N74" s="23"/>
      <c r="O74" s="23"/>
      <c r="P74" s="24" t="str">
        <f aca="false">IF($A74="","",L74+M74+N74+O74)</f>
        <v/>
      </c>
      <c r="Q74" s="22" t="str">
        <f aca="false">IF($A74="","",IFERROR(INDEX(Risk!$D$2:$D$301,MATCH($A74,Policy!$A$2:$A$301,0)),0))</f>
        <v/>
      </c>
      <c r="R74" s="24" t="str">
        <f aca="false">IF($A74="","",L74*Q74/100)</f>
        <v/>
      </c>
      <c r="S74" s="24" t="str">
        <f aca="false">IF($A74="","",M74*Q74/100)</f>
        <v/>
      </c>
      <c r="T74" s="24" t="str">
        <f aca="false">IF($A74="","",N74*Q74/100)</f>
        <v/>
      </c>
      <c r="U74" s="24" t="str">
        <f aca="false">IF($A74="","",O74*Q74/100)</f>
        <v/>
      </c>
      <c r="V74" s="24" t="str">
        <f aca="false">IF($A74="","",R74+S74+T74+U74)</f>
        <v/>
      </c>
      <c r="W74" s="14"/>
      <c r="X74" s="15"/>
      <c r="Y74" s="23"/>
      <c r="Z74" s="14"/>
    </row>
    <row r="75" customFormat="false" ht="15" hidden="false" customHeight="false" outlineLevel="0" collapsed="false">
      <c r="A75" s="14"/>
      <c r="B75" s="17" t="str">
        <f aca="false">IF($A75="","",IFERROR(INDEX(Policy!$B$2:$B$301,MATCH($A75,Policy!$A$2:$A$301,0)),"MRO không có"))</f>
        <v/>
      </c>
      <c r="C75" s="17" t="str">
        <f aca="false">IF($A75="","",IFERROR(INDEX(Policy!$E$2:$E$301,MATCH($A75,Policy!$A$2:$A$301,0)),"MRO không có"))</f>
        <v/>
      </c>
      <c r="D75" s="14"/>
      <c r="E75" s="15"/>
      <c r="F75" s="15"/>
      <c r="G75" s="14"/>
      <c r="H75" s="14"/>
      <c r="I75" s="14"/>
      <c r="J75" s="14"/>
      <c r="K75" s="14"/>
      <c r="L75" s="23"/>
      <c r="M75" s="23"/>
      <c r="N75" s="23"/>
      <c r="O75" s="23"/>
      <c r="P75" s="24" t="str">
        <f aca="false">IF($A75="","",L75+M75+N75+O75)</f>
        <v/>
      </c>
      <c r="Q75" s="22" t="str">
        <f aca="false">IF($A75="","",IFERROR(INDEX(Risk!$D$2:$D$301,MATCH($A75,Policy!$A$2:$A$301,0)),0))</f>
        <v/>
      </c>
      <c r="R75" s="24" t="str">
        <f aca="false">IF($A75="","",L75*Q75/100)</f>
        <v/>
      </c>
      <c r="S75" s="24" t="str">
        <f aca="false">IF($A75="","",M75*Q75/100)</f>
        <v/>
      </c>
      <c r="T75" s="24" t="str">
        <f aca="false">IF($A75="","",N75*Q75/100)</f>
        <v/>
      </c>
      <c r="U75" s="24" t="str">
        <f aca="false">IF($A75="","",O75*Q75/100)</f>
        <v/>
      </c>
      <c r="V75" s="24" t="str">
        <f aca="false">IF($A75="","",R75+S75+T75+U75)</f>
        <v/>
      </c>
      <c r="W75" s="14"/>
      <c r="X75" s="15"/>
      <c r="Y75" s="23"/>
      <c r="Z75" s="14"/>
    </row>
    <row r="76" customFormat="false" ht="15" hidden="false" customHeight="false" outlineLevel="0" collapsed="false">
      <c r="A76" s="14"/>
      <c r="B76" s="17" t="str">
        <f aca="false">IF($A76="","",IFERROR(INDEX(Policy!$B$2:$B$301,MATCH($A76,Policy!$A$2:$A$301,0)),"MRO không có"))</f>
        <v/>
      </c>
      <c r="C76" s="17" t="str">
        <f aca="false">IF($A76="","",IFERROR(INDEX(Policy!$E$2:$E$301,MATCH($A76,Policy!$A$2:$A$301,0)),"MRO không có"))</f>
        <v/>
      </c>
      <c r="D76" s="14"/>
      <c r="E76" s="15"/>
      <c r="F76" s="15"/>
      <c r="G76" s="14"/>
      <c r="H76" s="14"/>
      <c r="I76" s="14"/>
      <c r="J76" s="14"/>
      <c r="K76" s="14"/>
      <c r="L76" s="23"/>
      <c r="M76" s="23"/>
      <c r="N76" s="23"/>
      <c r="O76" s="23"/>
      <c r="P76" s="24" t="str">
        <f aca="false">IF($A76="","",L76+M76+N76+O76)</f>
        <v/>
      </c>
      <c r="Q76" s="22" t="str">
        <f aca="false">IF($A76="","",IFERROR(INDEX(Risk!$D$2:$D$301,MATCH($A76,Policy!$A$2:$A$301,0)),0))</f>
        <v/>
      </c>
      <c r="R76" s="24" t="str">
        <f aca="false">IF($A76="","",L76*Q76/100)</f>
        <v/>
      </c>
      <c r="S76" s="24" t="str">
        <f aca="false">IF($A76="","",M76*Q76/100)</f>
        <v/>
      </c>
      <c r="T76" s="24" t="str">
        <f aca="false">IF($A76="","",N76*Q76/100)</f>
        <v/>
      </c>
      <c r="U76" s="24" t="str">
        <f aca="false">IF($A76="","",O76*Q76/100)</f>
        <v/>
      </c>
      <c r="V76" s="24" t="str">
        <f aca="false">IF($A76="","",R76+S76+T76+U76)</f>
        <v/>
      </c>
      <c r="W76" s="14"/>
      <c r="X76" s="15"/>
      <c r="Y76" s="23"/>
      <c r="Z76" s="14"/>
    </row>
    <row r="77" customFormat="false" ht="15" hidden="false" customHeight="false" outlineLevel="0" collapsed="false">
      <c r="A77" s="14"/>
      <c r="B77" s="17" t="str">
        <f aca="false">IF($A77="","",IFERROR(INDEX(Policy!$B$2:$B$301,MATCH($A77,Policy!$A$2:$A$301,0)),"MRO không có"))</f>
        <v/>
      </c>
      <c r="C77" s="17" t="str">
        <f aca="false">IF($A77="","",IFERROR(INDEX(Policy!$E$2:$E$301,MATCH($A77,Policy!$A$2:$A$301,0)),"MRO không có"))</f>
        <v/>
      </c>
      <c r="D77" s="14"/>
      <c r="E77" s="15"/>
      <c r="F77" s="15"/>
      <c r="G77" s="14"/>
      <c r="H77" s="14"/>
      <c r="I77" s="14"/>
      <c r="J77" s="14"/>
      <c r="K77" s="14"/>
      <c r="L77" s="23"/>
      <c r="M77" s="23"/>
      <c r="N77" s="23"/>
      <c r="O77" s="23"/>
      <c r="P77" s="24" t="str">
        <f aca="false">IF($A77="","",L77+M77+N77+O77)</f>
        <v/>
      </c>
      <c r="Q77" s="22" t="str">
        <f aca="false">IF($A77="","",IFERROR(INDEX(Risk!$D$2:$D$301,MATCH($A77,Policy!$A$2:$A$301,0)),0))</f>
        <v/>
      </c>
      <c r="R77" s="24" t="str">
        <f aca="false">IF($A77="","",L77*Q77/100)</f>
        <v/>
      </c>
      <c r="S77" s="24" t="str">
        <f aca="false">IF($A77="","",M77*Q77/100)</f>
        <v/>
      </c>
      <c r="T77" s="24" t="str">
        <f aca="false">IF($A77="","",N77*Q77/100)</f>
        <v/>
      </c>
      <c r="U77" s="24" t="str">
        <f aca="false">IF($A77="","",O77*Q77/100)</f>
        <v/>
      </c>
      <c r="V77" s="24" t="str">
        <f aca="false">IF($A77="","",R77+S77+T77+U77)</f>
        <v/>
      </c>
      <c r="W77" s="14"/>
      <c r="X77" s="15"/>
      <c r="Y77" s="23"/>
      <c r="Z77" s="14"/>
    </row>
    <row r="78" customFormat="false" ht="15" hidden="false" customHeight="false" outlineLevel="0" collapsed="false">
      <c r="A78" s="14"/>
      <c r="B78" s="17" t="str">
        <f aca="false">IF($A78="","",IFERROR(INDEX(Policy!$B$2:$B$301,MATCH($A78,Policy!$A$2:$A$301,0)),"MRO không có"))</f>
        <v/>
      </c>
      <c r="C78" s="17" t="str">
        <f aca="false">IF($A78="","",IFERROR(INDEX(Policy!$E$2:$E$301,MATCH($A78,Policy!$A$2:$A$301,0)),"MRO không có"))</f>
        <v/>
      </c>
      <c r="D78" s="14"/>
      <c r="E78" s="15"/>
      <c r="F78" s="15"/>
      <c r="G78" s="14"/>
      <c r="H78" s="14"/>
      <c r="I78" s="14"/>
      <c r="J78" s="14"/>
      <c r="K78" s="14"/>
      <c r="L78" s="23"/>
      <c r="M78" s="23"/>
      <c r="N78" s="23"/>
      <c r="O78" s="23"/>
      <c r="P78" s="24" t="str">
        <f aca="false">IF($A78="","",L78+M78+N78+O78)</f>
        <v/>
      </c>
      <c r="Q78" s="22" t="str">
        <f aca="false">IF($A78="","",IFERROR(INDEX(Risk!$D$2:$D$301,MATCH($A78,Policy!$A$2:$A$301,0)),0))</f>
        <v/>
      </c>
      <c r="R78" s="24" t="str">
        <f aca="false">IF($A78="","",L78*Q78/100)</f>
        <v/>
      </c>
      <c r="S78" s="24" t="str">
        <f aca="false">IF($A78="","",M78*Q78/100)</f>
        <v/>
      </c>
      <c r="T78" s="24" t="str">
        <f aca="false">IF($A78="","",N78*Q78/100)</f>
        <v/>
      </c>
      <c r="U78" s="24" t="str">
        <f aca="false">IF($A78="","",O78*Q78/100)</f>
        <v/>
      </c>
      <c r="V78" s="24" t="str">
        <f aca="false">IF($A78="","",R78+S78+T78+U78)</f>
        <v/>
      </c>
      <c r="W78" s="14"/>
      <c r="X78" s="15"/>
      <c r="Y78" s="23"/>
      <c r="Z78" s="14"/>
    </row>
    <row r="79" customFormat="false" ht="15" hidden="false" customHeight="false" outlineLevel="0" collapsed="false">
      <c r="A79" s="14"/>
      <c r="B79" s="17" t="str">
        <f aca="false">IF($A79="","",IFERROR(INDEX(Policy!$B$2:$B$301,MATCH($A79,Policy!$A$2:$A$301,0)),"MRO không có"))</f>
        <v/>
      </c>
      <c r="C79" s="17" t="str">
        <f aca="false">IF($A79="","",IFERROR(INDEX(Policy!$E$2:$E$301,MATCH($A79,Policy!$A$2:$A$301,0)),"MRO không có"))</f>
        <v/>
      </c>
      <c r="D79" s="14"/>
      <c r="E79" s="15"/>
      <c r="F79" s="15"/>
      <c r="G79" s="14"/>
      <c r="H79" s="14"/>
      <c r="I79" s="14"/>
      <c r="J79" s="14"/>
      <c r="K79" s="14"/>
      <c r="L79" s="23"/>
      <c r="M79" s="23"/>
      <c r="N79" s="23"/>
      <c r="O79" s="23"/>
      <c r="P79" s="24" t="str">
        <f aca="false">IF($A79="","",L79+M79+N79+O79)</f>
        <v/>
      </c>
      <c r="Q79" s="22" t="str">
        <f aca="false">IF($A79="","",IFERROR(INDEX(Risk!$D$2:$D$301,MATCH($A79,Policy!$A$2:$A$301,0)),0))</f>
        <v/>
      </c>
      <c r="R79" s="24" t="str">
        <f aca="false">IF($A79="","",L79*Q79/100)</f>
        <v/>
      </c>
      <c r="S79" s="24" t="str">
        <f aca="false">IF($A79="","",M79*Q79/100)</f>
        <v/>
      </c>
      <c r="T79" s="24" t="str">
        <f aca="false">IF($A79="","",N79*Q79/100)</f>
        <v/>
      </c>
      <c r="U79" s="24" t="str">
        <f aca="false">IF($A79="","",O79*Q79/100)</f>
        <v/>
      </c>
      <c r="V79" s="24" t="str">
        <f aca="false">IF($A79="","",R79+S79+T79+U79)</f>
        <v/>
      </c>
      <c r="W79" s="14"/>
      <c r="X79" s="15"/>
      <c r="Y79" s="23"/>
      <c r="Z79" s="14"/>
    </row>
    <row r="80" customFormat="false" ht="15" hidden="false" customHeight="false" outlineLevel="0" collapsed="false">
      <c r="A80" s="14"/>
      <c r="B80" s="17" t="str">
        <f aca="false">IF($A80="","",IFERROR(INDEX(Policy!$B$2:$B$301,MATCH($A80,Policy!$A$2:$A$301,0)),"MRO không có"))</f>
        <v/>
      </c>
      <c r="C80" s="17" t="str">
        <f aca="false">IF($A80="","",IFERROR(INDEX(Policy!$E$2:$E$301,MATCH($A80,Policy!$A$2:$A$301,0)),"MRO không có"))</f>
        <v/>
      </c>
      <c r="D80" s="14"/>
      <c r="E80" s="15"/>
      <c r="F80" s="15"/>
      <c r="G80" s="14"/>
      <c r="H80" s="14"/>
      <c r="I80" s="14"/>
      <c r="J80" s="14"/>
      <c r="K80" s="14"/>
      <c r="L80" s="23"/>
      <c r="M80" s="23"/>
      <c r="N80" s="23"/>
      <c r="O80" s="23"/>
      <c r="P80" s="24" t="str">
        <f aca="false">IF($A80="","",L80+M80+N80+O80)</f>
        <v/>
      </c>
      <c r="Q80" s="22" t="str">
        <f aca="false">IF($A80="","",IFERROR(INDEX(Risk!$D$2:$D$301,MATCH($A80,Policy!$A$2:$A$301,0)),0))</f>
        <v/>
      </c>
      <c r="R80" s="24" t="str">
        <f aca="false">IF($A80="","",L80*Q80/100)</f>
        <v/>
      </c>
      <c r="S80" s="24" t="str">
        <f aca="false">IF($A80="","",M80*Q80/100)</f>
        <v/>
      </c>
      <c r="T80" s="24" t="str">
        <f aca="false">IF($A80="","",N80*Q80/100)</f>
        <v/>
      </c>
      <c r="U80" s="24" t="str">
        <f aca="false">IF($A80="","",O80*Q80/100)</f>
        <v/>
      </c>
      <c r="V80" s="24" t="str">
        <f aca="false">IF($A80="","",R80+S80+T80+U80)</f>
        <v/>
      </c>
      <c r="W80" s="14"/>
      <c r="X80" s="15"/>
      <c r="Y80" s="23"/>
      <c r="Z80" s="14"/>
    </row>
    <row r="81" customFormat="false" ht="15" hidden="false" customHeight="false" outlineLevel="0" collapsed="false">
      <c r="A81" s="14"/>
      <c r="B81" s="17" t="str">
        <f aca="false">IF($A81="","",IFERROR(INDEX(Policy!$B$2:$B$301,MATCH($A81,Policy!$A$2:$A$301,0)),"MRO không có"))</f>
        <v/>
      </c>
      <c r="C81" s="17" t="str">
        <f aca="false">IF($A81="","",IFERROR(INDEX(Policy!$E$2:$E$301,MATCH($A81,Policy!$A$2:$A$301,0)),"MRO không có"))</f>
        <v/>
      </c>
      <c r="D81" s="14"/>
      <c r="E81" s="15"/>
      <c r="F81" s="15"/>
      <c r="G81" s="14"/>
      <c r="H81" s="14"/>
      <c r="I81" s="14"/>
      <c r="J81" s="14"/>
      <c r="K81" s="14"/>
      <c r="L81" s="23"/>
      <c r="M81" s="23"/>
      <c r="N81" s="23"/>
      <c r="O81" s="23"/>
      <c r="P81" s="24" t="str">
        <f aca="false">IF($A81="","",L81+M81+N81+O81)</f>
        <v/>
      </c>
      <c r="Q81" s="22" t="str">
        <f aca="false">IF($A81="","",IFERROR(INDEX(Risk!$D$2:$D$301,MATCH($A81,Policy!$A$2:$A$301,0)),0))</f>
        <v/>
      </c>
      <c r="R81" s="24" t="str">
        <f aca="false">IF($A81="","",L81*Q81/100)</f>
        <v/>
      </c>
      <c r="S81" s="24" t="str">
        <f aca="false">IF($A81="","",M81*Q81/100)</f>
        <v/>
      </c>
      <c r="T81" s="24" t="str">
        <f aca="false">IF($A81="","",N81*Q81/100)</f>
        <v/>
      </c>
      <c r="U81" s="24" t="str">
        <f aca="false">IF($A81="","",O81*Q81/100)</f>
        <v/>
      </c>
      <c r="V81" s="24" t="str">
        <f aca="false">IF($A81="","",R81+S81+T81+U81)</f>
        <v/>
      </c>
      <c r="W81" s="14"/>
      <c r="X81" s="15"/>
      <c r="Y81" s="23"/>
      <c r="Z81" s="14"/>
    </row>
    <row r="82" customFormat="false" ht="15" hidden="false" customHeight="false" outlineLevel="0" collapsed="false">
      <c r="A82" s="14"/>
      <c r="B82" s="17" t="str">
        <f aca="false">IF($A82="","",IFERROR(INDEX(Policy!$B$2:$B$301,MATCH($A82,Policy!$A$2:$A$301,0)),"MRO không có"))</f>
        <v/>
      </c>
      <c r="C82" s="17" t="str">
        <f aca="false">IF($A82="","",IFERROR(INDEX(Policy!$E$2:$E$301,MATCH($A82,Policy!$A$2:$A$301,0)),"MRO không có"))</f>
        <v/>
      </c>
      <c r="D82" s="14"/>
      <c r="E82" s="15"/>
      <c r="F82" s="15"/>
      <c r="G82" s="14"/>
      <c r="H82" s="14"/>
      <c r="I82" s="14"/>
      <c r="J82" s="14"/>
      <c r="K82" s="14"/>
      <c r="L82" s="23"/>
      <c r="M82" s="23"/>
      <c r="N82" s="23"/>
      <c r="O82" s="23"/>
      <c r="P82" s="24" t="str">
        <f aca="false">IF($A82="","",L82+M82+N82+O82)</f>
        <v/>
      </c>
      <c r="Q82" s="22" t="str">
        <f aca="false">IF($A82="","",IFERROR(INDEX(Risk!$D$2:$D$301,MATCH($A82,Policy!$A$2:$A$301,0)),0))</f>
        <v/>
      </c>
      <c r="R82" s="24" t="str">
        <f aca="false">IF($A82="","",L82*Q82/100)</f>
        <v/>
      </c>
      <c r="S82" s="24" t="str">
        <f aca="false">IF($A82="","",M82*Q82/100)</f>
        <v/>
      </c>
      <c r="T82" s="24" t="str">
        <f aca="false">IF($A82="","",N82*Q82/100)</f>
        <v/>
      </c>
      <c r="U82" s="24" t="str">
        <f aca="false">IF($A82="","",O82*Q82/100)</f>
        <v/>
      </c>
      <c r="V82" s="24" t="str">
        <f aca="false">IF($A82="","",R82+S82+T82+U82)</f>
        <v/>
      </c>
      <c r="W82" s="14"/>
      <c r="X82" s="15"/>
      <c r="Y82" s="23"/>
      <c r="Z82" s="14"/>
    </row>
    <row r="83" customFormat="false" ht="15" hidden="false" customHeight="false" outlineLevel="0" collapsed="false">
      <c r="A83" s="14"/>
      <c r="B83" s="17" t="str">
        <f aca="false">IF($A83="","",IFERROR(INDEX(Policy!$B$2:$B$301,MATCH($A83,Policy!$A$2:$A$301,0)),"MRO không có"))</f>
        <v/>
      </c>
      <c r="C83" s="17" t="str">
        <f aca="false">IF($A83="","",IFERROR(INDEX(Policy!$E$2:$E$301,MATCH($A83,Policy!$A$2:$A$301,0)),"MRO không có"))</f>
        <v/>
      </c>
      <c r="D83" s="14"/>
      <c r="E83" s="15"/>
      <c r="F83" s="15"/>
      <c r="G83" s="14"/>
      <c r="H83" s="14"/>
      <c r="I83" s="14"/>
      <c r="J83" s="14"/>
      <c r="K83" s="14"/>
      <c r="L83" s="23"/>
      <c r="M83" s="23"/>
      <c r="N83" s="23"/>
      <c r="O83" s="23"/>
      <c r="P83" s="24" t="str">
        <f aca="false">IF($A83="","",L83+M83+N83+O83)</f>
        <v/>
      </c>
      <c r="Q83" s="22" t="str">
        <f aca="false">IF($A83="","",IFERROR(INDEX(Risk!$D$2:$D$301,MATCH($A83,Policy!$A$2:$A$301,0)),0))</f>
        <v/>
      </c>
      <c r="R83" s="24" t="str">
        <f aca="false">IF($A83="","",L83*Q83/100)</f>
        <v/>
      </c>
      <c r="S83" s="24" t="str">
        <f aca="false">IF($A83="","",M83*Q83/100)</f>
        <v/>
      </c>
      <c r="T83" s="24" t="str">
        <f aca="false">IF($A83="","",N83*Q83/100)</f>
        <v/>
      </c>
      <c r="U83" s="24" t="str">
        <f aca="false">IF($A83="","",O83*Q83/100)</f>
        <v/>
      </c>
      <c r="V83" s="24" t="str">
        <f aca="false">IF($A83="","",R83+S83+T83+U83)</f>
        <v/>
      </c>
      <c r="W83" s="14"/>
      <c r="X83" s="15"/>
      <c r="Y83" s="23"/>
      <c r="Z83" s="14"/>
    </row>
    <row r="84" customFormat="false" ht="15" hidden="false" customHeight="false" outlineLevel="0" collapsed="false">
      <c r="A84" s="14"/>
      <c r="B84" s="17" t="str">
        <f aca="false">IF($A84="","",IFERROR(INDEX(Policy!$B$2:$B$301,MATCH($A84,Policy!$A$2:$A$301,0)),"MRO không có"))</f>
        <v/>
      </c>
      <c r="C84" s="17" t="str">
        <f aca="false">IF($A84="","",IFERROR(INDEX(Policy!$E$2:$E$301,MATCH($A84,Policy!$A$2:$A$301,0)),"MRO không có"))</f>
        <v/>
      </c>
      <c r="D84" s="14"/>
      <c r="E84" s="15"/>
      <c r="F84" s="15"/>
      <c r="G84" s="14"/>
      <c r="H84" s="14"/>
      <c r="I84" s="14"/>
      <c r="J84" s="14"/>
      <c r="K84" s="14"/>
      <c r="L84" s="23"/>
      <c r="M84" s="23"/>
      <c r="N84" s="23"/>
      <c r="O84" s="23"/>
      <c r="P84" s="24" t="str">
        <f aca="false">IF($A84="","",L84+M84+N84+O84)</f>
        <v/>
      </c>
      <c r="Q84" s="22" t="str">
        <f aca="false">IF($A84="","",IFERROR(INDEX(Risk!$D$2:$D$301,MATCH($A84,Policy!$A$2:$A$301,0)),0))</f>
        <v/>
      </c>
      <c r="R84" s="24" t="str">
        <f aca="false">IF($A84="","",L84*Q84/100)</f>
        <v/>
      </c>
      <c r="S84" s="24" t="str">
        <f aca="false">IF($A84="","",M84*Q84/100)</f>
        <v/>
      </c>
      <c r="T84" s="24" t="str">
        <f aca="false">IF($A84="","",N84*Q84/100)</f>
        <v/>
      </c>
      <c r="U84" s="24" t="str">
        <f aca="false">IF($A84="","",O84*Q84/100)</f>
        <v/>
      </c>
      <c r="V84" s="24" t="str">
        <f aca="false">IF($A84="","",R84+S84+T84+U84)</f>
        <v/>
      </c>
      <c r="W84" s="14"/>
      <c r="X84" s="15"/>
      <c r="Y84" s="23"/>
      <c r="Z84" s="14"/>
    </row>
    <row r="85" customFormat="false" ht="15" hidden="false" customHeight="false" outlineLevel="0" collapsed="false">
      <c r="A85" s="14"/>
      <c r="B85" s="17" t="str">
        <f aca="false">IF($A85="","",IFERROR(INDEX(Policy!$B$2:$B$301,MATCH($A85,Policy!$A$2:$A$301,0)),"MRO không có"))</f>
        <v/>
      </c>
      <c r="C85" s="17" t="str">
        <f aca="false">IF($A85="","",IFERROR(INDEX(Policy!$E$2:$E$301,MATCH($A85,Policy!$A$2:$A$301,0)),"MRO không có"))</f>
        <v/>
      </c>
      <c r="D85" s="14"/>
      <c r="E85" s="15"/>
      <c r="F85" s="15"/>
      <c r="G85" s="14"/>
      <c r="H85" s="14"/>
      <c r="I85" s="14"/>
      <c r="J85" s="14"/>
      <c r="K85" s="14"/>
      <c r="L85" s="23"/>
      <c r="M85" s="23"/>
      <c r="N85" s="23"/>
      <c r="O85" s="23"/>
      <c r="P85" s="24" t="str">
        <f aca="false">IF($A85="","",L85+M85+N85+O85)</f>
        <v/>
      </c>
      <c r="Q85" s="22" t="str">
        <f aca="false">IF($A85="","",IFERROR(INDEX(Risk!$D$2:$D$301,MATCH($A85,Policy!$A$2:$A$301,0)),0))</f>
        <v/>
      </c>
      <c r="R85" s="24" t="str">
        <f aca="false">IF($A85="","",L85*Q85/100)</f>
        <v/>
      </c>
      <c r="S85" s="24" t="str">
        <f aca="false">IF($A85="","",M85*Q85/100)</f>
        <v/>
      </c>
      <c r="T85" s="24" t="str">
        <f aca="false">IF($A85="","",N85*Q85/100)</f>
        <v/>
      </c>
      <c r="U85" s="24" t="str">
        <f aca="false">IF($A85="","",O85*Q85/100)</f>
        <v/>
      </c>
      <c r="V85" s="24" t="str">
        <f aca="false">IF($A85="","",R85+S85+T85+U85)</f>
        <v/>
      </c>
      <c r="W85" s="14"/>
      <c r="X85" s="15"/>
      <c r="Y85" s="23"/>
      <c r="Z85" s="14"/>
    </row>
    <row r="86" customFormat="false" ht="15" hidden="false" customHeight="false" outlineLevel="0" collapsed="false">
      <c r="A86" s="14"/>
      <c r="B86" s="17" t="str">
        <f aca="false">IF($A86="","",IFERROR(INDEX(Policy!$B$2:$B$301,MATCH($A86,Policy!$A$2:$A$301,0)),"MRO không có"))</f>
        <v/>
      </c>
      <c r="C86" s="17" t="str">
        <f aca="false">IF($A86="","",IFERROR(INDEX(Policy!$E$2:$E$301,MATCH($A86,Policy!$A$2:$A$301,0)),"MRO không có"))</f>
        <v/>
      </c>
      <c r="D86" s="14"/>
      <c r="E86" s="15"/>
      <c r="F86" s="15"/>
      <c r="G86" s="14"/>
      <c r="H86" s="14"/>
      <c r="I86" s="14"/>
      <c r="J86" s="14"/>
      <c r="K86" s="14"/>
      <c r="L86" s="23"/>
      <c r="M86" s="23"/>
      <c r="N86" s="23"/>
      <c r="O86" s="23"/>
      <c r="P86" s="24" t="str">
        <f aca="false">IF($A86="","",L86+M86+N86+O86)</f>
        <v/>
      </c>
      <c r="Q86" s="22" t="str">
        <f aca="false">IF($A86="","",IFERROR(INDEX(Risk!$D$2:$D$301,MATCH($A86,Policy!$A$2:$A$301,0)),0))</f>
        <v/>
      </c>
      <c r="R86" s="24" t="str">
        <f aca="false">IF($A86="","",L86*Q86/100)</f>
        <v/>
      </c>
      <c r="S86" s="24" t="str">
        <f aca="false">IF($A86="","",M86*Q86/100)</f>
        <v/>
      </c>
      <c r="T86" s="24" t="str">
        <f aca="false">IF($A86="","",N86*Q86/100)</f>
        <v/>
      </c>
      <c r="U86" s="24" t="str">
        <f aca="false">IF($A86="","",O86*Q86/100)</f>
        <v/>
      </c>
      <c r="V86" s="24" t="str">
        <f aca="false">IF($A86="","",R86+S86+T86+U86)</f>
        <v/>
      </c>
      <c r="W86" s="14"/>
      <c r="X86" s="15"/>
      <c r="Y86" s="23"/>
      <c r="Z86" s="14"/>
    </row>
    <row r="87" customFormat="false" ht="15" hidden="false" customHeight="false" outlineLevel="0" collapsed="false">
      <c r="A87" s="14"/>
      <c r="B87" s="17" t="str">
        <f aca="false">IF($A87="","",IFERROR(INDEX(Policy!$B$2:$B$301,MATCH($A87,Policy!$A$2:$A$301,0)),"MRO không có"))</f>
        <v/>
      </c>
      <c r="C87" s="17" t="str">
        <f aca="false">IF($A87="","",IFERROR(INDEX(Policy!$E$2:$E$301,MATCH($A87,Policy!$A$2:$A$301,0)),"MRO không có"))</f>
        <v/>
      </c>
      <c r="D87" s="14"/>
      <c r="E87" s="15"/>
      <c r="F87" s="15"/>
      <c r="G87" s="14"/>
      <c r="H87" s="14"/>
      <c r="I87" s="14"/>
      <c r="J87" s="14"/>
      <c r="K87" s="14"/>
      <c r="L87" s="23"/>
      <c r="M87" s="23"/>
      <c r="N87" s="23"/>
      <c r="O87" s="23"/>
      <c r="P87" s="24" t="str">
        <f aca="false">IF($A87="","",L87+M87+N87+O87)</f>
        <v/>
      </c>
      <c r="Q87" s="22" t="str">
        <f aca="false">IF($A87="","",IFERROR(INDEX(Risk!$D$2:$D$301,MATCH($A87,Policy!$A$2:$A$301,0)),0))</f>
        <v/>
      </c>
      <c r="R87" s="24" t="str">
        <f aca="false">IF($A87="","",L87*Q87/100)</f>
        <v/>
      </c>
      <c r="S87" s="24" t="str">
        <f aca="false">IF($A87="","",M87*Q87/100)</f>
        <v/>
      </c>
      <c r="T87" s="24" t="str">
        <f aca="false">IF($A87="","",N87*Q87/100)</f>
        <v/>
      </c>
      <c r="U87" s="24" t="str">
        <f aca="false">IF($A87="","",O87*Q87/100)</f>
        <v/>
      </c>
      <c r="V87" s="24" t="str">
        <f aca="false">IF($A87="","",R87+S87+T87+U87)</f>
        <v/>
      </c>
      <c r="W87" s="14"/>
      <c r="X87" s="15"/>
      <c r="Y87" s="23"/>
      <c r="Z87" s="14"/>
    </row>
    <row r="88" customFormat="false" ht="15" hidden="false" customHeight="false" outlineLevel="0" collapsed="false">
      <c r="A88" s="14"/>
      <c r="B88" s="17" t="str">
        <f aca="false">IF($A88="","",IFERROR(INDEX(Policy!$B$2:$B$301,MATCH($A88,Policy!$A$2:$A$301,0)),"MRO không có"))</f>
        <v/>
      </c>
      <c r="C88" s="17" t="str">
        <f aca="false">IF($A88="","",IFERROR(INDEX(Policy!$E$2:$E$301,MATCH($A88,Policy!$A$2:$A$301,0)),"MRO không có"))</f>
        <v/>
      </c>
      <c r="D88" s="14"/>
      <c r="E88" s="15"/>
      <c r="F88" s="15"/>
      <c r="G88" s="14"/>
      <c r="H88" s="14"/>
      <c r="I88" s="14"/>
      <c r="J88" s="14"/>
      <c r="K88" s="14"/>
      <c r="L88" s="23"/>
      <c r="M88" s="23"/>
      <c r="N88" s="23"/>
      <c r="O88" s="23"/>
      <c r="P88" s="24" t="str">
        <f aca="false">IF($A88="","",L88+M88+N88+O88)</f>
        <v/>
      </c>
      <c r="Q88" s="22" t="str">
        <f aca="false">IF($A88="","",IFERROR(INDEX(Risk!$D$2:$D$301,MATCH($A88,Policy!$A$2:$A$301,0)),0))</f>
        <v/>
      </c>
      <c r="R88" s="24" t="str">
        <f aca="false">IF($A88="","",L88*Q88/100)</f>
        <v/>
      </c>
      <c r="S88" s="24" t="str">
        <f aca="false">IF($A88="","",M88*Q88/100)</f>
        <v/>
      </c>
      <c r="T88" s="24" t="str">
        <f aca="false">IF($A88="","",N88*Q88/100)</f>
        <v/>
      </c>
      <c r="U88" s="24" t="str">
        <f aca="false">IF($A88="","",O88*Q88/100)</f>
        <v/>
      </c>
      <c r="V88" s="24" t="str">
        <f aca="false">IF($A88="","",R88+S88+T88+U88)</f>
        <v/>
      </c>
      <c r="W88" s="14"/>
      <c r="X88" s="15"/>
      <c r="Y88" s="23"/>
      <c r="Z88" s="14"/>
    </row>
    <row r="89" customFormat="false" ht="15" hidden="false" customHeight="false" outlineLevel="0" collapsed="false">
      <c r="A89" s="14"/>
      <c r="B89" s="17" t="str">
        <f aca="false">IF($A89="","",IFERROR(INDEX(Policy!$B$2:$B$301,MATCH($A89,Policy!$A$2:$A$301,0)),"MRO không có"))</f>
        <v/>
      </c>
      <c r="C89" s="17" t="str">
        <f aca="false">IF($A89="","",IFERROR(INDEX(Policy!$E$2:$E$301,MATCH($A89,Policy!$A$2:$A$301,0)),"MRO không có"))</f>
        <v/>
      </c>
      <c r="D89" s="14"/>
      <c r="E89" s="15"/>
      <c r="F89" s="15"/>
      <c r="G89" s="14"/>
      <c r="H89" s="14"/>
      <c r="I89" s="14"/>
      <c r="J89" s="14"/>
      <c r="K89" s="14"/>
      <c r="L89" s="23"/>
      <c r="M89" s="23"/>
      <c r="N89" s="23"/>
      <c r="O89" s="23"/>
      <c r="P89" s="24" t="str">
        <f aca="false">IF($A89="","",L89+M89+N89+O89)</f>
        <v/>
      </c>
      <c r="Q89" s="22" t="str">
        <f aca="false">IF($A89="","",IFERROR(INDEX(Risk!$D$2:$D$301,MATCH($A89,Policy!$A$2:$A$301,0)),0))</f>
        <v/>
      </c>
      <c r="R89" s="24" t="str">
        <f aca="false">IF($A89="","",L89*Q89/100)</f>
        <v/>
      </c>
      <c r="S89" s="24" t="str">
        <f aca="false">IF($A89="","",M89*Q89/100)</f>
        <v/>
      </c>
      <c r="T89" s="24" t="str">
        <f aca="false">IF($A89="","",N89*Q89/100)</f>
        <v/>
      </c>
      <c r="U89" s="24" t="str">
        <f aca="false">IF($A89="","",O89*Q89/100)</f>
        <v/>
      </c>
      <c r="V89" s="24" t="str">
        <f aca="false">IF($A89="","",R89+S89+T89+U89)</f>
        <v/>
      </c>
      <c r="W89" s="14"/>
      <c r="X89" s="15"/>
      <c r="Y89" s="23"/>
      <c r="Z89" s="14"/>
    </row>
    <row r="90" customFormat="false" ht="15" hidden="false" customHeight="false" outlineLevel="0" collapsed="false">
      <c r="A90" s="14"/>
      <c r="B90" s="17" t="str">
        <f aca="false">IF($A90="","",IFERROR(INDEX(Policy!$B$2:$B$301,MATCH($A90,Policy!$A$2:$A$301,0)),"MRO không có"))</f>
        <v/>
      </c>
      <c r="C90" s="17" t="str">
        <f aca="false">IF($A90="","",IFERROR(INDEX(Policy!$E$2:$E$301,MATCH($A90,Policy!$A$2:$A$301,0)),"MRO không có"))</f>
        <v/>
      </c>
      <c r="D90" s="14"/>
      <c r="E90" s="15"/>
      <c r="F90" s="15"/>
      <c r="G90" s="14"/>
      <c r="H90" s="14"/>
      <c r="I90" s="14"/>
      <c r="J90" s="14"/>
      <c r="K90" s="14"/>
      <c r="L90" s="23"/>
      <c r="M90" s="23"/>
      <c r="N90" s="23"/>
      <c r="O90" s="23"/>
      <c r="P90" s="24" t="str">
        <f aca="false">IF($A90="","",L90+M90+N90+O90)</f>
        <v/>
      </c>
      <c r="Q90" s="22" t="str">
        <f aca="false">IF($A90="","",IFERROR(INDEX(Risk!$D$2:$D$301,MATCH($A90,Policy!$A$2:$A$301,0)),0))</f>
        <v/>
      </c>
      <c r="R90" s="24" t="str">
        <f aca="false">IF($A90="","",L90*Q90/100)</f>
        <v/>
      </c>
      <c r="S90" s="24" t="str">
        <f aca="false">IF($A90="","",M90*Q90/100)</f>
        <v/>
      </c>
      <c r="T90" s="24" t="str">
        <f aca="false">IF($A90="","",N90*Q90/100)</f>
        <v/>
      </c>
      <c r="U90" s="24" t="str">
        <f aca="false">IF($A90="","",O90*Q90/100)</f>
        <v/>
      </c>
      <c r="V90" s="24" t="str">
        <f aca="false">IF($A90="","",R90+S90+T90+U90)</f>
        <v/>
      </c>
      <c r="W90" s="14"/>
      <c r="X90" s="15"/>
      <c r="Y90" s="23"/>
      <c r="Z90" s="14"/>
    </row>
    <row r="91" customFormat="false" ht="15" hidden="false" customHeight="false" outlineLevel="0" collapsed="false">
      <c r="A91" s="14"/>
      <c r="B91" s="17" t="str">
        <f aca="false">IF($A91="","",IFERROR(INDEX(Policy!$B$2:$B$301,MATCH($A91,Policy!$A$2:$A$301,0)),"MRO không có"))</f>
        <v/>
      </c>
      <c r="C91" s="17" t="str">
        <f aca="false">IF($A91="","",IFERROR(INDEX(Policy!$E$2:$E$301,MATCH($A91,Policy!$A$2:$A$301,0)),"MRO không có"))</f>
        <v/>
      </c>
      <c r="D91" s="14"/>
      <c r="E91" s="15"/>
      <c r="F91" s="15"/>
      <c r="G91" s="14"/>
      <c r="H91" s="14"/>
      <c r="I91" s="14"/>
      <c r="J91" s="14"/>
      <c r="K91" s="14"/>
      <c r="L91" s="23"/>
      <c r="M91" s="23"/>
      <c r="N91" s="23"/>
      <c r="O91" s="23"/>
      <c r="P91" s="24" t="str">
        <f aca="false">IF($A91="","",L91+M91+N91+O91)</f>
        <v/>
      </c>
      <c r="Q91" s="22" t="str">
        <f aca="false">IF($A91="","",IFERROR(INDEX(Risk!$D$2:$D$301,MATCH($A91,Policy!$A$2:$A$301,0)),0))</f>
        <v/>
      </c>
      <c r="R91" s="24" t="str">
        <f aca="false">IF($A91="","",L91*Q91/100)</f>
        <v/>
      </c>
      <c r="S91" s="24" t="str">
        <f aca="false">IF($A91="","",M91*Q91/100)</f>
        <v/>
      </c>
      <c r="T91" s="24" t="str">
        <f aca="false">IF($A91="","",N91*Q91/100)</f>
        <v/>
      </c>
      <c r="U91" s="24" t="str">
        <f aca="false">IF($A91="","",O91*Q91/100)</f>
        <v/>
      </c>
      <c r="V91" s="24" t="str">
        <f aca="false">IF($A91="","",R91+S91+T91+U91)</f>
        <v/>
      </c>
      <c r="W91" s="14"/>
      <c r="X91" s="15"/>
      <c r="Y91" s="23"/>
      <c r="Z91" s="14"/>
    </row>
    <row r="92" customFormat="false" ht="15" hidden="false" customHeight="false" outlineLevel="0" collapsed="false">
      <c r="A92" s="14"/>
      <c r="B92" s="17" t="str">
        <f aca="false">IF($A92="","",IFERROR(INDEX(Policy!$B$2:$B$301,MATCH($A92,Policy!$A$2:$A$301,0)),"MRO không có"))</f>
        <v/>
      </c>
      <c r="C92" s="17" t="str">
        <f aca="false">IF($A92="","",IFERROR(INDEX(Policy!$E$2:$E$301,MATCH($A92,Policy!$A$2:$A$301,0)),"MRO không có"))</f>
        <v/>
      </c>
      <c r="D92" s="14"/>
      <c r="E92" s="15"/>
      <c r="F92" s="15"/>
      <c r="G92" s="14"/>
      <c r="H92" s="14"/>
      <c r="I92" s="14"/>
      <c r="J92" s="14"/>
      <c r="K92" s="14"/>
      <c r="L92" s="23"/>
      <c r="M92" s="23"/>
      <c r="N92" s="23"/>
      <c r="O92" s="23"/>
      <c r="P92" s="24" t="str">
        <f aca="false">IF($A92="","",L92+M92+N92+O92)</f>
        <v/>
      </c>
      <c r="Q92" s="22" t="str">
        <f aca="false">IF($A92="","",IFERROR(INDEX(Risk!$D$2:$D$301,MATCH($A92,Policy!$A$2:$A$301,0)),0))</f>
        <v/>
      </c>
      <c r="R92" s="24" t="str">
        <f aca="false">IF($A92="","",L92*Q92/100)</f>
        <v/>
      </c>
      <c r="S92" s="24" t="str">
        <f aca="false">IF($A92="","",M92*Q92/100)</f>
        <v/>
      </c>
      <c r="T92" s="24" t="str">
        <f aca="false">IF($A92="","",N92*Q92/100)</f>
        <v/>
      </c>
      <c r="U92" s="24" t="str">
        <f aca="false">IF($A92="","",O92*Q92/100)</f>
        <v/>
      </c>
      <c r="V92" s="24" t="str">
        <f aca="false">IF($A92="","",R92+S92+T92+U92)</f>
        <v/>
      </c>
      <c r="W92" s="14"/>
      <c r="X92" s="15"/>
      <c r="Y92" s="23"/>
      <c r="Z92" s="14"/>
    </row>
    <row r="93" customFormat="false" ht="15" hidden="false" customHeight="false" outlineLevel="0" collapsed="false">
      <c r="A93" s="14"/>
      <c r="B93" s="17" t="str">
        <f aca="false">IF($A93="","",IFERROR(INDEX(Policy!$B$2:$B$301,MATCH($A93,Policy!$A$2:$A$301,0)),"MRO không có"))</f>
        <v/>
      </c>
      <c r="C93" s="17" t="str">
        <f aca="false">IF($A93="","",IFERROR(INDEX(Policy!$E$2:$E$301,MATCH($A93,Policy!$A$2:$A$301,0)),"MRO không có"))</f>
        <v/>
      </c>
      <c r="D93" s="14"/>
      <c r="E93" s="15"/>
      <c r="F93" s="15"/>
      <c r="G93" s="14"/>
      <c r="H93" s="14"/>
      <c r="I93" s="14"/>
      <c r="J93" s="14"/>
      <c r="K93" s="14"/>
      <c r="L93" s="23"/>
      <c r="M93" s="23"/>
      <c r="N93" s="23"/>
      <c r="O93" s="23"/>
      <c r="P93" s="24" t="str">
        <f aca="false">IF($A93="","",L93+M93+N93+O93)</f>
        <v/>
      </c>
      <c r="Q93" s="22" t="str">
        <f aca="false">IF($A93="","",IFERROR(INDEX(Risk!$D$2:$D$301,MATCH($A93,Policy!$A$2:$A$301,0)),0))</f>
        <v/>
      </c>
      <c r="R93" s="24" t="str">
        <f aca="false">IF($A93="","",L93*Q93/100)</f>
        <v/>
      </c>
      <c r="S93" s="24" t="str">
        <f aca="false">IF($A93="","",M93*Q93/100)</f>
        <v/>
      </c>
      <c r="T93" s="24" t="str">
        <f aca="false">IF($A93="","",N93*Q93/100)</f>
        <v/>
      </c>
      <c r="U93" s="24" t="str">
        <f aca="false">IF($A93="","",O93*Q93/100)</f>
        <v/>
      </c>
      <c r="V93" s="24" t="str">
        <f aca="false">IF($A93="","",R93+S93+T93+U93)</f>
        <v/>
      </c>
      <c r="W93" s="14"/>
      <c r="X93" s="15"/>
      <c r="Y93" s="23"/>
      <c r="Z93" s="14"/>
    </row>
    <row r="94" customFormat="false" ht="15" hidden="false" customHeight="false" outlineLevel="0" collapsed="false">
      <c r="A94" s="14"/>
      <c r="B94" s="17" t="str">
        <f aca="false">IF($A94="","",IFERROR(INDEX(Policy!$B$2:$B$301,MATCH($A94,Policy!$A$2:$A$301,0)),"MRO không có"))</f>
        <v/>
      </c>
      <c r="C94" s="17" t="str">
        <f aca="false">IF($A94="","",IFERROR(INDEX(Policy!$E$2:$E$301,MATCH($A94,Policy!$A$2:$A$301,0)),"MRO không có"))</f>
        <v/>
      </c>
      <c r="D94" s="14"/>
      <c r="E94" s="15"/>
      <c r="F94" s="15"/>
      <c r="G94" s="14"/>
      <c r="H94" s="14"/>
      <c r="I94" s="14"/>
      <c r="J94" s="14"/>
      <c r="K94" s="14"/>
      <c r="L94" s="23"/>
      <c r="M94" s="23"/>
      <c r="N94" s="23"/>
      <c r="O94" s="23"/>
      <c r="P94" s="24" t="str">
        <f aca="false">IF($A94="","",L94+M94+N94+O94)</f>
        <v/>
      </c>
      <c r="Q94" s="22" t="str">
        <f aca="false">IF($A94="","",IFERROR(INDEX(Risk!$D$2:$D$301,MATCH($A94,Policy!$A$2:$A$301,0)),0))</f>
        <v/>
      </c>
      <c r="R94" s="24" t="str">
        <f aca="false">IF($A94="","",L94*Q94/100)</f>
        <v/>
      </c>
      <c r="S94" s="24" t="str">
        <f aca="false">IF($A94="","",M94*Q94/100)</f>
        <v/>
      </c>
      <c r="T94" s="24" t="str">
        <f aca="false">IF($A94="","",N94*Q94/100)</f>
        <v/>
      </c>
      <c r="U94" s="24" t="str">
        <f aca="false">IF($A94="","",O94*Q94/100)</f>
        <v/>
      </c>
      <c r="V94" s="24" t="str">
        <f aca="false">IF($A94="","",R94+S94+T94+U94)</f>
        <v/>
      </c>
      <c r="W94" s="14"/>
      <c r="X94" s="15"/>
      <c r="Y94" s="23"/>
      <c r="Z94" s="14"/>
    </row>
    <row r="95" customFormat="false" ht="15" hidden="false" customHeight="false" outlineLevel="0" collapsed="false">
      <c r="A95" s="14"/>
      <c r="B95" s="17" t="str">
        <f aca="false">IF($A95="","",IFERROR(INDEX(Policy!$B$2:$B$301,MATCH($A95,Policy!$A$2:$A$301,0)),"MRO không có"))</f>
        <v/>
      </c>
      <c r="C95" s="17" t="str">
        <f aca="false">IF($A95="","",IFERROR(INDEX(Policy!$E$2:$E$301,MATCH($A95,Policy!$A$2:$A$301,0)),"MRO không có"))</f>
        <v/>
      </c>
      <c r="D95" s="14"/>
      <c r="E95" s="15"/>
      <c r="F95" s="15"/>
      <c r="G95" s="14"/>
      <c r="H95" s="14"/>
      <c r="I95" s="14"/>
      <c r="J95" s="14"/>
      <c r="K95" s="14"/>
      <c r="L95" s="23"/>
      <c r="M95" s="23"/>
      <c r="N95" s="23"/>
      <c r="O95" s="23"/>
      <c r="P95" s="24" t="str">
        <f aca="false">IF($A95="","",L95+M95+N95+O95)</f>
        <v/>
      </c>
      <c r="Q95" s="22" t="str">
        <f aca="false">IF($A95="","",IFERROR(INDEX(Risk!$D$2:$D$301,MATCH($A95,Policy!$A$2:$A$301,0)),0))</f>
        <v/>
      </c>
      <c r="R95" s="24" t="str">
        <f aca="false">IF($A95="","",L95*Q95/100)</f>
        <v/>
      </c>
      <c r="S95" s="24" t="str">
        <f aca="false">IF($A95="","",M95*Q95/100)</f>
        <v/>
      </c>
      <c r="T95" s="24" t="str">
        <f aca="false">IF($A95="","",N95*Q95/100)</f>
        <v/>
      </c>
      <c r="U95" s="24" t="str">
        <f aca="false">IF($A95="","",O95*Q95/100)</f>
        <v/>
      </c>
      <c r="V95" s="24" t="str">
        <f aca="false">IF($A95="","",R95+S95+T95+U95)</f>
        <v/>
      </c>
      <c r="W95" s="14"/>
      <c r="X95" s="15"/>
      <c r="Y95" s="23"/>
      <c r="Z95" s="14"/>
    </row>
    <row r="96" customFormat="false" ht="15" hidden="false" customHeight="false" outlineLevel="0" collapsed="false">
      <c r="A96" s="14"/>
      <c r="B96" s="17" t="str">
        <f aca="false">IF($A96="","",IFERROR(INDEX(Policy!$B$2:$B$301,MATCH($A96,Policy!$A$2:$A$301,0)),"MRO không có"))</f>
        <v/>
      </c>
      <c r="C96" s="17" t="str">
        <f aca="false">IF($A96="","",IFERROR(INDEX(Policy!$E$2:$E$301,MATCH($A96,Policy!$A$2:$A$301,0)),"MRO không có"))</f>
        <v/>
      </c>
      <c r="D96" s="14"/>
      <c r="E96" s="15"/>
      <c r="F96" s="15"/>
      <c r="G96" s="14"/>
      <c r="H96" s="14"/>
      <c r="I96" s="14"/>
      <c r="J96" s="14"/>
      <c r="K96" s="14"/>
      <c r="L96" s="23"/>
      <c r="M96" s="23"/>
      <c r="N96" s="23"/>
      <c r="O96" s="23"/>
      <c r="P96" s="24" t="str">
        <f aca="false">IF($A96="","",L96+M96+N96+O96)</f>
        <v/>
      </c>
      <c r="Q96" s="22" t="str">
        <f aca="false">IF($A96="","",IFERROR(INDEX(Risk!$D$2:$D$301,MATCH($A96,Policy!$A$2:$A$301,0)),0))</f>
        <v/>
      </c>
      <c r="R96" s="24" t="str">
        <f aca="false">IF($A96="","",L96*Q96/100)</f>
        <v/>
      </c>
      <c r="S96" s="24" t="str">
        <f aca="false">IF($A96="","",M96*Q96/100)</f>
        <v/>
      </c>
      <c r="T96" s="24" t="str">
        <f aca="false">IF($A96="","",N96*Q96/100)</f>
        <v/>
      </c>
      <c r="U96" s="24" t="str">
        <f aca="false">IF($A96="","",O96*Q96/100)</f>
        <v/>
      </c>
      <c r="V96" s="24" t="str">
        <f aca="false">IF($A96="","",R96+S96+T96+U96)</f>
        <v/>
      </c>
      <c r="W96" s="14"/>
      <c r="X96" s="15"/>
      <c r="Y96" s="23"/>
      <c r="Z96" s="14"/>
    </row>
    <row r="97" customFormat="false" ht="15" hidden="false" customHeight="false" outlineLevel="0" collapsed="false">
      <c r="A97" s="14"/>
      <c r="B97" s="17" t="str">
        <f aca="false">IF($A97="","",IFERROR(INDEX(Policy!$B$2:$B$301,MATCH($A97,Policy!$A$2:$A$301,0)),"MRO không có"))</f>
        <v/>
      </c>
      <c r="C97" s="17" t="str">
        <f aca="false">IF($A97="","",IFERROR(INDEX(Policy!$E$2:$E$301,MATCH($A97,Policy!$A$2:$A$301,0)),"MRO không có"))</f>
        <v/>
      </c>
      <c r="D97" s="14"/>
      <c r="E97" s="15"/>
      <c r="F97" s="15"/>
      <c r="G97" s="14"/>
      <c r="H97" s="14"/>
      <c r="I97" s="14"/>
      <c r="J97" s="14"/>
      <c r="K97" s="14"/>
      <c r="L97" s="23"/>
      <c r="M97" s="23"/>
      <c r="N97" s="23"/>
      <c r="O97" s="23"/>
      <c r="P97" s="24" t="str">
        <f aca="false">IF($A97="","",L97+M97+N97+O97)</f>
        <v/>
      </c>
      <c r="Q97" s="22" t="str">
        <f aca="false">IF($A97="","",IFERROR(INDEX(Risk!$D$2:$D$301,MATCH($A97,Policy!$A$2:$A$301,0)),0))</f>
        <v/>
      </c>
      <c r="R97" s="24" t="str">
        <f aca="false">IF($A97="","",L97*Q97/100)</f>
        <v/>
      </c>
      <c r="S97" s="24" t="str">
        <f aca="false">IF($A97="","",M97*Q97/100)</f>
        <v/>
      </c>
      <c r="T97" s="24" t="str">
        <f aca="false">IF($A97="","",N97*Q97/100)</f>
        <v/>
      </c>
      <c r="U97" s="24" t="str">
        <f aca="false">IF($A97="","",O97*Q97/100)</f>
        <v/>
      </c>
      <c r="V97" s="24" t="str">
        <f aca="false">IF($A97="","",R97+S97+T97+U97)</f>
        <v/>
      </c>
      <c r="W97" s="14"/>
      <c r="X97" s="15"/>
      <c r="Y97" s="23"/>
      <c r="Z97" s="14"/>
    </row>
    <row r="98" customFormat="false" ht="15" hidden="false" customHeight="false" outlineLevel="0" collapsed="false">
      <c r="A98" s="14"/>
      <c r="B98" s="17" t="str">
        <f aca="false">IF($A98="","",IFERROR(INDEX(Policy!$B$2:$B$301,MATCH($A98,Policy!$A$2:$A$301,0)),"MRO không có"))</f>
        <v/>
      </c>
      <c r="C98" s="17" t="str">
        <f aca="false">IF($A98="","",IFERROR(INDEX(Policy!$E$2:$E$301,MATCH($A98,Policy!$A$2:$A$301,0)),"MRO không có"))</f>
        <v/>
      </c>
      <c r="D98" s="14"/>
      <c r="E98" s="15"/>
      <c r="F98" s="15"/>
      <c r="G98" s="14"/>
      <c r="H98" s="14"/>
      <c r="I98" s="14"/>
      <c r="J98" s="14"/>
      <c r="K98" s="14"/>
      <c r="L98" s="23"/>
      <c r="M98" s="23"/>
      <c r="N98" s="23"/>
      <c r="O98" s="23"/>
      <c r="P98" s="24" t="str">
        <f aca="false">IF($A98="","",L98+M98+N98+O98)</f>
        <v/>
      </c>
      <c r="Q98" s="22" t="str">
        <f aca="false">IF($A98="","",IFERROR(INDEX(Risk!$D$2:$D$301,MATCH($A98,Policy!$A$2:$A$301,0)),0))</f>
        <v/>
      </c>
      <c r="R98" s="24" t="str">
        <f aca="false">IF($A98="","",L98*Q98/100)</f>
        <v/>
      </c>
      <c r="S98" s="24" t="str">
        <f aca="false">IF($A98="","",M98*Q98/100)</f>
        <v/>
      </c>
      <c r="T98" s="24" t="str">
        <f aca="false">IF($A98="","",N98*Q98/100)</f>
        <v/>
      </c>
      <c r="U98" s="24" t="str">
        <f aca="false">IF($A98="","",O98*Q98/100)</f>
        <v/>
      </c>
      <c r="V98" s="24" t="str">
        <f aca="false">IF($A98="","",R98+S98+T98+U98)</f>
        <v/>
      </c>
      <c r="W98" s="14"/>
      <c r="X98" s="15"/>
      <c r="Y98" s="23"/>
      <c r="Z98" s="14"/>
    </row>
    <row r="99" customFormat="false" ht="15" hidden="false" customHeight="false" outlineLevel="0" collapsed="false">
      <c r="A99" s="14"/>
      <c r="B99" s="17" t="str">
        <f aca="false">IF($A99="","",IFERROR(INDEX(Policy!$B$2:$B$301,MATCH($A99,Policy!$A$2:$A$301,0)),"MRO không có"))</f>
        <v/>
      </c>
      <c r="C99" s="17" t="str">
        <f aca="false">IF($A99="","",IFERROR(INDEX(Policy!$E$2:$E$301,MATCH($A99,Policy!$A$2:$A$301,0)),"MRO không có"))</f>
        <v/>
      </c>
      <c r="D99" s="14"/>
      <c r="E99" s="15"/>
      <c r="F99" s="15"/>
      <c r="G99" s="14"/>
      <c r="H99" s="14"/>
      <c r="I99" s="14"/>
      <c r="J99" s="14"/>
      <c r="K99" s="14"/>
      <c r="L99" s="23"/>
      <c r="M99" s="23"/>
      <c r="N99" s="23"/>
      <c r="O99" s="23"/>
      <c r="P99" s="24" t="str">
        <f aca="false">IF($A99="","",L99+M99+N99+O99)</f>
        <v/>
      </c>
      <c r="Q99" s="22" t="str">
        <f aca="false">IF($A99="","",IFERROR(INDEX(Risk!$D$2:$D$301,MATCH($A99,Policy!$A$2:$A$301,0)),0))</f>
        <v/>
      </c>
      <c r="R99" s="24" t="str">
        <f aca="false">IF($A99="","",L99*Q99/100)</f>
        <v/>
      </c>
      <c r="S99" s="24" t="str">
        <f aca="false">IF($A99="","",M99*Q99/100)</f>
        <v/>
      </c>
      <c r="T99" s="24" t="str">
        <f aca="false">IF($A99="","",N99*Q99/100)</f>
        <v/>
      </c>
      <c r="U99" s="24" t="str">
        <f aca="false">IF($A99="","",O99*Q99/100)</f>
        <v/>
      </c>
      <c r="V99" s="24" t="str">
        <f aca="false">IF($A99="","",R99+S99+T99+U99)</f>
        <v/>
      </c>
      <c r="W99" s="14"/>
      <c r="X99" s="15"/>
      <c r="Y99" s="23"/>
      <c r="Z99" s="14"/>
    </row>
    <row r="100" customFormat="false" ht="15" hidden="false" customHeight="false" outlineLevel="0" collapsed="false">
      <c r="A100" s="14"/>
      <c r="B100" s="17" t="str">
        <f aca="false">IF($A100="","",IFERROR(INDEX(Policy!$B$2:$B$301,MATCH($A100,Policy!$A$2:$A$301,0)),"MRO không có"))</f>
        <v/>
      </c>
      <c r="C100" s="17" t="str">
        <f aca="false">IF($A100="","",IFERROR(INDEX(Policy!$E$2:$E$301,MATCH($A100,Policy!$A$2:$A$301,0)),"MRO không có"))</f>
        <v/>
      </c>
      <c r="D100" s="14"/>
      <c r="E100" s="15"/>
      <c r="F100" s="15"/>
      <c r="G100" s="14"/>
      <c r="H100" s="14"/>
      <c r="I100" s="14"/>
      <c r="J100" s="14"/>
      <c r="K100" s="14"/>
      <c r="L100" s="23"/>
      <c r="M100" s="23"/>
      <c r="N100" s="23"/>
      <c r="O100" s="23"/>
      <c r="P100" s="24" t="str">
        <f aca="false">IF($A100="","",L100+M100+N100+O100)</f>
        <v/>
      </c>
      <c r="Q100" s="22" t="str">
        <f aca="false">IF($A100="","",IFERROR(INDEX(Risk!$D$2:$D$301,MATCH($A100,Policy!$A$2:$A$301,0)),0))</f>
        <v/>
      </c>
      <c r="R100" s="24" t="str">
        <f aca="false">IF($A100="","",L100*Q100/100)</f>
        <v/>
      </c>
      <c r="S100" s="24" t="str">
        <f aca="false">IF($A100="","",M100*Q100/100)</f>
        <v/>
      </c>
      <c r="T100" s="24" t="str">
        <f aca="false">IF($A100="","",N100*Q100/100)</f>
        <v/>
      </c>
      <c r="U100" s="24" t="str">
        <f aca="false">IF($A100="","",O100*Q100/100)</f>
        <v/>
      </c>
      <c r="V100" s="24" t="str">
        <f aca="false">IF($A100="","",R100+S100+T100+U100)</f>
        <v/>
      </c>
      <c r="W100" s="14"/>
      <c r="X100" s="15"/>
      <c r="Y100" s="23"/>
      <c r="Z100" s="14"/>
    </row>
    <row r="101" customFormat="false" ht="15" hidden="false" customHeight="false" outlineLevel="0" collapsed="false">
      <c r="A101" s="14"/>
      <c r="B101" s="17" t="str">
        <f aca="false">IF($A101="","",IFERROR(INDEX(Policy!$B$2:$B$301,MATCH($A101,Policy!$A$2:$A$301,0)),"MRO không có"))</f>
        <v/>
      </c>
      <c r="C101" s="17" t="str">
        <f aca="false">IF($A101="","",IFERROR(INDEX(Policy!$E$2:$E$301,MATCH($A101,Policy!$A$2:$A$301,0)),"MRO không có"))</f>
        <v/>
      </c>
      <c r="D101" s="14"/>
      <c r="E101" s="15"/>
      <c r="F101" s="15"/>
      <c r="G101" s="14"/>
      <c r="H101" s="14"/>
      <c r="I101" s="14"/>
      <c r="J101" s="14"/>
      <c r="K101" s="14"/>
      <c r="L101" s="23"/>
      <c r="M101" s="23"/>
      <c r="N101" s="23"/>
      <c r="O101" s="23"/>
      <c r="P101" s="24" t="str">
        <f aca="false">IF($A101="","",L101+M101+N101+O101)</f>
        <v/>
      </c>
      <c r="Q101" s="22" t="str">
        <f aca="false">IF($A101="","",IFERROR(INDEX(Risk!$D$2:$D$301,MATCH($A101,Policy!$A$2:$A$301,0)),0))</f>
        <v/>
      </c>
      <c r="R101" s="24" t="str">
        <f aca="false">IF($A101="","",L101*Q101/100)</f>
        <v/>
      </c>
      <c r="S101" s="24" t="str">
        <f aca="false">IF($A101="","",M101*Q101/100)</f>
        <v/>
      </c>
      <c r="T101" s="24" t="str">
        <f aca="false">IF($A101="","",N101*Q101/100)</f>
        <v/>
      </c>
      <c r="U101" s="24" t="str">
        <f aca="false">IF($A101="","",O101*Q101/100)</f>
        <v/>
      </c>
      <c r="V101" s="24" t="str">
        <f aca="false">IF($A101="","",R101+S101+T101+U101)</f>
        <v/>
      </c>
      <c r="W101" s="14"/>
      <c r="X101" s="15"/>
      <c r="Y101" s="23"/>
      <c r="Z101" s="14"/>
    </row>
    <row r="102" customFormat="false" ht="15" hidden="false" customHeight="false" outlineLevel="0" collapsed="false">
      <c r="A102" s="14"/>
      <c r="B102" s="17" t="str">
        <f aca="false">IF($A102="","",IFERROR(INDEX(Policy!$B$2:$B$301,MATCH($A102,Policy!$A$2:$A$301,0)),"MRO không có"))</f>
        <v/>
      </c>
      <c r="C102" s="17" t="str">
        <f aca="false">IF($A102="","",IFERROR(INDEX(Policy!$E$2:$E$301,MATCH($A102,Policy!$A$2:$A$301,0)),"MRO không có"))</f>
        <v/>
      </c>
      <c r="D102" s="14"/>
      <c r="E102" s="15"/>
      <c r="F102" s="15"/>
      <c r="G102" s="14"/>
      <c r="H102" s="14"/>
      <c r="I102" s="14"/>
      <c r="J102" s="14"/>
      <c r="K102" s="14"/>
      <c r="L102" s="23"/>
      <c r="M102" s="23"/>
      <c r="N102" s="23"/>
      <c r="O102" s="23"/>
      <c r="P102" s="24" t="str">
        <f aca="false">IF($A102="","",L102+M102+N102+O102)</f>
        <v/>
      </c>
      <c r="Q102" s="22" t="str">
        <f aca="false">IF($A102="","",IFERROR(INDEX(Risk!$D$2:$D$301,MATCH($A102,Policy!$A$2:$A$301,0)),0))</f>
        <v/>
      </c>
      <c r="R102" s="24" t="str">
        <f aca="false">IF($A102="","",L102*Q102/100)</f>
        <v/>
      </c>
      <c r="S102" s="24" t="str">
        <f aca="false">IF($A102="","",M102*Q102/100)</f>
        <v/>
      </c>
      <c r="T102" s="24" t="str">
        <f aca="false">IF($A102="","",N102*Q102/100)</f>
        <v/>
      </c>
      <c r="U102" s="24" t="str">
        <f aca="false">IF($A102="","",O102*Q102/100)</f>
        <v/>
      </c>
      <c r="V102" s="24" t="str">
        <f aca="false">IF($A102="","",R102+S102+T102+U102)</f>
        <v/>
      </c>
      <c r="W102" s="14"/>
      <c r="X102" s="15"/>
      <c r="Y102" s="23"/>
      <c r="Z102" s="14"/>
    </row>
    <row r="103" customFormat="false" ht="15" hidden="false" customHeight="false" outlineLevel="0" collapsed="false">
      <c r="A103" s="14"/>
      <c r="B103" s="17" t="str">
        <f aca="false">IF($A103="","",IFERROR(INDEX(Policy!$B$2:$B$301,MATCH($A103,Policy!$A$2:$A$301,0)),"MRO không có"))</f>
        <v/>
      </c>
      <c r="C103" s="17" t="str">
        <f aca="false">IF($A103="","",IFERROR(INDEX(Policy!$E$2:$E$301,MATCH($A103,Policy!$A$2:$A$301,0)),"MRO không có"))</f>
        <v/>
      </c>
      <c r="D103" s="14"/>
      <c r="E103" s="15"/>
      <c r="F103" s="15"/>
      <c r="G103" s="14"/>
      <c r="H103" s="14"/>
      <c r="I103" s="14"/>
      <c r="J103" s="14"/>
      <c r="K103" s="14"/>
      <c r="L103" s="23"/>
      <c r="M103" s="23"/>
      <c r="N103" s="23"/>
      <c r="O103" s="23"/>
      <c r="P103" s="24" t="str">
        <f aca="false">IF($A103="","",L103+M103+N103+O103)</f>
        <v/>
      </c>
      <c r="Q103" s="22" t="str">
        <f aca="false">IF($A103="","",IFERROR(INDEX(Risk!$D$2:$D$301,MATCH($A103,Policy!$A$2:$A$301,0)),0))</f>
        <v/>
      </c>
      <c r="R103" s="24" t="str">
        <f aca="false">IF($A103="","",L103*Q103/100)</f>
        <v/>
      </c>
      <c r="S103" s="24" t="str">
        <f aca="false">IF($A103="","",M103*Q103/100)</f>
        <v/>
      </c>
      <c r="T103" s="24" t="str">
        <f aca="false">IF($A103="","",N103*Q103/100)</f>
        <v/>
      </c>
      <c r="U103" s="24" t="str">
        <f aca="false">IF($A103="","",O103*Q103/100)</f>
        <v/>
      </c>
      <c r="V103" s="24" t="str">
        <f aca="false">IF($A103="","",R103+S103+T103+U103)</f>
        <v/>
      </c>
      <c r="W103" s="14"/>
      <c r="X103" s="15"/>
      <c r="Y103" s="23"/>
      <c r="Z103" s="14"/>
    </row>
    <row r="104" customFormat="false" ht="15" hidden="false" customHeight="false" outlineLevel="0" collapsed="false">
      <c r="A104" s="14"/>
      <c r="B104" s="17" t="str">
        <f aca="false">IF($A104="","",IFERROR(INDEX(Policy!$B$2:$B$301,MATCH($A104,Policy!$A$2:$A$301,0)),"MRO không có"))</f>
        <v/>
      </c>
      <c r="C104" s="17" t="str">
        <f aca="false">IF($A104="","",IFERROR(INDEX(Policy!$E$2:$E$301,MATCH($A104,Policy!$A$2:$A$301,0)),"MRO không có"))</f>
        <v/>
      </c>
      <c r="D104" s="14"/>
      <c r="E104" s="15"/>
      <c r="F104" s="15"/>
      <c r="G104" s="14"/>
      <c r="H104" s="14"/>
      <c r="I104" s="14"/>
      <c r="J104" s="14"/>
      <c r="K104" s="14"/>
      <c r="L104" s="23"/>
      <c r="M104" s="23"/>
      <c r="N104" s="23"/>
      <c r="O104" s="23"/>
      <c r="P104" s="24" t="str">
        <f aca="false">IF($A104="","",L104+M104+N104+O104)</f>
        <v/>
      </c>
      <c r="Q104" s="22" t="str">
        <f aca="false">IF($A104="","",IFERROR(INDEX(Risk!$D$2:$D$301,MATCH($A104,Policy!$A$2:$A$301,0)),0))</f>
        <v/>
      </c>
      <c r="R104" s="24" t="str">
        <f aca="false">IF($A104="","",L104*Q104/100)</f>
        <v/>
      </c>
      <c r="S104" s="24" t="str">
        <f aca="false">IF($A104="","",M104*Q104/100)</f>
        <v/>
      </c>
      <c r="T104" s="24" t="str">
        <f aca="false">IF($A104="","",N104*Q104/100)</f>
        <v/>
      </c>
      <c r="U104" s="24" t="str">
        <f aca="false">IF($A104="","",O104*Q104/100)</f>
        <v/>
      </c>
      <c r="V104" s="24" t="str">
        <f aca="false">IF($A104="","",R104+S104+T104+U104)</f>
        <v/>
      </c>
      <c r="W104" s="14"/>
      <c r="X104" s="15"/>
      <c r="Y104" s="23"/>
      <c r="Z104" s="14"/>
    </row>
    <row r="105" customFormat="false" ht="15" hidden="false" customHeight="false" outlineLevel="0" collapsed="false">
      <c r="A105" s="14"/>
      <c r="B105" s="17" t="str">
        <f aca="false">IF($A105="","",IFERROR(INDEX(Policy!$B$2:$B$301,MATCH($A105,Policy!$A$2:$A$301,0)),"MRO không có"))</f>
        <v/>
      </c>
      <c r="C105" s="17" t="str">
        <f aca="false">IF($A105="","",IFERROR(INDEX(Policy!$E$2:$E$301,MATCH($A105,Policy!$A$2:$A$301,0)),"MRO không có"))</f>
        <v/>
      </c>
      <c r="D105" s="14"/>
      <c r="E105" s="15"/>
      <c r="F105" s="15"/>
      <c r="G105" s="14"/>
      <c r="H105" s="14"/>
      <c r="I105" s="14"/>
      <c r="J105" s="14"/>
      <c r="K105" s="14"/>
      <c r="L105" s="23"/>
      <c r="M105" s="23"/>
      <c r="N105" s="23"/>
      <c r="O105" s="23"/>
      <c r="P105" s="24" t="str">
        <f aca="false">IF($A105="","",L105+M105+N105+O105)</f>
        <v/>
      </c>
      <c r="Q105" s="22" t="str">
        <f aca="false">IF($A105="","",IFERROR(INDEX(Risk!$D$2:$D$301,MATCH($A105,Policy!$A$2:$A$301,0)),0))</f>
        <v/>
      </c>
      <c r="R105" s="24" t="str">
        <f aca="false">IF($A105="","",L105*Q105/100)</f>
        <v/>
      </c>
      <c r="S105" s="24" t="str">
        <f aca="false">IF($A105="","",M105*Q105/100)</f>
        <v/>
      </c>
      <c r="T105" s="24" t="str">
        <f aca="false">IF($A105="","",N105*Q105/100)</f>
        <v/>
      </c>
      <c r="U105" s="24" t="str">
        <f aca="false">IF($A105="","",O105*Q105/100)</f>
        <v/>
      </c>
      <c r="V105" s="24" t="str">
        <f aca="false">IF($A105="","",R105+S105+T105+U105)</f>
        <v/>
      </c>
      <c r="W105" s="14"/>
      <c r="X105" s="15"/>
      <c r="Y105" s="23"/>
      <c r="Z105" s="14"/>
    </row>
    <row r="106" customFormat="false" ht="15" hidden="false" customHeight="false" outlineLevel="0" collapsed="false">
      <c r="A106" s="14"/>
      <c r="B106" s="17" t="str">
        <f aca="false">IF($A106="","",IFERROR(INDEX(Policy!$B$2:$B$301,MATCH($A106,Policy!$A$2:$A$301,0)),"MRO không có"))</f>
        <v/>
      </c>
      <c r="C106" s="17" t="str">
        <f aca="false">IF($A106="","",IFERROR(INDEX(Policy!$E$2:$E$301,MATCH($A106,Policy!$A$2:$A$301,0)),"MRO không có"))</f>
        <v/>
      </c>
      <c r="D106" s="14"/>
      <c r="E106" s="15"/>
      <c r="F106" s="15"/>
      <c r="G106" s="14"/>
      <c r="H106" s="14"/>
      <c r="I106" s="14"/>
      <c r="J106" s="14"/>
      <c r="K106" s="14"/>
      <c r="L106" s="23"/>
      <c r="M106" s="23"/>
      <c r="N106" s="23"/>
      <c r="O106" s="23"/>
      <c r="P106" s="24" t="str">
        <f aca="false">IF($A106="","",L106+M106+N106+O106)</f>
        <v/>
      </c>
      <c r="Q106" s="22" t="str">
        <f aca="false">IF($A106="","",IFERROR(INDEX(Risk!$D$2:$D$301,MATCH($A106,Policy!$A$2:$A$301,0)),0))</f>
        <v/>
      </c>
      <c r="R106" s="24" t="str">
        <f aca="false">IF($A106="","",L106*Q106/100)</f>
        <v/>
      </c>
      <c r="S106" s="24" t="str">
        <f aca="false">IF($A106="","",M106*Q106/100)</f>
        <v/>
      </c>
      <c r="T106" s="24" t="str">
        <f aca="false">IF($A106="","",N106*Q106/100)</f>
        <v/>
      </c>
      <c r="U106" s="24" t="str">
        <f aca="false">IF($A106="","",O106*Q106/100)</f>
        <v/>
      </c>
      <c r="V106" s="24" t="str">
        <f aca="false">IF($A106="","",R106+S106+T106+U106)</f>
        <v/>
      </c>
      <c r="W106" s="14"/>
      <c r="X106" s="15"/>
      <c r="Y106" s="23"/>
      <c r="Z106" s="14"/>
    </row>
    <row r="107" customFormat="false" ht="15" hidden="false" customHeight="false" outlineLevel="0" collapsed="false">
      <c r="A107" s="14"/>
      <c r="B107" s="17" t="str">
        <f aca="false">IF($A107="","",IFERROR(INDEX(Policy!$B$2:$B$301,MATCH($A107,Policy!$A$2:$A$301,0)),"MRO không có"))</f>
        <v/>
      </c>
      <c r="C107" s="17" t="str">
        <f aca="false">IF($A107="","",IFERROR(INDEX(Policy!$E$2:$E$301,MATCH($A107,Policy!$A$2:$A$301,0)),"MRO không có"))</f>
        <v/>
      </c>
      <c r="D107" s="14"/>
      <c r="E107" s="15"/>
      <c r="F107" s="15"/>
      <c r="G107" s="14"/>
      <c r="H107" s="14"/>
      <c r="I107" s="14"/>
      <c r="J107" s="14"/>
      <c r="K107" s="14"/>
      <c r="L107" s="23"/>
      <c r="M107" s="23"/>
      <c r="N107" s="23"/>
      <c r="O107" s="23"/>
      <c r="P107" s="24" t="str">
        <f aca="false">IF($A107="","",L107+M107+N107+O107)</f>
        <v/>
      </c>
      <c r="Q107" s="22" t="str">
        <f aca="false">IF($A107="","",IFERROR(INDEX(Risk!$D$2:$D$301,MATCH($A107,Policy!$A$2:$A$301,0)),0))</f>
        <v/>
      </c>
      <c r="R107" s="24" t="str">
        <f aca="false">IF($A107="","",L107*Q107/100)</f>
        <v/>
      </c>
      <c r="S107" s="24" t="str">
        <f aca="false">IF($A107="","",M107*Q107/100)</f>
        <v/>
      </c>
      <c r="T107" s="24" t="str">
        <f aca="false">IF($A107="","",N107*Q107/100)</f>
        <v/>
      </c>
      <c r="U107" s="24" t="str">
        <f aca="false">IF($A107="","",O107*Q107/100)</f>
        <v/>
      </c>
      <c r="V107" s="24" t="str">
        <f aca="false">IF($A107="","",R107+S107+T107+U107)</f>
        <v/>
      </c>
      <c r="W107" s="14"/>
      <c r="X107" s="15"/>
      <c r="Y107" s="23"/>
      <c r="Z107" s="14"/>
    </row>
    <row r="108" customFormat="false" ht="15" hidden="false" customHeight="false" outlineLevel="0" collapsed="false">
      <c r="A108" s="14"/>
      <c r="B108" s="17" t="str">
        <f aca="false">IF($A108="","",IFERROR(INDEX(Policy!$B$2:$B$301,MATCH($A108,Policy!$A$2:$A$301,0)),"MRO không có"))</f>
        <v/>
      </c>
      <c r="C108" s="17" t="str">
        <f aca="false">IF($A108="","",IFERROR(INDEX(Policy!$E$2:$E$301,MATCH($A108,Policy!$A$2:$A$301,0)),"MRO không có"))</f>
        <v/>
      </c>
      <c r="D108" s="14"/>
      <c r="E108" s="15"/>
      <c r="F108" s="15"/>
      <c r="G108" s="14"/>
      <c r="H108" s="14"/>
      <c r="I108" s="14"/>
      <c r="J108" s="14"/>
      <c r="K108" s="14"/>
      <c r="L108" s="23"/>
      <c r="M108" s="23"/>
      <c r="N108" s="23"/>
      <c r="O108" s="23"/>
      <c r="P108" s="24" t="str">
        <f aca="false">IF($A108="","",L108+M108+N108+O108)</f>
        <v/>
      </c>
      <c r="Q108" s="22" t="str">
        <f aca="false">IF($A108="","",IFERROR(INDEX(Risk!$D$2:$D$301,MATCH($A108,Policy!$A$2:$A$301,0)),0))</f>
        <v/>
      </c>
      <c r="R108" s="24" t="str">
        <f aca="false">IF($A108="","",L108*Q108/100)</f>
        <v/>
      </c>
      <c r="S108" s="24" t="str">
        <f aca="false">IF($A108="","",M108*Q108/100)</f>
        <v/>
      </c>
      <c r="T108" s="24" t="str">
        <f aca="false">IF($A108="","",N108*Q108/100)</f>
        <v/>
      </c>
      <c r="U108" s="24" t="str">
        <f aca="false">IF($A108="","",O108*Q108/100)</f>
        <v/>
      </c>
      <c r="V108" s="24" t="str">
        <f aca="false">IF($A108="","",R108+S108+T108+U108)</f>
        <v/>
      </c>
      <c r="W108" s="14"/>
      <c r="X108" s="15"/>
      <c r="Y108" s="23"/>
      <c r="Z108" s="14"/>
    </row>
    <row r="109" customFormat="false" ht="15" hidden="false" customHeight="false" outlineLevel="0" collapsed="false">
      <c r="A109" s="14"/>
      <c r="B109" s="17" t="str">
        <f aca="false">IF($A109="","",IFERROR(INDEX(Policy!$B$2:$B$301,MATCH($A109,Policy!$A$2:$A$301,0)),"MRO không có"))</f>
        <v/>
      </c>
      <c r="C109" s="17" t="str">
        <f aca="false">IF($A109="","",IFERROR(INDEX(Policy!$E$2:$E$301,MATCH($A109,Policy!$A$2:$A$301,0)),"MRO không có"))</f>
        <v/>
      </c>
      <c r="D109" s="14"/>
      <c r="E109" s="15"/>
      <c r="F109" s="15"/>
      <c r="G109" s="14"/>
      <c r="H109" s="14"/>
      <c r="I109" s="14"/>
      <c r="J109" s="14"/>
      <c r="K109" s="14"/>
      <c r="L109" s="23"/>
      <c r="M109" s="23"/>
      <c r="N109" s="23"/>
      <c r="O109" s="23"/>
      <c r="P109" s="24" t="str">
        <f aca="false">IF($A109="","",L109+M109+N109+O109)</f>
        <v/>
      </c>
      <c r="Q109" s="22" t="str">
        <f aca="false">IF($A109="","",IFERROR(INDEX(Risk!$D$2:$D$301,MATCH($A109,Policy!$A$2:$A$301,0)),0))</f>
        <v/>
      </c>
      <c r="R109" s="24" t="str">
        <f aca="false">IF($A109="","",L109*Q109/100)</f>
        <v/>
      </c>
      <c r="S109" s="24" t="str">
        <f aca="false">IF($A109="","",M109*Q109/100)</f>
        <v/>
      </c>
      <c r="T109" s="24" t="str">
        <f aca="false">IF($A109="","",N109*Q109/100)</f>
        <v/>
      </c>
      <c r="U109" s="24" t="str">
        <f aca="false">IF($A109="","",O109*Q109/100)</f>
        <v/>
      </c>
      <c r="V109" s="24" t="str">
        <f aca="false">IF($A109="","",R109+S109+T109+U109)</f>
        <v/>
      </c>
      <c r="W109" s="14"/>
      <c r="X109" s="15"/>
      <c r="Y109" s="23"/>
      <c r="Z109" s="14"/>
    </row>
    <row r="110" customFormat="false" ht="15" hidden="false" customHeight="false" outlineLevel="0" collapsed="false">
      <c r="A110" s="14"/>
      <c r="B110" s="17" t="str">
        <f aca="false">IF($A110="","",IFERROR(INDEX(Policy!$B$2:$B$301,MATCH($A110,Policy!$A$2:$A$301,0)),"MRO không có"))</f>
        <v/>
      </c>
      <c r="C110" s="17" t="str">
        <f aca="false">IF($A110="","",IFERROR(INDEX(Policy!$E$2:$E$301,MATCH($A110,Policy!$A$2:$A$301,0)),"MRO không có"))</f>
        <v/>
      </c>
      <c r="D110" s="14"/>
      <c r="E110" s="15"/>
      <c r="F110" s="15"/>
      <c r="G110" s="14"/>
      <c r="H110" s="14"/>
      <c r="I110" s="14"/>
      <c r="J110" s="14"/>
      <c r="K110" s="14"/>
      <c r="L110" s="23"/>
      <c r="M110" s="23"/>
      <c r="N110" s="23"/>
      <c r="O110" s="23"/>
      <c r="P110" s="24" t="str">
        <f aca="false">IF($A110="","",L110+M110+N110+O110)</f>
        <v/>
      </c>
      <c r="Q110" s="22" t="str">
        <f aca="false">IF($A110="","",IFERROR(INDEX(Risk!$D$2:$D$301,MATCH($A110,Policy!$A$2:$A$301,0)),0))</f>
        <v/>
      </c>
      <c r="R110" s="24" t="str">
        <f aca="false">IF($A110="","",L110*Q110/100)</f>
        <v/>
      </c>
      <c r="S110" s="24" t="str">
        <f aca="false">IF($A110="","",M110*Q110/100)</f>
        <v/>
      </c>
      <c r="T110" s="24" t="str">
        <f aca="false">IF($A110="","",N110*Q110/100)</f>
        <v/>
      </c>
      <c r="U110" s="24" t="str">
        <f aca="false">IF($A110="","",O110*Q110/100)</f>
        <v/>
      </c>
      <c r="V110" s="24" t="str">
        <f aca="false">IF($A110="","",R110+S110+T110+U110)</f>
        <v/>
      </c>
      <c r="W110" s="14"/>
      <c r="X110" s="15"/>
      <c r="Y110" s="23"/>
      <c r="Z110" s="14"/>
    </row>
    <row r="111" customFormat="false" ht="15" hidden="false" customHeight="false" outlineLevel="0" collapsed="false">
      <c r="A111" s="14"/>
      <c r="B111" s="17" t="str">
        <f aca="false">IF($A111="","",IFERROR(INDEX(Policy!$B$2:$B$301,MATCH($A111,Policy!$A$2:$A$301,0)),"MRO không có"))</f>
        <v/>
      </c>
      <c r="C111" s="17" t="str">
        <f aca="false">IF($A111="","",IFERROR(INDEX(Policy!$E$2:$E$301,MATCH($A111,Policy!$A$2:$A$301,0)),"MRO không có"))</f>
        <v/>
      </c>
      <c r="D111" s="14"/>
      <c r="E111" s="15"/>
      <c r="F111" s="15"/>
      <c r="G111" s="14"/>
      <c r="H111" s="14"/>
      <c r="I111" s="14"/>
      <c r="J111" s="14"/>
      <c r="K111" s="14"/>
      <c r="L111" s="23"/>
      <c r="M111" s="23"/>
      <c r="N111" s="23"/>
      <c r="O111" s="23"/>
      <c r="P111" s="24" t="str">
        <f aca="false">IF($A111="","",L111+M111+N111+O111)</f>
        <v/>
      </c>
      <c r="Q111" s="22" t="str">
        <f aca="false">IF($A111="","",IFERROR(INDEX(Risk!$D$2:$D$301,MATCH($A111,Policy!$A$2:$A$301,0)),0))</f>
        <v/>
      </c>
      <c r="R111" s="24" t="str">
        <f aca="false">IF($A111="","",L111*Q111/100)</f>
        <v/>
      </c>
      <c r="S111" s="24" t="str">
        <f aca="false">IF($A111="","",M111*Q111/100)</f>
        <v/>
      </c>
      <c r="T111" s="24" t="str">
        <f aca="false">IF($A111="","",N111*Q111/100)</f>
        <v/>
      </c>
      <c r="U111" s="24" t="str">
        <f aca="false">IF($A111="","",O111*Q111/100)</f>
        <v/>
      </c>
      <c r="V111" s="24" t="str">
        <f aca="false">IF($A111="","",R111+S111+T111+U111)</f>
        <v/>
      </c>
      <c r="W111" s="14"/>
      <c r="X111" s="15"/>
      <c r="Y111" s="23"/>
      <c r="Z111" s="14"/>
    </row>
    <row r="112" customFormat="false" ht="15" hidden="false" customHeight="false" outlineLevel="0" collapsed="false">
      <c r="A112" s="14"/>
      <c r="B112" s="17" t="str">
        <f aca="false">IF($A112="","",IFERROR(INDEX(Policy!$B$2:$B$301,MATCH($A112,Policy!$A$2:$A$301,0)),"MRO không có"))</f>
        <v/>
      </c>
      <c r="C112" s="17" t="str">
        <f aca="false">IF($A112="","",IFERROR(INDEX(Policy!$E$2:$E$301,MATCH($A112,Policy!$A$2:$A$301,0)),"MRO không có"))</f>
        <v/>
      </c>
      <c r="D112" s="14"/>
      <c r="E112" s="15"/>
      <c r="F112" s="15"/>
      <c r="G112" s="14"/>
      <c r="H112" s="14"/>
      <c r="I112" s="14"/>
      <c r="J112" s="14"/>
      <c r="K112" s="14"/>
      <c r="L112" s="23"/>
      <c r="M112" s="23"/>
      <c r="N112" s="23"/>
      <c r="O112" s="23"/>
      <c r="P112" s="24" t="str">
        <f aca="false">IF($A112="","",L112+M112+N112+O112)</f>
        <v/>
      </c>
      <c r="Q112" s="22" t="str">
        <f aca="false">IF($A112="","",IFERROR(INDEX(Risk!$D$2:$D$301,MATCH($A112,Policy!$A$2:$A$301,0)),0))</f>
        <v/>
      </c>
      <c r="R112" s="24" t="str">
        <f aca="false">IF($A112="","",L112*Q112/100)</f>
        <v/>
      </c>
      <c r="S112" s="24" t="str">
        <f aca="false">IF($A112="","",M112*Q112/100)</f>
        <v/>
      </c>
      <c r="T112" s="24" t="str">
        <f aca="false">IF($A112="","",N112*Q112/100)</f>
        <v/>
      </c>
      <c r="U112" s="24" t="str">
        <f aca="false">IF($A112="","",O112*Q112/100)</f>
        <v/>
      </c>
      <c r="V112" s="24" t="str">
        <f aca="false">IF($A112="","",R112+S112+T112+U112)</f>
        <v/>
      </c>
      <c r="W112" s="14"/>
      <c r="X112" s="15"/>
      <c r="Y112" s="23"/>
      <c r="Z112" s="14"/>
    </row>
    <row r="113" customFormat="false" ht="15" hidden="false" customHeight="false" outlineLevel="0" collapsed="false">
      <c r="A113" s="14"/>
      <c r="B113" s="17" t="str">
        <f aca="false">IF($A113="","",IFERROR(INDEX(Policy!$B$2:$B$301,MATCH($A113,Policy!$A$2:$A$301,0)),"MRO không có"))</f>
        <v/>
      </c>
      <c r="C113" s="17" t="str">
        <f aca="false">IF($A113="","",IFERROR(INDEX(Policy!$E$2:$E$301,MATCH($A113,Policy!$A$2:$A$301,0)),"MRO không có"))</f>
        <v/>
      </c>
      <c r="D113" s="14"/>
      <c r="E113" s="15"/>
      <c r="F113" s="15"/>
      <c r="G113" s="14"/>
      <c r="H113" s="14"/>
      <c r="I113" s="14"/>
      <c r="J113" s="14"/>
      <c r="K113" s="14"/>
      <c r="L113" s="23"/>
      <c r="M113" s="23"/>
      <c r="N113" s="23"/>
      <c r="O113" s="23"/>
      <c r="P113" s="24" t="str">
        <f aca="false">IF($A113="","",L113+M113+N113+O113)</f>
        <v/>
      </c>
      <c r="Q113" s="22" t="str">
        <f aca="false">IF($A113="","",IFERROR(INDEX(Risk!$D$2:$D$301,MATCH($A113,Policy!$A$2:$A$301,0)),0))</f>
        <v/>
      </c>
      <c r="R113" s="24" t="str">
        <f aca="false">IF($A113="","",L113*Q113/100)</f>
        <v/>
      </c>
      <c r="S113" s="24" t="str">
        <f aca="false">IF($A113="","",M113*Q113/100)</f>
        <v/>
      </c>
      <c r="T113" s="24" t="str">
        <f aca="false">IF($A113="","",N113*Q113/100)</f>
        <v/>
      </c>
      <c r="U113" s="24" t="str">
        <f aca="false">IF($A113="","",O113*Q113/100)</f>
        <v/>
      </c>
      <c r="V113" s="24" t="str">
        <f aca="false">IF($A113="","",R113+S113+T113+U113)</f>
        <v/>
      </c>
      <c r="W113" s="14"/>
      <c r="X113" s="15"/>
      <c r="Y113" s="23"/>
      <c r="Z113" s="14"/>
    </row>
    <row r="114" customFormat="false" ht="15" hidden="false" customHeight="false" outlineLevel="0" collapsed="false">
      <c r="A114" s="14"/>
      <c r="B114" s="17" t="str">
        <f aca="false">IF($A114="","",IFERROR(INDEX(Policy!$B$2:$B$301,MATCH($A114,Policy!$A$2:$A$301,0)),"MRO không có"))</f>
        <v/>
      </c>
      <c r="C114" s="17" t="str">
        <f aca="false">IF($A114="","",IFERROR(INDEX(Policy!$E$2:$E$301,MATCH($A114,Policy!$A$2:$A$301,0)),"MRO không có"))</f>
        <v/>
      </c>
      <c r="D114" s="14"/>
      <c r="E114" s="15"/>
      <c r="F114" s="15"/>
      <c r="G114" s="14"/>
      <c r="H114" s="14"/>
      <c r="I114" s="14"/>
      <c r="J114" s="14"/>
      <c r="K114" s="14"/>
      <c r="L114" s="23"/>
      <c r="M114" s="23"/>
      <c r="N114" s="23"/>
      <c r="O114" s="23"/>
      <c r="P114" s="24" t="str">
        <f aca="false">IF($A114="","",L114+M114+N114+O114)</f>
        <v/>
      </c>
      <c r="Q114" s="22" t="str">
        <f aca="false">IF($A114="","",IFERROR(INDEX(Risk!$D$2:$D$301,MATCH($A114,Policy!$A$2:$A$301,0)),0))</f>
        <v/>
      </c>
      <c r="R114" s="24" t="str">
        <f aca="false">IF($A114="","",L114*Q114/100)</f>
        <v/>
      </c>
      <c r="S114" s="24" t="str">
        <f aca="false">IF($A114="","",M114*Q114/100)</f>
        <v/>
      </c>
      <c r="T114" s="24" t="str">
        <f aca="false">IF($A114="","",N114*Q114/100)</f>
        <v/>
      </c>
      <c r="U114" s="24" t="str">
        <f aca="false">IF($A114="","",O114*Q114/100)</f>
        <v/>
      </c>
      <c r="V114" s="24" t="str">
        <f aca="false">IF($A114="","",R114+S114+T114+U114)</f>
        <v/>
      </c>
      <c r="W114" s="14"/>
      <c r="X114" s="15"/>
      <c r="Y114" s="23"/>
      <c r="Z114" s="14"/>
    </row>
    <row r="115" customFormat="false" ht="15" hidden="false" customHeight="false" outlineLevel="0" collapsed="false">
      <c r="A115" s="14"/>
      <c r="B115" s="17" t="str">
        <f aca="false">IF($A115="","",IFERROR(INDEX(Policy!$B$2:$B$301,MATCH($A115,Policy!$A$2:$A$301,0)),"MRO không có"))</f>
        <v/>
      </c>
      <c r="C115" s="17" t="str">
        <f aca="false">IF($A115="","",IFERROR(INDEX(Policy!$E$2:$E$301,MATCH($A115,Policy!$A$2:$A$301,0)),"MRO không có"))</f>
        <v/>
      </c>
      <c r="D115" s="14"/>
      <c r="E115" s="15"/>
      <c r="F115" s="15"/>
      <c r="G115" s="14"/>
      <c r="H115" s="14"/>
      <c r="I115" s="14"/>
      <c r="J115" s="14"/>
      <c r="K115" s="14"/>
      <c r="L115" s="23"/>
      <c r="M115" s="23"/>
      <c r="N115" s="23"/>
      <c r="O115" s="23"/>
      <c r="P115" s="24" t="str">
        <f aca="false">IF($A115="","",L115+M115+N115+O115)</f>
        <v/>
      </c>
      <c r="Q115" s="22" t="str">
        <f aca="false">IF($A115="","",IFERROR(INDEX(Risk!$D$2:$D$301,MATCH($A115,Policy!$A$2:$A$301,0)),0))</f>
        <v/>
      </c>
      <c r="R115" s="24" t="str">
        <f aca="false">IF($A115="","",L115*Q115/100)</f>
        <v/>
      </c>
      <c r="S115" s="24" t="str">
        <f aca="false">IF($A115="","",M115*Q115/100)</f>
        <v/>
      </c>
      <c r="T115" s="24" t="str">
        <f aca="false">IF($A115="","",N115*Q115/100)</f>
        <v/>
      </c>
      <c r="U115" s="24" t="str">
        <f aca="false">IF($A115="","",O115*Q115/100)</f>
        <v/>
      </c>
      <c r="V115" s="24" t="str">
        <f aca="false">IF($A115="","",R115+S115+T115+U115)</f>
        <v/>
      </c>
      <c r="W115" s="14"/>
      <c r="X115" s="15"/>
      <c r="Y115" s="23"/>
      <c r="Z115" s="14"/>
    </row>
    <row r="116" customFormat="false" ht="15" hidden="false" customHeight="false" outlineLevel="0" collapsed="false">
      <c r="A116" s="14"/>
      <c r="B116" s="17" t="str">
        <f aca="false">IF($A116="","",IFERROR(INDEX(Policy!$B$2:$B$301,MATCH($A116,Policy!$A$2:$A$301,0)),"MRO không có"))</f>
        <v/>
      </c>
      <c r="C116" s="17" t="str">
        <f aca="false">IF($A116="","",IFERROR(INDEX(Policy!$E$2:$E$301,MATCH($A116,Policy!$A$2:$A$301,0)),"MRO không có"))</f>
        <v/>
      </c>
      <c r="D116" s="14"/>
      <c r="E116" s="15"/>
      <c r="F116" s="15"/>
      <c r="G116" s="14"/>
      <c r="H116" s="14"/>
      <c r="I116" s="14"/>
      <c r="J116" s="14"/>
      <c r="K116" s="14"/>
      <c r="L116" s="23"/>
      <c r="M116" s="23"/>
      <c r="N116" s="23"/>
      <c r="O116" s="23"/>
      <c r="P116" s="24" t="str">
        <f aca="false">IF($A116="","",L116+M116+N116+O116)</f>
        <v/>
      </c>
      <c r="Q116" s="22" t="str">
        <f aca="false">IF($A116="","",IFERROR(INDEX(Risk!$D$2:$D$301,MATCH($A116,Policy!$A$2:$A$301,0)),0))</f>
        <v/>
      </c>
      <c r="R116" s="24" t="str">
        <f aca="false">IF($A116="","",L116*Q116/100)</f>
        <v/>
      </c>
      <c r="S116" s="24" t="str">
        <f aca="false">IF($A116="","",M116*Q116/100)</f>
        <v/>
      </c>
      <c r="T116" s="24" t="str">
        <f aca="false">IF($A116="","",N116*Q116/100)</f>
        <v/>
      </c>
      <c r="U116" s="24" t="str">
        <f aca="false">IF($A116="","",O116*Q116/100)</f>
        <v/>
      </c>
      <c r="V116" s="24" t="str">
        <f aca="false">IF($A116="","",R116+S116+T116+U116)</f>
        <v/>
      </c>
      <c r="W116" s="14"/>
      <c r="X116" s="15"/>
      <c r="Y116" s="23"/>
      <c r="Z116" s="14"/>
    </row>
    <row r="117" customFormat="false" ht="15" hidden="false" customHeight="false" outlineLevel="0" collapsed="false">
      <c r="A117" s="14"/>
      <c r="B117" s="17" t="str">
        <f aca="false">IF($A117="","",IFERROR(INDEX(Policy!$B$2:$B$301,MATCH($A117,Policy!$A$2:$A$301,0)),"MRO không có"))</f>
        <v/>
      </c>
      <c r="C117" s="17" t="str">
        <f aca="false">IF($A117="","",IFERROR(INDEX(Policy!$E$2:$E$301,MATCH($A117,Policy!$A$2:$A$301,0)),"MRO không có"))</f>
        <v/>
      </c>
      <c r="D117" s="14"/>
      <c r="E117" s="15"/>
      <c r="F117" s="15"/>
      <c r="G117" s="14"/>
      <c r="H117" s="14"/>
      <c r="I117" s="14"/>
      <c r="J117" s="14"/>
      <c r="K117" s="14"/>
      <c r="L117" s="23"/>
      <c r="M117" s="23"/>
      <c r="N117" s="23"/>
      <c r="O117" s="23"/>
      <c r="P117" s="24" t="str">
        <f aca="false">IF($A117="","",L117+M117+N117+O117)</f>
        <v/>
      </c>
      <c r="Q117" s="22" t="str">
        <f aca="false">IF($A117="","",IFERROR(INDEX(Risk!$D$2:$D$301,MATCH($A117,Policy!$A$2:$A$301,0)),0))</f>
        <v/>
      </c>
      <c r="R117" s="24" t="str">
        <f aca="false">IF($A117="","",L117*Q117/100)</f>
        <v/>
      </c>
      <c r="S117" s="24" t="str">
        <f aca="false">IF($A117="","",M117*Q117/100)</f>
        <v/>
      </c>
      <c r="T117" s="24" t="str">
        <f aca="false">IF($A117="","",N117*Q117/100)</f>
        <v/>
      </c>
      <c r="U117" s="24" t="str">
        <f aca="false">IF($A117="","",O117*Q117/100)</f>
        <v/>
      </c>
      <c r="V117" s="24" t="str">
        <f aca="false">IF($A117="","",R117+S117+T117+U117)</f>
        <v/>
      </c>
      <c r="W117" s="14"/>
      <c r="X117" s="15"/>
      <c r="Y117" s="23"/>
      <c r="Z117" s="14"/>
    </row>
    <row r="118" customFormat="false" ht="15" hidden="false" customHeight="false" outlineLevel="0" collapsed="false">
      <c r="A118" s="14"/>
      <c r="B118" s="17" t="str">
        <f aca="false">IF($A118="","",IFERROR(INDEX(Policy!$B$2:$B$301,MATCH($A118,Policy!$A$2:$A$301,0)),"MRO không có"))</f>
        <v/>
      </c>
      <c r="C118" s="17" t="str">
        <f aca="false">IF($A118="","",IFERROR(INDEX(Policy!$E$2:$E$301,MATCH($A118,Policy!$A$2:$A$301,0)),"MRO không có"))</f>
        <v/>
      </c>
      <c r="D118" s="14"/>
      <c r="E118" s="15"/>
      <c r="F118" s="15"/>
      <c r="G118" s="14"/>
      <c r="H118" s="14"/>
      <c r="I118" s="14"/>
      <c r="J118" s="14"/>
      <c r="K118" s="14"/>
      <c r="L118" s="23"/>
      <c r="M118" s="23"/>
      <c r="N118" s="23"/>
      <c r="O118" s="23"/>
      <c r="P118" s="24" t="str">
        <f aca="false">IF($A118="","",L118+M118+N118+O118)</f>
        <v/>
      </c>
      <c r="Q118" s="22" t="str">
        <f aca="false">IF($A118="","",IFERROR(INDEX(Risk!$D$2:$D$301,MATCH($A118,Policy!$A$2:$A$301,0)),0))</f>
        <v/>
      </c>
      <c r="R118" s="24" t="str">
        <f aca="false">IF($A118="","",L118*Q118/100)</f>
        <v/>
      </c>
      <c r="S118" s="24" t="str">
        <f aca="false">IF($A118="","",M118*Q118/100)</f>
        <v/>
      </c>
      <c r="T118" s="24" t="str">
        <f aca="false">IF($A118="","",N118*Q118/100)</f>
        <v/>
      </c>
      <c r="U118" s="24" t="str">
        <f aca="false">IF($A118="","",O118*Q118/100)</f>
        <v/>
      </c>
      <c r="V118" s="24" t="str">
        <f aca="false">IF($A118="","",R118+S118+T118+U118)</f>
        <v/>
      </c>
      <c r="W118" s="14"/>
      <c r="X118" s="15"/>
      <c r="Y118" s="23"/>
      <c r="Z118" s="14"/>
    </row>
    <row r="119" customFormat="false" ht="15" hidden="false" customHeight="false" outlineLevel="0" collapsed="false">
      <c r="A119" s="14"/>
      <c r="B119" s="17" t="str">
        <f aca="false">IF($A119="","",IFERROR(INDEX(Policy!$B$2:$B$301,MATCH($A119,Policy!$A$2:$A$301,0)),"MRO không có"))</f>
        <v/>
      </c>
      <c r="C119" s="17" t="str">
        <f aca="false">IF($A119="","",IFERROR(INDEX(Policy!$E$2:$E$301,MATCH($A119,Policy!$A$2:$A$301,0)),"MRO không có"))</f>
        <v/>
      </c>
      <c r="D119" s="14"/>
      <c r="E119" s="15"/>
      <c r="F119" s="15"/>
      <c r="G119" s="14"/>
      <c r="H119" s="14"/>
      <c r="I119" s="14"/>
      <c r="J119" s="14"/>
      <c r="K119" s="14"/>
      <c r="L119" s="23"/>
      <c r="M119" s="23"/>
      <c r="N119" s="23"/>
      <c r="O119" s="23"/>
      <c r="P119" s="24" t="str">
        <f aca="false">IF($A119="","",L119+M119+N119+O119)</f>
        <v/>
      </c>
      <c r="Q119" s="22" t="str">
        <f aca="false">IF($A119="","",IFERROR(INDEX(Risk!$D$2:$D$301,MATCH($A119,Policy!$A$2:$A$301,0)),0))</f>
        <v/>
      </c>
      <c r="R119" s="24" t="str">
        <f aca="false">IF($A119="","",L119*Q119/100)</f>
        <v/>
      </c>
      <c r="S119" s="24" t="str">
        <f aca="false">IF($A119="","",M119*Q119/100)</f>
        <v/>
      </c>
      <c r="T119" s="24" t="str">
        <f aca="false">IF($A119="","",N119*Q119/100)</f>
        <v/>
      </c>
      <c r="U119" s="24" t="str">
        <f aca="false">IF($A119="","",O119*Q119/100)</f>
        <v/>
      </c>
      <c r="V119" s="24" t="str">
        <f aca="false">IF($A119="","",R119+S119+T119+U119)</f>
        <v/>
      </c>
      <c r="W119" s="14"/>
      <c r="X119" s="15"/>
      <c r="Y119" s="23"/>
      <c r="Z119" s="14"/>
    </row>
    <row r="120" customFormat="false" ht="15" hidden="false" customHeight="false" outlineLevel="0" collapsed="false">
      <c r="A120" s="14"/>
      <c r="B120" s="17" t="str">
        <f aca="false">IF($A120="","",IFERROR(INDEX(Policy!$B$2:$B$301,MATCH($A120,Policy!$A$2:$A$301,0)),"MRO không có"))</f>
        <v/>
      </c>
      <c r="C120" s="17" t="str">
        <f aca="false">IF($A120="","",IFERROR(INDEX(Policy!$E$2:$E$301,MATCH($A120,Policy!$A$2:$A$301,0)),"MRO không có"))</f>
        <v/>
      </c>
      <c r="D120" s="14"/>
      <c r="E120" s="15"/>
      <c r="F120" s="15"/>
      <c r="G120" s="14"/>
      <c r="H120" s="14"/>
      <c r="I120" s="14"/>
      <c r="J120" s="14"/>
      <c r="K120" s="14"/>
      <c r="L120" s="23"/>
      <c r="M120" s="23"/>
      <c r="N120" s="23"/>
      <c r="O120" s="23"/>
      <c r="P120" s="24" t="str">
        <f aca="false">IF($A120="","",L120+M120+N120+O120)</f>
        <v/>
      </c>
      <c r="Q120" s="22" t="str">
        <f aca="false">IF($A120="","",IFERROR(INDEX(Risk!$D$2:$D$301,MATCH($A120,Policy!$A$2:$A$301,0)),0))</f>
        <v/>
      </c>
      <c r="R120" s="24" t="str">
        <f aca="false">IF($A120="","",L120*Q120/100)</f>
        <v/>
      </c>
      <c r="S120" s="24" t="str">
        <f aca="false">IF($A120="","",M120*Q120/100)</f>
        <v/>
      </c>
      <c r="T120" s="24" t="str">
        <f aca="false">IF($A120="","",N120*Q120/100)</f>
        <v/>
      </c>
      <c r="U120" s="24" t="str">
        <f aca="false">IF($A120="","",O120*Q120/100)</f>
        <v/>
      </c>
      <c r="V120" s="24" t="str">
        <f aca="false">IF($A120="","",R120+S120+T120+U120)</f>
        <v/>
      </c>
      <c r="W120" s="14"/>
      <c r="X120" s="15"/>
      <c r="Y120" s="23"/>
      <c r="Z120" s="14"/>
    </row>
    <row r="121" customFormat="false" ht="15" hidden="false" customHeight="false" outlineLevel="0" collapsed="false">
      <c r="A121" s="14"/>
      <c r="B121" s="17" t="str">
        <f aca="false">IF($A121="","",IFERROR(INDEX(Policy!$B$2:$B$301,MATCH($A121,Policy!$A$2:$A$301,0)),"MRO không có"))</f>
        <v/>
      </c>
      <c r="C121" s="17" t="str">
        <f aca="false">IF($A121="","",IFERROR(INDEX(Policy!$E$2:$E$301,MATCH($A121,Policy!$A$2:$A$301,0)),"MRO không có"))</f>
        <v/>
      </c>
      <c r="D121" s="14"/>
      <c r="E121" s="15"/>
      <c r="F121" s="15"/>
      <c r="G121" s="14"/>
      <c r="H121" s="14"/>
      <c r="I121" s="14"/>
      <c r="J121" s="14"/>
      <c r="K121" s="14"/>
      <c r="L121" s="23"/>
      <c r="M121" s="23"/>
      <c r="N121" s="23"/>
      <c r="O121" s="23"/>
      <c r="P121" s="24" t="str">
        <f aca="false">IF($A121="","",L121+M121+N121+O121)</f>
        <v/>
      </c>
      <c r="Q121" s="22" t="str">
        <f aca="false">IF($A121="","",IFERROR(INDEX(Risk!$D$2:$D$301,MATCH($A121,Policy!$A$2:$A$301,0)),0))</f>
        <v/>
      </c>
      <c r="R121" s="24" t="str">
        <f aca="false">IF($A121="","",L121*Q121/100)</f>
        <v/>
      </c>
      <c r="S121" s="24" t="str">
        <f aca="false">IF($A121="","",M121*Q121/100)</f>
        <v/>
      </c>
      <c r="T121" s="24" t="str">
        <f aca="false">IF($A121="","",N121*Q121/100)</f>
        <v/>
      </c>
      <c r="U121" s="24" t="str">
        <f aca="false">IF($A121="","",O121*Q121/100)</f>
        <v/>
      </c>
      <c r="V121" s="24" t="str">
        <f aca="false">IF($A121="","",R121+S121+T121+U121)</f>
        <v/>
      </c>
      <c r="W121" s="14"/>
      <c r="X121" s="15"/>
      <c r="Y121" s="23"/>
      <c r="Z121" s="14"/>
    </row>
    <row r="122" customFormat="false" ht="15" hidden="false" customHeight="false" outlineLevel="0" collapsed="false">
      <c r="A122" s="14"/>
      <c r="B122" s="17" t="str">
        <f aca="false">IF($A122="","",IFERROR(INDEX(Policy!$B$2:$B$301,MATCH($A122,Policy!$A$2:$A$301,0)),"MRO không có"))</f>
        <v/>
      </c>
      <c r="C122" s="17" t="str">
        <f aca="false">IF($A122="","",IFERROR(INDEX(Policy!$E$2:$E$301,MATCH($A122,Policy!$A$2:$A$301,0)),"MRO không có"))</f>
        <v/>
      </c>
      <c r="D122" s="14"/>
      <c r="E122" s="15"/>
      <c r="F122" s="15"/>
      <c r="G122" s="14"/>
      <c r="H122" s="14"/>
      <c r="I122" s="14"/>
      <c r="J122" s="14"/>
      <c r="K122" s="14"/>
      <c r="L122" s="23"/>
      <c r="M122" s="23"/>
      <c r="N122" s="23"/>
      <c r="O122" s="23"/>
      <c r="P122" s="24" t="str">
        <f aca="false">IF($A122="","",L122+M122+N122+O122)</f>
        <v/>
      </c>
      <c r="Q122" s="22" t="str">
        <f aca="false">IF($A122="","",IFERROR(INDEX(Risk!$D$2:$D$301,MATCH($A122,Policy!$A$2:$A$301,0)),0))</f>
        <v/>
      </c>
      <c r="R122" s="24" t="str">
        <f aca="false">IF($A122="","",L122*Q122/100)</f>
        <v/>
      </c>
      <c r="S122" s="24" t="str">
        <f aca="false">IF($A122="","",M122*Q122/100)</f>
        <v/>
      </c>
      <c r="T122" s="24" t="str">
        <f aca="false">IF($A122="","",N122*Q122/100)</f>
        <v/>
      </c>
      <c r="U122" s="24" t="str">
        <f aca="false">IF($A122="","",O122*Q122/100)</f>
        <v/>
      </c>
      <c r="V122" s="24" t="str">
        <f aca="false">IF($A122="","",R122+S122+T122+U122)</f>
        <v/>
      </c>
      <c r="W122" s="14"/>
      <c r="X122" s="15"/>
      <c r="Y122" s="23"/>
      <c r="Z122" s="14"/>
    </row>
    <row r="123" customFormat="false" ht="15" hidden="false" customHeight="false" outlineLevel="0" collapsed="false">
      <c r="A123" s="14"/>
      <c r="B123" s="17" t="str">
        <f aca="false">IF($A123="","",IFERROR(INDEX(Policy!$B$2:$B$301,MATCH($A123,Policy!$A$2:$A$301,0)),"MRO không có"))</f>
        <v/>
      </c>
      <c r="C123" s="17" t="str">
        <f aca="false">IF($A123="","",IFERROR(INDEX(Policy!$E$2:$E$301,MATCH($A123,Policy!$A$2:$A$301,0)),"MRO không có"))</f>
        <v/>
      </c>
      <c r="D123" s="14"/>
      <c r="E123" s="15"/>
      <c r="F123" s="15"/>
      <c r="G123" s="14"/>
      <c r="H123" s="14"/>
      <c r="I123" s="14"/>
      <c r="J123" s="14"/>
      <c r="K123" s="14"/>
      <c r="L123" s="23"/>
      <c r="M123" s="23"/>
      <c r="N123" s="23"/>
      <c r="O123" s="23"/>
      <c r="P123" s="24" t="str">
        <f aca="false">IF($A123="","",L123+M123+N123+O123)</f>
        <v/>
      </c>
      <c r="Q123" s="22" t="str">
        <f aca="false">IF($A123="","",IFERROR(INDEX(Risk!$D$2:$D$301,MATCH($A123,Policy!$A$2:$A$301,0)),0))</f>
        <v/>
      </c>
      <c r="R123" s="24" t="str">
        <f aca="false">IF($A123="","",L123*Q123/100)</f>
        <v/>
      </c>
      <c r="S123" s="24" t="str">
        <f aca="false">IF($A123="","",M123*Q123/100)</f>
        <v/>
      </c>
      <c r="T123" s="24" t="str">
        <f aca="false">IF($A123="","",N123*Q123/100)</f>
        <v/>
      </c>
      <c r="U123" s="24" t="str">
        <f aca="false">IF($A123="","",O123*Q123/100)</f>
        <v/>
      </c>
      <c r="V123" s="24" t="str">
        <f aca="false">IF($A123="","",R123+S123+T123+U123)</f>
        <v/>
      </c>
      <c r="W123" s="14"/>
      <c r="X123" s="15"/>
      <c r="Y123" s="23"/>
      <c r="Z123" s="14"/>
    </row>
    <row r="124" customFormat="false" ht="15" hidden="false" customHeight="false" outlineLevel="0" collapsed="false">
      <c r="A124" s="14"/>
      <c r="B124" s="17" t="str">
        <f aca="false">IF($A124="","",IFERROR(INDEX(Policy!$B$2:$B$301,MATCH($A124,Policy!$A$2:$A$301,0)),"MRO không có"))</f>
        <v/>
      </c>
      <c r="C124" s="17" t="str">
        <f aca="false">IF($A124="","",IFERROR(INDEX(Policy!$E$2:$E$301,MATCH($A124,Policy!$A$2:$A$301,0)),"MRO không có"))</f>
        <v/>
      </c>
      <c r="D124" s="14"/>
      <c r="E124" s="15"/>
      <c r="F124" s="15"/>
      <c r="G124" s="14"/>
      <c r="H124" s="14"/>
      <c r="I124" s="14"/>
      <c r="J124" s="14"/>
      <c r="K124" s="14"/>
      <c r="L124" s="23"/>
      <c r="M124" s="23"/>
      <c r="N124" s="23"/>
      <c r="O124" s="23"/>
      <c r="P124" s="24" t="str">
        <f aca="false">IF($A124="","",L124+M124+N124+O124)</f>
        <v/>
      </c>
      <c r="Q124" s="22" t="str">
        <f aca="false">IF($A124="","",IFERROR(INDEX(Risk!$D$2:$D$301,MATCH($A124,Policy!$A$2:$A$301,0)),0))</f>
        <v/>
      </c>
      <c r="R124" s="24" t="str">
        <f aca="false">IF($A124="","",L124*Q124/100)</f>
        <v/>
      </c>
      <c r="S124" s="24" t="str">
        <f aca="false">IF($A124="","",M124*Q124/100)</f>
        <v/>
      </c>
      <c r="T124" s="24" t="str">
        <f aca="false">IF($A124="","",N124*Q124/100)</f>
        <v/>
      </c>
      <c r="U124" s="24" t="str">
        <f aca="false">IF($A124="","",O124*Q124/100)</f>
        <v/>
      </c>
      <c r="V124" s="24" t="str">
        <f aca="false">IF($A124="","",R124+S124+T124+U124)</f>
        <v/>
      </c>
      <c r="W124" s="14"/>
      <c r="X124" s="15"/>
      <c r="Y124" s="23"/>
      <c r="Z124" s="14"/>
    </row>
    <row r="125" customFormat="false" ht="15" hidden="false" customHeight="false" outlineLevel="0" collapsed="false">
      <c r="A125" s="14"/>
      <c r="B125" s="17" t="str">
        <f aca="false">IF($A125="","",IFERROR(INDEX(Policy!$B$2:$B$301,MATCH($A125,Policy!$A$2:$A$301,0)),"MRO không có"))</f>
        <v/>
      </c>
      <c r="C125" s="17" t="str">
        <f aca="false">IF($A125="","",IFERROR(INDEX(Policy!$E$2:$E$301,MATCH($A125,Policy!$A$2:$A$301,0)),"MRO không có"))</f>
        <v/>
      </c>
      <c r="D125" s="14"/>
      <c r="E125" s="15"/>
      <c r="F125" s="15"/>
      <c r="G125" s="14"/>
      <c r="H125" s="14"/>
      <c r="I125" s="14"/>
      <c r="J125" s="14"/>
      <c r="K125" s="14"/>
      <c r="L125" s="23"/>
      <c r="M125" s="23"/>
      <c r="N125" s="23"/>
      <c r="O125" s="23"/>
      <c r="P125" s="24" t="str">
        <f aca="false">IF($A125="","",L125+M125+N125+O125)</f>
        <v/>
      </c>
      <c r="Q125" s="22" t="str">
        <f aca="false">IF($A125="","",IFERROR(INDEX(Risk!$D$2:$D$301,MATCH($A125,Policy!$A$2:$A$301,0)),0))</f>
        <v/>
      </c>
      <c r="R125" s="24" t="str">
        <f aca="false">IF($A125="","",L125*Q125/100)</f>
        <v/>
      </c>
      <c r="S125" s="24" t="str">
        <f aca="false">IF($A125="","",M125*Q125/100)</f>
        <v/>
      </c>
      <c r="T125" s="24" t="str">
        <f aca="false">IF($A125="","",N125*Q125/100)</f>
        <v/>
      </c>
      <c r="U125" s="24" t="str">
        <f aca="false">IF($A125="","",O125*Q125/100)</f>
        <v/>
      </c>
      <c r="V125" s="24" t="str">
        <f aca="false">IF($A125="","",R125+S125+T125+U125)</f>
        <v/>
      </c>
      <c r="W125" s="14"/>
      <c r="X125" s="15"/>
      <c r="Y125" s="23"/>
      <c r="Z125" s="14"/>
    </row>
    <row r="126" customFormat="false" ht="15" hidden="false" customHeight="false" outlineLevel="0" collapsed="false">
      <c r="A126" s="14"/>
      <c r="B126" s="17" t="str">
        <f aca="false">IF($A126="","",IFERROR(INDEX(Policy!$B$2:$B$301,MATCH($A126,Policy!$A$2:$A$301,0)),"MRO không có"))</f>
        <v/>
      </c>
      <c r="C126" s="17" t="str">
        <f aca="false">IF($A126="","",IFERROR(INDEX(Policy!$E$2:$E$301,MATCH($A126,Policy!$A$2:$A$301,0)),"MRO không có"))</f>
        <v/>
      </c>
      <c r="D126" s="14"/>
      <c r="E126" s="15"/>
      <c r="F126" s="15"/>
      <c r="G126" s="14"/>
      <c r="H126" s="14"/>
      <c r="I126" s="14"/>
      <c r="J126" s="14"/>
      <c r="K126" s="14"/>
      <c r="L126" s="23"/>
      <c r="M126" s="23"/>
      <c r="N126" s="23"/>
      <c r="O126" s="23"/>
      <c r="P126" s="24" t="str">
        <f aca="false">IF($A126="","",L126+M126+N126+O126)</f>
        <v/>
      </c>
      <c r="Q126" s="22" t="str">
        <f aca="false">IF($A126="","",IFERROR(INDEX(Risk!$D$2:$D$301,MATCH($A126,Policy!$A$2:$A$301,0)),0))</f>
        <v/>
      </c>
      <c r="R126" s="24" t="str">
        <f aca="false">IF($A126="","",L126*Q126/100)</f>
        <v/>
      </c>
      <c r="S126" s="24" t="str">
        <f aca="false">IF($A126="","",M126*Q126/100)</f>
        <v/>
      </c>
      <c r="T126" s="24" t="str">
        <f aca="false">IF($A126="","",N126*Q126/100)</f>
        <v/>
      </c>
      <c r="U126" s="24" t="str">
        <f aca="false">IF($A126="","",O126*Q126/100)</f>
        <v/>
      </c>
      <c r="V126" s="24" t="str">
        <f aca="false">IF($A126="","",R126+S126+T126+U126)</f>
        <v/>
      </c>
      <c r="W126" s="14"/>
      <c r="X126" s="15"/>
      <c r="Y126" s="23"/>
      <c r="Z126" s="14"/>
    </row>
    <row r="127" customFormat="false" ht="15" hidden="false" customHeight="false" outlineLevel="0" collapsed="false">
      <c r="A127" s="14"/>
      <c r="B127" s="17" t="str">
        <f aca="false">IF($A127="","",IFERROR(INDEX(Policy!$B$2:$B$301,MATCH($A127,Policy!$A$2:$A$301,0)),"MRO không có"))</f>
        <v/>
      </c>
      <c r="C127" s="17" t="str">
        <f aca="false">IF($A127="","",IFERROR(INDEX(Policy!$E$2:$E$301,MATCH($A127,Policy!$A$2:$A$301,0)),"MRO không có"))</f>
        <v/>
      </c>
      <c r="D127" s="14"/>
      <c r="E127" s="15"/>
      <c r="F127" s="15"/>
      <c r="G127" s="14"/>
      <c r="H127" s="14"/>
      <c r="I127" s="14"/>
      <c r="J127" s="14"/>
      <c r="K127" s="14"/>
      <c r="L127" s="23"/>
      <c r="M127" s="23"/>
      <c r="N127" s="23"/>
      <c r="O127" s="23"/>
      <c r="P127" s="24" t="str">
        <f aca="false">IF($A127="","",L127+M127+N127+O127)</f>
        <v/>
      </c>
      <c r="Q127" s="22" t="str">
        <f aca="false">IF($A127="","",IFERROR(INDEX(Risk!$D$2:$D$301,MATCH($A127,Policy!$A$2:$A$301,0)),0))</f>
        <v/>
      </c>
      <c r="R127" s="24" t="str">
        <f aca="false">IF($A127="","",L127*Q127/100)</f>
        <v/>
      </c>
      <c r="S127" s="24" t="str">
        <f aca="false">IF($A127="","",M127*Q127/100)</f>
        <v/>
      </c>
      <c r="T127" s="24" t="str">
        <f aca="false">IF($A127="","",N127*Q127/100)</f>
        <v/>
      </c>
      <c r="U127" s="24" t="str">
        <f aca="false">IF($A127="","",O127*Q127/100)</f>
        <v/>
      </c>
      <c r="V127" s="24" t="str">
        <f aca="false">IF($A127="","",R127+S127+T127+U127)</f>
        <v/>
      </c>
      <c r="W127" s="14"/>
      <c r="X127" s="15"/>
      <c r="Y127" s="23"/>
      <c r="Z127" s="14"/>
    </row>
    <row r="128" customFormat="false" ht="15" hidden="false" customHeight="false" outlineLevel="0" collapsed="false">
      <c r="A128" s="14"/>
      <c r="B128" s="17" t="str">
        <f aca="false">IF($A128="","",IFERROR(INDEX(Policy!$B$2:$B$301,MATCH($A128,Policy!$A$2:$A$301,0)),"MRO không có"))</f>
        <v/>
      </c>
      <c r="C128" s="17" t="str">
        <f aca="false">IF($A128="","",IFERROR(INDEX(Policy!$E$2:$E$301,MATCH($A128,Policy!$A$2:$A$301,0)),"MRO không có"))</f>
        <v/>
      </c>
      <c r="D128" s="14"/>
      <c r="E128" s="15"/>
      <c r="F128" s="15"/>
      <c r="G128" s="14"/>
      <c r="H128" s="14"/>
      <c r="I128" s="14"/>
      <c r="J128" s="14"/>
      <c r="K128" s="14"/>
      <c r="L128" s="23"/>
      <c r="M128" s="23"/>
      <c r="N128" s="23"/>
      <c r="O128" s="23"/>
      <c r="P128" s="24" t="str">
        <f aca="false">IF($A128="","",L128+M128+N128+O128)</f>
        <v/>
      </c>
      <c r="Q128" s="22" t="str">
        <f aca="false">IF($A128="","",IFERROR(INDEX(Risk!$D$2:$D$301,MATCH($A128,Policy!$A$2:$A$301,0)),0))</f>
        <v/>
      </c>
      <c r="R128" s="24" t="str">
        <f aca="false">IF($A128="","",L128*Q128/100)</f>
        <v/>
      </c>
      <c r="S128" s="24" t="str">
        <f aca="false">IF($A128="","",M128*Q128/100)</f>
        <v/>
      </c>
      <c r="T128" s="24" t="str">
        <f aca="false">IF($A128="","",N128*Q128/100)</f>
        <v/>
      </c>
      <c r="U128" s="24" t="str">
        <f aca="false">IF($A128="","",O128*Q128/100)</f>
        <v/>
      </c>
      <c r="V128" s="24" t="str">
        <f aca="false">IF($A128="","",R128+S128+T128+U128)</f>
        <v/>
      </c>
      <c r="W128" s="14"/>
      <c r="X128" s="15"/>
      <c r="Y128" s="23"/>
      <c r="Z128" s="14"/>
    </row>
    <row r="129" customFormat="false" ht="15" hidden="false" customHeight="false" outlineLevel="0" collapsed="false">
      <c r="A129" s="14"/>
      <c r="B129" s="17" t="str">
        <f aca="false">IF($A129="","",IFERROR(INDEX(Policy!$B$2:$B$301,MATCH($A129,Policy!$A$2:$A$301,0)),"MRO không có"))</f>
        <v/>
      </c>
      <c r="C129" s="17" t="str">
        <f aca="false">IF($A129="","",IFERROR(INDEX(Policy!$E$2:$E$301,MATCH($A129,Policy!$A$2:$A$301,0)),"MRO không có"))</f>
        <v/>
      </c>
      <c r="D129" s="14"/>
      <c r="E129" s="15"/>
      <c r="F129" s="15"/>
      <c r="G129" s="14"/>
      <c r="H129" s="14"/>
      <c r="I129" s="14"/>
      <c r="J129" s="14"/>
      <c r="K129" s="14"/>
      <c r="L129" s="23"/>
      <c r="M129" s="23"/>
      <c r="N129" s="23"/>
      <c r="O129" s="23"/>
      <c r="P129" s="24" t="str">
        <f aca="false">IF($A129="","",L129+M129+N129+O129)</f>
        <v/>
      </c>
      <c r="Q129" s="22" t="str">
        <f aca="false">IF($A129="","",IFERROR(INDEX(Risk!$D$2:$D$301,MATCH($A129,Policy!$A$2:$A$301,0)),0))</f>
        <v/>
      </c>
      <c r="R129" s="24" t="str">
        <f aca="false">IF($A129="","",L129*Q129/100)</f>
        <v/>
      </c>
      <c r="S129" s="24" t="str">
        <f aca="false">IF($A129="","",M129*Q129/100)</f>
        <v/>
      </c>
      <c r="T129" s="24" t="str">
        <f aca="false">IF($A129="","",N129*Q129/100)</f>
        <v/>
      </c>
      <c r="U129" s="24" t="str">
        <f aca="false">IF($A129="","",O129*Q129/100)</f>
        <v/>
      </c>
      <c r="V129" s="24" t="str">
        <f aca="false">IF($A129="","",R129+S129+T129+U129)</f>
        <v/>
      </c>
      <c r="W129" s="14"/>
      <c r="X129" s="15"/>
      <c r="Y129" s="23"/>
      <c r="Z129" s="14"/>
    </row>
    <row r="130" customFormat="false" ht="15" hidden="false" customHeight="false" outlineLevel="0" collapsed="false">
      <c r="A130" s="14"/>
      <c r="B130" s="17" t="str">
        <f aca="false">IF($A130="","",IFERROR(INDEX(Policy!$B$2:$B$301,MATCH($A130,Policy!$A$2:$A$301,0)),"MRO không có"))</f>
        <v/>
      </c>
      <c r="C130" s="17" t="str">
        <f aca="false">IF($A130="","",IFERROR(INDEX(Policy!$E$2:$E$301,MATCH($A130,Policy!$A$2:$A$301,0)),"MRO không có"))</f>
        <v/>
      </c>
      <c r="D130" s="14"/>
      <c r="E130" s="15"/>
      <c r="F130" s="15"/>
      <c r="G130" s="14"/>
      <c r="H130" s="14"/>
      <c r="I130" s="14"/>
      <c r="J130" s="14"/>
      <c r="K130" s="14"/>
      <c r="L130" s="23"/>
      <c r="M130" s="23"/>
      <c r="N130" s="23"/>
      <c r="O130" s="23"/>
      <c r="P130" s="24" t="str">
        <f aca="false">IF($A130="","",L130+M130+N130+O130)</f>
        <v/>
      </c>
      <c r="Q130" s="22" t="str">
        <f aca="false">IF($A130="","",IFERROR(INDEX(Risk!$D$2:$D$301,MATCH($A130,Policy!$A$2:$A$301,0)),0))</f>
        <v/>
      </c>
      <c r="R130" s="24" t="str">
        <f aca="false">IF($A130="","",L130*Q130/100)</f>
        <v/>
      </c>
      <c r="S130" s="24" t="str">
        <f aca="false">IF($A130="","",M130*Q130/100)</f>
        <v/>
      </c>
      <c r="T130" s="24" t="str">
        <f aca="false">IF($A130="","",N130*Q130/100)</f>
        <v/>
      </c>
      <c r="U130" s="24" t="str">
        <f aca="false">IF($A130="","",O130*Q130/100)</f>
        <v/>
      </c>
      <c r="V130" s="24" t="str">
        <f aca="false">IF($A130="","",R130+S130+T130+U130)</f>
        <v/>
      </c>
      <c r="W130" s="14"/>
      <c r="X130" s="15"/>
      <c r="Y130" s="23"/>
      <c r="Z130" s="14"/>
    </row>
    <row r="131" customFormat="false" ht="15" hidden="false" customHeight="false" outlineLevel="0" collapsed="false">
      <c r="A131" s="14"/>
      <c r="B131" s="17" t="str">
        <f aca="false">IF($A131="","",IFERROR(INDEX(Policy!$B$2:$B$301,MATCH($A131,Policy!$A$2:$A$301,0)),"MRO không có"))</f>
        <v/>
      </c>
      <c r="C131" s="17" t="str">
        <f aca="false">IF($A131="","",IFERROR(INDEX(Policy!$E$2:$E$301,MATCH($A131,Policy!$A$2:$A$301,0)),"MRO không có"))</f>
        <v/>
      </c>
      <c r="D131" s="14"/>
      <c r="E131" s="15"/>
      <c r="F131" s="15"/>
      <c r="G131" s="14"/>
      <c r="H131" s="14"/>
      <c r="I131" s="14"/>
      <c r="J131" s="14"/>
      <c r="K131" s="14"/>
      <c r="L131" s="23"/>
      <c r="M131" s="23"/>
      <c r="N131" s="23"/>
      <c r="O131" s="23"/>
      <c r="P131" s="24" t="str">
        <f aca="false">IF($A131="","",L131+M131+N131+O131)</f>
        <v/>
      </c>
      <c r="Q131" s="22" t="str">
        <f aca="false">IF($A131="","",IFERROR(INDEX(Risk!$D$2:$D$301,MATCH($A131,Policy!$A$2:$A$301,0)),0))</f>
        <v/>
      </c>
      <c r="R131" s="24" t="str">
        <f aca="false">IF($A131="","",L131*Q131/100)</f>
        <v/>
      </c>
      <c r="S131" s="24" t="str">
        <f aca="false">IF($A131="","",M131*Q131/100)</f>
        <v/>
      </c>
      <c r="T131" s="24" t="str">
        <f aca="false">IF($A131="","",N131*Q131/100)</f>
        <v/>
      </c>
      <c r="U131" s="24" t="str">
        <f aca="false">IF($A131="","",O131*Q131/100)</f>
        <v/>
      </c>
      <c r="V131" s="24" t="str">
        <f aca="false">IF($A131="","",R131+S131+T131+U131)</f>
        <v/>
      </c>
      <c r="W131" s="14"/>
      <c r="X131" s="15"/>
      <c r="Y131" s="23"/>
      <c r="Z131" s="14"/>
    </row>
    <row r="132" customFormat="false" ht="15" hidden="false" customHeight="false" outlineLevel="0" collapsed="false">
      <c r="A132" s="14"/>
      <c r="B132" s="17" t="str">
        <f aca="false">IF($A132="","",IFERROR(INDEX(Policy!$B$2:$B$301,MATCH($A132,Policy!$A$2:$A$301,0)),"MRO không có"))</f>
        <v/>
      </c>
      <c r="C132" s="17" t="str">
        <f aca="false">IF($A132="","",IFERROR(INDEX(Policy!$E$2:$E$301,MATCH($A132,Policy!$A$2:$A$301,0)),"MRO không có"))</f>
        <v/>
      </c>
      <c r="D132" s="14"/>
      <c r="E132" s="15"/>
      <c r="F132" s="15"/>
      <c r="G132" s="14"/>
      <c r="H132" s="14"/>
      <c r="I132" s="14"/>
      <c r="J132" s="14"/>
      <c r="K132" s="14"/>
      <c r="L132" s="23"/>
      <c r="M132" s="23"/>
      <c r="N132" s="23"/>
      <c r="O132" s="23"/>
      <c r="P132" s="24" t="str">
        <f aca="false">IF($A132="","",L132+M132+N132+O132)</f>
        <v/>
      </c>
      <c r="Q132" s="22" t="str">
        <f aca="false">IF($A132="","",IFERROR(INDEX(Risk!$D$2:$D$301,MATCH($A132,Policy!$A$2:$A$301,0)),0))</f>
        <v/>
      </c>
      <c r="R132" s="24" t="str">
        <f aca="false">IF($A132="","",L132*Q132/100)</f>
        <v/>
      </c>
      <c r="S132" s="24" t="str">
        <f aca="false">IF($A132="","",M132*Q132/100)</f>
        <v/>
      </c>
      <c r="T132" s="24" t="str">
        <f aca="false">IF($A132="","",N132*Q132/100)</f>
        <v/>
      </c>
      <c r="U132" s="24" t="str">
        <f aca="false">IF($A132="","",O132*Q132/100)</f>
        <v/>
      </c>
      <c r="V132" s="24" t="str">
        <f aca="false">IF($A132="","",R132+S132+T132+U132)</f>
        <v/>
      </c>
      <c r="W132" s="14"/>
      <c r="X132" s="15"/>
      <c r="Y132" s="23"/>
      <c r="Z132" s="14"/>
    </row>
    <row r="133" customFormat="false" ht="15" hidden="false" customHeight="false" outlineLevel="0" collapsed="false">
      <c r="A133" s="14"/>
      <c r="B133" s="17" t="str">
        <f aca="false">IF($A133="","",IFERROR(INDEX(Policy!$B$2:$B$301,MATCH($A133,Policy!$A$2:$A$301,0)),"MRO không có"))</f>
        <v/>
      </c>
      <c r="C133" s="17" t="str">
        <f aca="false">IF($A133="","",IFERROR(INDEX(Policy!$E$2:$E$301,MATCH($A133,Policy!$A$2:$A$301,0)),"MRO không có"))</f>
        <v/>
      </c>
      <c r="D133" s="14"/>
      <c r="E133" s="15"/>
      <c r="F133" s="15"/>
      <c r="G133" s="14"/>
      <c r="H133" s="14"/>
      <c r="I133" s="14"/>
      <c r="J133" s="14"/>
      <c r="K133" s="14"/>
      <c r="L133" s="23"/>
      <c r="M133" s="23"/>
      <c r="N133" s="23"/>
      <c r="O133" s="23"/>
      <c r="P133" s="24" t="str">
        <f aca="false">IF($A133="","",L133+M133+N133+O133)</f>
        <v/>
      </c>
      <c r="Q133" s="22" t="str">
        <f aca="false">IF($A133="","",IFERROR(INDEX(Risk!$D$2:$D$301,MATCH($A133,Policy!$A$2:$A$301,0)),0))</f>
        <v/>
      </c>
      <c r="R133" s="24" t="str">
        <f aca="false">IF($A133="","",L133*Q133/100)</f>
        <v/>
      </c>
      <c r="S133" s="24" t="str">
        <f aca="false">IF($A133="","",M133*Q133/100)</f>
        <v/>
      </c>
      <c r="T133" s="24" t="str">
        <f aca="false">IF($A133="","",N133*Q133/100)</f>
        <v/>
      </c>
      <c r="U133" s="24" t="str">
        <f aca="false">IF($A133="","",O133*Q133/100)</f>
        <v/>
      </c>
      <c r="V133" s="24" t="str">
        <f aca="false">IF($A133="","",R133+S133+T133+U133)</f>
        <v/>
      </c>
      <c r="W133" s="14"/>
      <c r="X133" s="15"/>
      <c r="Y133" s="23"/>
      <c r="Z133" s="14"/>
    </row>
    <row r="134" customFormat="false" ht="15" hidden="false" customHeight="false" outlineLevel="0" collapsed="false">
      <c r="A134" s="14"/>
      <c r="B134" s="17" t="str">
        <f aca="false">IF($A134="","",IFERROR(INDEX(Policy!$B$2:$B$301,MATCH($A134,Policy!$A$2:$A$301,0)),"MRO không có"))</f>
        <v/>
      </c>
      <c r="C134" s="17" t="str">
        <f aca="false">IF($A134="","",IFERROR(INDEX(Policy!$E$2:$E$301,MATCH($A134,Policy!$A$2:$A$301,0)),"MRO không có"))</f>
        <v/>
      </c>
      <c r="D134" s="14"/>
      <c r="E134" s="15"/>
      <c r="F134" s="15"/>
      <c r="G134" s="14"/>
      <c r="H134" s="14"/>
      <c r="I134" s="14"/>
      <c r="J134" s="14"/>
      <c r="K134" s="14"/>
      <c r="L134" s="23"/>
      <c r="M134" s="23"/>
      <c r="N134" s="23"/>
      <c r="O134" s="23"/>
      <c r="P134" s="24" t="str">
        <f aca="false">IF($A134="","",L134+M134+N134+O134)</f>
        <v/>
      </c>
      <c r="Q134" s="22" t="str">
        <f aca="false">IF($A134="","",IFERROR(INDEX(Risk!$D$2:$D$301,MATCH($A134,Policy!$A$2:$A$301,0)),0))</f>
        <v/>
      </c>
      <c r="R134" s="24" t="str">
        <f aca="false">IF($A134="","",L134*Q134/100)</f>
        <v/>
      </c>
      <c r="S134" s="24" t="str">
        <f aca="false">IF($A134="","",M134*Q134/100)</f>
        <v/>
      </c>
      <c r="T134" s="24" t="str">
        <f aca="false">IF($A134="","",N134*Q134/100)</f>
        <v/>
      </c>
      <c r="U134" s="24" t="str">
        <f aca="false">IF($A134="","",O134*Q134/100)</f>
        <v/>
      </c>
      <c r="V134" s="24" t="str">
        <f aca="false">IF($A134="","",R134+S134+T134+U134)</f>
        <v/>
      </c>
      <c r="W134" s="14"/>
      <c r="X134" s="15"/>
      <c r="Y134" s="23"/>
      <c r="Z134" s="14"/>
    </row>
    <row r="135" customFormat="false" ht="15" hidden="false" customHeight="false" outlineLevel="0" collapsed="false">
      <c r="A135" s="14"/>
      <c r="B135" s="17" t="str">
        <f aca="false">IF($A135="","",IFERROR(INDEX(Policy!$B$2:$B$301,MATCH($A135,Policy!$A$2:$A$301,0)),"MRO không có"))</f>
        <v/>
      </c>
      <c r="C135" s="17" t="str">
        <f aca="false">IF($A135="","",IFERROR(INDEX(Policy!$E$2:$E$301,MATCH($A135,Policy!$A$2:$A$301,0)),"MRO không có"))</f>
        <v/>
      </c>
      <c r="D135" s="14"/>
      <c r="E135" s="15"/>
      <c r="F135" s="15"/>
      <c r="G135" s="14"/>
      <c r="H135" s="14"/>
      <c r="I135" s="14"/>
      <c r="J135" s="14"/>
      <c r="K135" s="14"/>
      <c r="L135" s="23"/>
      <c r="M135" s="23"/>
      <c r="N135" s="23"/>
      <c r="O135" s="23"/>
      <c r="P135" s="24" t="str">
        <f aca="false">IF($A135="","",L135+M135+N135+O135)</f>
        <v/>
      </c>
      <c r="Q135" s="22" t="str">
        <f aca="false">IF($A135="","",IFERROR(INDEX(Risk!$D$2:$D$301,MATCH($A135,Policy!$A$2:$A$301,0)),0))</f>
        <v/>
      </c>
      <c r="R135" s="24" t="str">
        <f aca="false">IF($A135="","",L135*Q135/100)</f>
        <v/>
      </c>
      <c r="S135" s="24" t="str">
        <f aca="false">IF($A135="","",M135*Q135/100)</f>
        <v/>
      </c>
      <c r="T135" s="24" t="str">
        <f aca="false">IF($A135="","",N135*Q135/100)</f>
        <v/>
      </c>
      <c r="U135" s="24" t="str">
        <f aca="false">IF($A135="","",O135*Q135/100)</f>
        <v/>
      </c>
      <c r="V135" s="24" t="str">
        <f aca="false">IF($A135="","",R135+S135+T135+U135)</f>
        <v/>
      </c>
      <c r="W135" s="14"/>
      <c r="X135" s="15"/>
      <c r="Y135" s="23"/>
      <c r="Z135" s="14"/>
    </row>
    <row r="136" customFormat="false" ht="15" hidden="false" customHeight="false" outlineLevel="0" collapsed="false">
      <c r="A136" s="14"/>
      <c r="B136" s="17" t="str">
        <f aca="false">IF($A136="","",IFERROR(INDEX(Policy!$B$2:$B$301,MATCH($A136,Policy!$A$2:$A$301,0)),"MRO không có"))</f>
        <v/>
      </c>
      <c r="C136" s="17" t="str">
        <f aca="false">IF($A136="","",IFERROR(INDEX(Policy!$E$2:$E$301,MATCH($A136,Policy!$A$2:$A$301,0)),"MRO không có"))</f>
        <v/>
      </c>
      <c r="D136" s="14"/>
      <c r="E136" s="15"/>
      <c r="F136" s="15"/>
      <c r="G136" s="14"/>
      <c r="H136" s="14"/>
      <c r="I136" s="14"/>
      <c r="J136" s="14"/>
      <c r="K136" s="14"/>
      <c r="L136" s="23"/>
      <c r="M136" s="23"/>
      <c r="N136" s="23"/>
      <c r="O136" s="23"/>
      <c r="P136" s="24" t="str">
        <f aca="false">IF($A136="","",L136+M136+N136+O136)</f>
        <v/>
      </c>
      <c r="Q136" s="22" t="str">
        <f aca="false">IF($A136="","",IFERROR(INDEX(Risk!$D$2:$D$301,MATCH($A136,Policy!$A$2:$A$301,0)),0))</f>
        <v/>
      </c>
      <c r="R136" s="24" t="str">
        <f aca="false">IF($A136="","",L136*Q136/100)</f>
        <v/>
      </c>
      <c r="S136" s="24" t="str">
        <f aca="false">IF($A136="","",M136*Q136/100)</f>
        <v/>
      </c>
      <c r="T136" s="24" t="str">
        <f aca="false">IF($A136="","",N136*Q136/100)</f>
        <v/>
      </c>
      <c r="U136" s="24" t="str">
        <f aca="false">IF($A136="","",O136*Q136/100)</f>
        <v/>
      </c>
      <c r="V136" s="24" t="str">
        <f aca="false">IF($A136="","",R136+S136+T136+U136)</f>
        <v/>
      </c>
      <c r="W136" s="14"/>
      <c r="X136" s="15"/>
      <c r="Y136" s="23"/>
      <c r="Z136" s="14"/>
    </row>
    <row r="137" customFormat="false" ht="15" hidden="false" customHeight="false" outlineLevel="0" collapsed="false">
      <c r="A137" s="14"/>
      <c r="B137" s="17" t="str">
        <f aca="false">IF($A137="","",IFERROR(INDEX(Policy!$B$2:$B$301,MATCH($A137,Policy!$A$2:$A$301,0)),"MRO không có"))</f>
        <v/>
      </c>
      <c r="C137" s="17" t="str">
        <f aca="false">IF($A137="","",IFERROR(INDEX(Policy!$E$2:$E$301,MATCH($A137,Policy!$A$2:$A$301,0)),"MRO không có"))</f>
        <v/>
      </c>
      <c r="D137" s="14"/>
      <c r="E137" s="15"/>
      <c r="F137" s="15"/>
      <c r="G137" s="14"/>
      <c r="H137" s="14"/>
      <c r="I137" s="14"/>
      <c r="J137" s="14"/>
      <c r="K137" s="14"/>
      <c r="L137" s="23"/>
      <c r="M137" s="23"/>
      <c r="N137" s="23"/>
      <c r="O137" s="23"/>
      <c r="P137" s="24" t="str">
        <f aca="false">IF($A137="","",L137+M137+N137+O137)</f>
        <v/>
      </c>
      <c r="Q137" s="22" t="str">
        <f aca="false">IF($A137="","",IFERROR(INDEX(Risk!$D$2:$D$301,MATCH($A137,Policy!$A$2:$A$301,0)),0))</f>
        <v/>
      </c>
      <c r="R137" s="24" t="str">
        <f aca="false">IF($A137="","",L137*Q137/100)</f>
        <v/>
      </c>
      <c r="S137" s="24" t="str">
        <f aca="false">IF($A137="","",M137*Q137/100)</f>
        <v/>
      </c>
      <c r="T137" s="24" t="str">
        <f aca="false">IF($A137="","",N137*Q137/100)</f>
        <v/>
      </c>
      <c r="U137" s="24" t="str">
        <f aca="false">IF($A137="","",O137*Q137/100)</f>
        <v/>
      </c>
      <c r="V137" s="24" t="str">
        <f aca="false">IF($A137="","",R137+S137+T137+U137)</f>
        <v/>
      </c>
      <c r="W137" s="14"/>
      <c r="X137" s="15"/>
      <c r="Y137" s="23"/>
      <c r="Z137" s="14"/>
    </row>
    <row r="138" customFormat="false" ht="15" hidden="false" customHeight="false" outlineLevel="0" collapsed="false">
      <c r="A138" s="14"/>
      <c r="B138" s="17" t="str">
        <f aca="false">IF($A138="","",IFERROR(INDEX(Policy!$B$2:$B$301,MATCH($A138,Policy!$A$2:$A$301,0)),"MRO không có"))</f>
        <v/>
      </c>
      <c r="C138" s="17" t="str">
        <f aca="false">IF($A138="","",IFERROR(INDEX(Policy!$E$2:$E$301,MATCH($A138,Policy!$A$2:$A$301,0)),"MRO không có"))</f>
        <v/>
      </c>
      <c r="D138" s="14"/>
      <c r="E138" s="15"/>
      <c r="F138" s="15"/>
      <c r="G138" s="14"/>
      <c r="H138" s="14"/>
      <c r="I138" s="14"/>
      <c r="J138" s="14"/>
      <c r="K138" s="14"/>
      <c r="L138" s="23"/>
      <c r="M138" s="23"/>
      <c r="N138" s="23"/>
      <c r="O138" s="23"/>
      <c r="P138" s="24" t="str">
        <f aca="false">IF($A138="","",L138+M138+N138+O138)</f>
        <v/>
      </c>
      <c r="Q138" s="22" t="str">
        <f aca="false">IF($A138="","",IFERROR(INDEX(Risk!$D$2:$D$301,MATCH($A138,Policy!$A$2:$A$301,0)),0))</f>
        <v/>
      </c>
      <c r="R138" s="24" t="str">
        <f aca="false">IF($A138="","",L138*Q138/100)</f>
        <v/>
      </c>
      <c r="S138" s="24" t="str">
        <f aca="false">IF($A138="","",M138*Q138/100)</f>
        <v/>
      </c>
      <c r="T138" s="24" t="str">
        <f aca="false">IF($A138="","",N138*Q138/100)</f>
        <v/>
      </c>
      <c r="U138" s="24" t="str">
        <f aca="false">IF($A138="","",O138*Q138/100)</f>
        <v/>
      </c>
      <c r="V138" s="24" t="str">
        <f aca="false">IF($A138="","",R138+S138+T138+U138)</f>
        <v/>
      </c>
      <c r="W138" s="14"/>
      <c r="X138" s="15"/>
      <c r="Y138" s="23"/>
      <c r="Z138" s="14"/>
    </row>
    <row r="139" customFormat="false" ht="15" hidden="false" customHeight="false" outlineLevel="0" collapsed="false">
      <c r="A139" s="14"/>
      <c r="B139" s="17" t="str">
        <f aca="false">IF($A139="","",IFERROR(INDEX(Policy!$B$2:$B$301,MATCH($A139,Policy!$A$2:$A$301,0)),"MRO không có"))</f>
        <v/>
      </c>
      <c r="C139" s="17" t="str">
        <f aca="false">IF($A139="","",IFERROR(INDEX(Policy!$E$2:$E$301,MATCH($A139,Policy!$A$2:$A$301,0)),"MRO không có"))</f>
        <v/>
      </c>
      <c r="D139" s="14"/>
      <c r="E139" s="15"/>
      <c r="F139" s="15"/>
      <c r="G139" s="14"/>
      <c r="H139" s="14"/>
      <c r="I139" s="14"/>
      <c r="J139" s="14"/>
      <c r="K139" s="14"/>
      <c r="L139" s="23"/>
      <c r="M139" s="23"/>
      <c r="N139" s="23"/>
      <c r="O139" s="23"/>
      <c r="P139" s="24" t="str">
        <f aca="false">IF($A139="","",L139+M139+N139+O139)</f>
        <v/>
      </c>
      <c r="Q139" s="22" t="str">
        <f aca="false">IF($A139="","",IFERROR(INDEX(Risk!$D$2:$D$301,MATCH($A139,Policy!$A$2:$A$301,0)),0))</f>
        <v/>
      </c>
      <c r="R139" s="24" t="str">
        <f aca="false">IF($A139="","",L139*Q139/100)</f>
        <v/>
      </c>
      <c r="S139" s="24" t="str">
        <f aca="false">IF($A139="","",M139*Q139/100)</f>
        <v/>
      </c>
      <c r="T139" s="24" t="str">
        <f aca="false">IF($A139="","",N139*Q139/100)</f>
        <v/>
      </c>
      <c r="U139" s="24" t="str">
        <f aca="false">IF($A139="","",O139*Q139/100)</f>
        <v/>
      </c>
      <c r="V139" s="24" t="str">
        <f aca="false">IF($A139="","",R139+S139+T139+U139)</f>
        <v/>
      </c>
      <c r="W139" s="14"/>
      <c r="X139" s="15"/>
      <c r="Y139" s="23"/>
      <c r="Z139" s="14"/>
    </row>
    <row r="140" customFormat="false" ht="15" hidden="false" customHeight="false" outlineLevel="0" collapsed="false">
      <c r="A140" s="14"/>
      <c r="B140" s="17" t="str">
        <f aca="false">IF($A140="","",IFERROR(INDEX(Policy!$B$2:$B$301,MATCH($A140,Policy!$A$2:$A$301,0)),"MRO không có"))</f>
        <v/>
      </c>
      <c r="C140" s="17" t="str">
        <f aca="false">IF($A140="","",IFERROR(INDEX(Policy!$E$2:$E$301,MATCH($A140,Policy!$A$2:$A$301,0)),"MRO không có"))</f>
        <v/>
      </c>
      <c r="D140" s="14"/>
      <c r="E140" s="15"/>
      <c r="F140" s="15"/>
      <c r="G140" s="14"/>
      <c r="H140" s="14"/>
      <c r="I140" s="14"/>
      <c r="J140" s="14"/>
      <c r="K140" s="14"/>
      <c r="L140" s="23"/>
      <c r="M140" s="23"/>
      <c r="N140" s="23"/>
      <c r="O140" s="23"/>
      <c r="P140" s="24" t="str">
        <f aca="false">IF($A140="","",L140+M140+N140+O140)</f>
        <v/>
      </c>
      <c r="Q140" s="22" t="str">
        <f aca="false">IF($A140="","",IFERROR(INDEX(Risk!$D$2:$D$301,MATCH($A140,Policy!$A$2:$A$301,0)),0))</f>
        <v/>
      </c>
      <c r="R140" s="24" t="str">
        <f aca="false">IF($A140="","",L140*Q140/100)</f>
        <v/>
      </c>
      <c r="S140" s="24" t="str">
        <f aca="false">IF($A140="","",M140*Q140/100)</f>
        <v/>
      </c>
      <c r="T140" s="24" t="str">
        <f aca="false">IF($A140="","",N140*Q140/100)</f>
        <v/>
      </c>
      <c r="U140" s="24" t="str">
        <f aca="false">IF($A140="","",O140*Q140/100)</f>
        <v/>
      </c>
      <c r="V140" s="24" t="str">
        <f aca="false">IF($A140="","",R140+S140+T140+U140)</f>
        <v/>
      </c>
      <c r="W140" s="14"/>
      <c r="X140" s="15"/>
      <c r="Y140" s="23"/>
      <c r="Z140" s="14"/>
    </row>
    <row r="141" customFormat="false" ht="15" hidden="false" customHeight="false" outlineLevel="0" collapsed="false">
      <c r="A141" s="14"/>
      <c r="B141" s="17" t="str">
        <f aca="false">IF($A141="","",IFERROR(INDEX(Policy!$B$2:$B$301,MATCH($A141,Policy!$A$2:$A$301,0)),"MRO không có"))</f>
        <v/>
      </c>
      <c r="C141" s="17" t="str">
        <f aca="false">IF($A141="","",IFERROR(INDEX(Policy!$E$2:$E$301,MATCH($A141,Policy!$A$2:$A$301,0)),"MRO không có"))</f>
        <v/>
      </c>
      <c r="D141" s="14"/>
      <c r="E141" s="15"/>
      <c r="F141" s="15"/>
      <c r="G141" s="14"/>
      <c r="H141" s="14"/>
      <c r="I141" s="14"/>
      <c r="J141" s="14"/>
      <c r="K141" s="14"/>
      <c r="L141" s="23"/>
      <c r="M141" s="23"/>
      <c r="N141" s="23"/>
      <c r="O141" s="23"/>
      <c r="P141" s="24" t="str">
        <f aca="false">IF($A141="","",L141+M141+N141+O141)</f>
        <v/>
      </c>
      <c r="Q141" s="22" t="str">
        <f aca="false">IF($A141="","",IFERROR(INDEX(Risk!$D$2:$D$301,MATCH($A141,Policy!$A$2:$A$301,0)),0))</f>
        <v/>
      </c>
      <c r="R141" s="24" t="str">
        <f aca="false">IF($A141="","",L141*Q141/100)</f>
        <v/>
      </c>
      <c r="S141" s="24" t="str">
        <f aca="false">IF($A141="","",M141*Q141/100)</f>
        <v/>
      </c>
      <c r="T141" s="24" t="str">
        <f aca="false">IF($A141="","",N141*Q141/100)</f>
        <v/>
      </c>
      <c r="U141" s="24" t="str">
        <f aca="false">IF($A141="","",O141*Q141/100)</f>
        <v/>
      </c>
      <c r="V141" s="24" t="str">
        <f aca="false">IF($A141="","",R141+S141+T141+U141)</f>
        <v/>
      </c>
      <c r="W141" s="14"/>
      <c r="X141" s="15"/>
      <c r="Y141" s="23"/>
      <c r="Z141" s="14"/>
    </row>
    <row r="142" customFormat="false" ht="15" hidden="false" customHeight="false" outlineLevel="0" collapsed="false">
      <c r="A142" s="14"/>
      <c r="B142" s="17" t="str">
        <f aca="false">IF($A142="","",IFERROR(INDEX(Policy!$B$2:$B$301,MATCH($A142,Policy!$A$2:$A$301,0)),"MRO không có"))</f>
        <v/>
      </c>
      <c r="C142" s="17" t="str">
        <f aca="false">IF($A142="","",IFERROR(INDEX(Policy!$E$2:$E$301,MATCH($A142,Policy!$A$2:$A$301,0)),"MRO không có"))</f>
        <v/>
      </c>
      <c r="D142" s="14"/>
      <c r="E142" s="15"/>
      <c r="F142" s="15"/>
      <c r="G142" s="14"/>
      <c r="H142" s="14"/>
      <c r="I142" s="14"/>
      <c r="J142" s="14"/>
      <c r="K142" s="14"/>
      <c r="L142" s="23"/>
      <c r="M142" s="23"/>
      <c r="N142" s="23"/>
      <c r="O142" s="23"/>
      <c r="P142" s="24" t="str">
        <f aca="false">IF($A142="","",L142+M142+N142+O142)</f>
        <v/>
      </c>
      <c r="Q142" s="22" t="str">
        <f aca="false">IF($A142="","",IFERROR(INDEX(Risk!$D$2:$D$301,MATCH($A142,Policy!$A$2:$A$301,0)),0))</f>
        <v/>
      </c>
      <c r="R142" s="24" t="str">
        <f aca="false">IF($A142="","",L142*Q142/100)</f>
        <v/>
      </c>
      <c r="S142" s="24" t="str">
        <f aca="false">IF($A142="","",M142*Q142/100)</f>
        <v/>
      </c>
      <c r="T142" s="24" t="str">
        <f aca="false">IF($A142="","",N142*Q142/100)</f>
        <v/>
      </c>
      <c r="U142" s="24" t="str">
        <f aca="false">IF($A142="","",O142*Q142/100)</f>
        <v/>
      </c>
      <c r="V142" s="24" t="str">
        <f aca="false">IF($A142="","",R142+S142+T142+U142)</f>
        <v/>
      </c>
      <c r="W142" s="14"/>
      <c r="X142" s="15"/>
      <c r="Y142" s="23"/>
      <c r="Z142" s="14"/>
    </row>
    <row r="143" customFormat="false" ht="15" hidden="false" customHeight="false" outlineLevel="0" collapsed="false">
      <c r="A143" s="14"/>
      <c r="B143" s="17" t="str">
        <f aca="false">IF($A143="","",IFERROR(INDEX(Policy!$B$2:$B$301,MATCH($A143,Policy!$A$2:$A$301,0)),"MRO không có"))</f>
        <v/>
      </c>
      <c r="C143" s="17" t="str">
        <f aca="false">IF($A143="","",IFERROR(INDEX(Policy!$E$2:$E$301,MATCH($A143,Policy!$A$2:$A$301,0)),"MRO không có"))</f>
        <v/>
      </c>
      <c r="D143" s="14"/>
      <c r="E143" s="15"/>
      <c r="F143" s="15"/>
      <c r="G143" s="14"/>
      <c r="H143" s="14"/>
      <c r="I143" s="14"/>
      <c r="J143" s="14"/>
      <c r="K143" s="14"/>
      <c r="L143" s="23"/>
      <c r="M143" s="23"/>
      <c r="N143" s="23"/>
      <c r="O143" s="23"/>
      <c r="P143" s="24" t="str">
        <f aca="false">IF($A143="","",L143+M143+N143+O143)</f>
        <v/>
      </c>
      <c r="Q143" s="22" t="str">
        <f aca="false">IF($A143="","",IFERROR(INDEX(Risk!$D$2:$D$301,MATCH($A143,Policy!$A$2:$A$301,0)),0))</f>
        <v/>
      </c>
      <c r="R143" s="24" t="str">
        <f aca="false">IF($A143="","",L143*Q143/100)</f>
        <v/>
      </c>
      <c r="S143" s="24" t="str">
        <f aca="false">IF($A143="","",M143*Q143/100)</f>
        <v/>
      </c>
      <c r="T143" s="24" t="str">
        <f aca="false">IF($A143="","",N143*Q143/100)</f>
        <v/>
      </c>
      <c r="U143" s="24" t="str">
        <f aca="false">IF($A143="","",O143*Q143/100)</f>
        <v/>
      </c>
      <c r="V143" s="24" t="str">
        <f aca="false">IF($A143="","",R143+S143+T143+U143)</f>
        <v/>
      </c>
      <c r="W143" s="14"/>
      <c r="X143" s="15"/>
      <c r="Y143" s="23"/>
      <c r="Z143" s="14"/>
    </row>
    <row r="144" customFormat="false" ht="15" hidden="false" customHeight="false" outlineLevel="0" collapsed="false">
      <c r="A144" s="14"/>
      <c r="B144" s="17" t="str">
        <f aca="false">IF($A144="","",IFERROR(INDEX(Policy!$B$2:$B$301,MATCH($A144,Policy!$A$2:$A$301,0)),"MRO không có"))</f>
        <v/>
      </c>
      <c r="C144" s="17" t="str">
        <f aca="false">IF($A144="","",IFERROR(INDEX(Policy!$E$2:$E$301,MATCH($A144,Policy!$A$2:$A$301,0)),"MRO không có"))</f>
        <v/>
      </c>
      <c r="D144" s="14"/>
      <c r="E144" s="15"/>
      <c r="F144" s="15"/>
      <c r="G144" s="14"/>
      <c r="H144" s="14"/>
      <c r="I144" s="14"/>
      <c r="J144" s="14"/>
      <c r="K144" s="14"/>
      <c r="L144" s="23"/>
      <c r="M144" s="23"/>
      <c r="N144" s="23"/>
      <c r="O144" s="23"/>
      <c r="P144" s="24" t="str">
        <f aca="false">IF($A144="","",L144+M144+N144+O144)</f>
        <v/>
      </c>
      <c r="Q144" s="22" t="str">
        <f aca="false">IF($A144="","",IFERROR(INDEX(Risk!$D$2:$D$301,MATCH($A144,Policy!$A$2:$A$301,0)),0))</f>
        <v/>
      </c>
      <c r="R144" s="24" t="str">
        <f aca="false">IF($A144="","",L144*Q144/100)</f>
        <v/>
      </c>
      <c r="S144" s="24" t="str">
        <f aca="false">IF($A144="","",M144*Q144/100)</f>
        <v/>
      </c>
      <c r="T144" s="24" t="str">
        <f aca="false">IF($A144="","",N144*Q144/100)</f>
        <v/>
      </c>
      <c r="U144" s="24" t="str">
        <f aca="false">IF($A144="","",O144*Q144/100)</f>
        <v/>
      </c>
      <c r="V144" s="24" t="str">
        <f aca="false">IF($A144="","",R144+S144+T144+U144)</f>
        <v/>
      </c>
      <c r="W144" s="14"/>
      <c r="X144" s="15"/>
      <c r="Y144" s="23"/>
      <c r="Z144" s="14"/>
    </row>
    <row r="145" customFormat="false" ht="15" hidden="false" customHeight="false" outlineLevel="0" collapsed="false">
      <c r="A145" s="14"/>
      <c r="B145" s="17" t="str">
        <f aca="false">IF($A145="","",IFERROR(INDEX(Policy!$B$2:$B$301,MATCH($A145,Policy!$A$2:$A$301,0)),"MRO không có"))</f>
        <v/>
      </c>
      <c r="C145" s="17" t="str">
        <f aca="false">IF($A145="","",IFERROR(INDEX(Policy!$E$2:$E$301,MATCH($A145,Policy!$A$2:$A$301,0)),"MRO không có"))</f>
        <v/>
      </c>
      <c r="D145" s="14"/>
      <c r="E145" s="15"/>
      <c r="F145" s="15"/>
      <c r="G145" s="14"/>
      <c r="H145" s="14"/>
      <c r="I145" s="14"/>
      <c r="J145" s="14"/>
      <c r="K145" s="14"/>
      <c r="L145" s="23"/>
      <c r="M145" s="23"/>
      <c r="N145" s="23"/>
      <c r="O145" s="23"/>
      <c r="P145" s="24" t="str">
        <f aca="false">IF($A145="","",L145+M145+N145+O145)</f>
        <v/>
      </c>
      <c r="Q145" s="22" t="str">
        <f aca="false">IF($A145="","",IFERROR(INDEX(Risk!$D$2:$D$301,MATCH($A145,Policy!$A$2:$A$301,0)),0))</f>
        <v/>
      </c>
      <c r="R145" s="24" t="str">
        <f aca="false">IF($A145="","",L145*Q145/100)</f>
        <v/>
      </c>
      <c r="S145" s="24" t="str">
        <f aca="false">IF($A145="","",M145*Q145/100)</f>
        <v/>
      </c>
      <c r="T145" s="24" t="str">
        <f aca="false">IF($A145="","",N145*Q145/100)</f>
        <v/>
      </c>
      <c r="U145" s="24" t="str">
        <f aca="false">IF($A145="","",O145*Q145/100)</f>
        <v/>
      </c>
      <c r="V145" s="24" t="str">
        <f aca="false">IF($A145="","",R145+S145+T145+U145)</f>
        <v/>
      </c>
      <c r="W145" s="14"/>
      <c r="X145" s="15"/>
      <c r="Y145" s="23"/>
      <c r="Z145" s="14"/>
    </row>
    <row r="146" customFormat="false" ht="15" hidden="false" customHeight="false" outlineLevel="0" collapsed="false">
      <c r="A146" s="14"/>
      <c r="B146" s="17" t="str">
        <f aca="false">IF($A146="","",IFERROR(INDEX(Policy!$B$2:$B$301,MATCH($A146,Policy!$A$2:$A$301,0)),"MRO không có"))</f>
        <v/>
      </c>
      <c r="C146" s="17" t="str">
        <f aca="false">IF($A146="","",IFERROR(INDEX(Policy!$E$2:$E$301,MATCH($A146,Policy!$A$2:$A$301,0)),"MRO không có"))</f>
        <v/>
      </c>
      <c r="D146" s="14"/>
      <c r="E146" s="15"/>
      <c r="F146" s="15"/>
      <c r="G146" s="14"/>
      <c r="H146" s="14"/>
      <c r="I146" s="14"/>
      <c r="J146" s="14"/>
      <c r="K146" s="14"/>
      <c r="L146" s="23"/>
      <c r="M146" s="23"/>
      <c r="N146" s="23"/>
      <c r="O146" s="23"/>
      <c r="P146" s="24" t="str">
        <f aca="false">IF($A146="","",L146+M146+N146+O146)</f>
        <v/>
      </c>
      <c r="Q146" s="22" t="str">
        <f aca="false">IF($A146="","",IFERROR(INDEX(Risk!$D$2:$D$301,MATCH($A146,Policy!$A$2:$A$301,0)),0))</f>
        <v/>
      </c>
      <c r="R146" s="24" t="str">
        <f aca="false">IF($A146="","",L146*Q146/100)</f>
        <v/>
      </c>
      <c r="S146" s="24" t="str">
        <f aca="false">IF($A146="","",M146*Q146/100)</f>
        <v/>
      </c>
      <c r="T146" s="24" t="str">
        <f aca="false">IF($A146="","",N146*Q146/100)</f>
        <v/>
      </c>
      <c r="U146" s="24" t="str">
        <f aca="false">IF($A146="","",O146*Q146/100)</f>
        <v/>
      </c>
      <c r="V146" s="24" t="str">
        <f aca="false">IF($A146="","",R146+S146+T146+U146)</f>
        <v/>
      </c>
      <c r="W146" s="14"/>
      <c r="X146" s="15"/>
      <c r="Y146" s="23"/>
      <c r="Z146" s="14"/>
    </row>
    <row r="147" customFormat="false" ht="15" hidden="false" customHeight="false" outlineLevel="0" collapsed="false">
      <c r="A147" s="14"/>
      <c r="B147" s="17" t="str">
        <f aca="false">IF($A147="","",IFERROR(INDEX(Policy!$B$2:$B$301,MATCH($A147,Policy!$A$2:$A$301,0)),"MRO không có"))</f>
        <v/>
      </c>
      <c r="C147" s="17" t="str">
        <f aca="false">IF($A147="","",IFERROR(INDEX(Policy!$E$2:$E$301,MATCH($A147,Policy!$A$2:$A$301,0)),"MRO không có"))</f>
        <v/>
      </c>
      <c r="D147" s="14"/>
      <c r="E147" s="15"/>
      <c r="F147" s="15"/>
      <c r="G147" s="14"/>
      <c r="H147" s="14"/>
      <c r="I147" s="14"/>
      <c r="J147" s="14"/>
      <c r="K147" s="14"/>
      <c r="L147" s="23"/>
      <c r="M147" s="23"/>
      <c r="N147" s="23"/>
      <c r="O147" s="23"/>
      <c r="P147" s="24" t="str">
        <f aca="false">IF($A147="","",L147+M147+N147+O147)</f>
        <v/>
      </c>
      <c r="Q147" s="22" t="str">
        <f aca="false">IF($A147="","",IFERROR(INDEX(Risk!$D$2:$D$301,MATCH($A147,Policy!$A$2:$A$301,0)),0))</f>
        <v/>
      </c>
      <c r="R147" s="24" t="str">
        <f aca="false">IF($A147="","",L147*Q147/100)</f>
        <v/>
      </c>
      <c r="S147" s="24" t="str">
        <f aca="false">IF($A147="","",M147*Q147/100)</f>
        <v/>
      </c>
      <c r="T147" s="24" t="str">
        <f aca="false">IF($A147="","",N147*Q147/100)</f>
        <v/>
      </c>
      <c r="U147" s="24" t="str">
        <f aca="false">IF($A147="","",O147*Q147/100)</f>
        <v/>
      </c>
      <c r="V147" s="24" t="str">
        <f aca="false">IF($A147="","",R147+S147+T147+U147)</f>
        <v/>
      </c>
      <c r="W147" s="14"/>
      <c r="X147" s="15"/>
      <c r="Y147" s="23"/>
      <c r="Z147" s="14"/>
    </row>
    <row r="148" customFormat="false" ht="15" hidden="false" customHeight="false" outlineLevel="0" collapsed="false">
      <c r="A148" s="14"/>
      <c r="B148" s="17" t="str">
        <f aca="false">IF($A148="","",IFERROR(INDEX(Policy!$B$2:$B$301,MATCH($A148,Policy!$A$2:$A$301,0)),"MRO không có"))</f>
        <v/>
      </c>
      <c r="C148" s="17" t="str">
        <f aca="false">IF($A148="","",IFERROR(INDEX(Policy!$E$2:$E$301,MATCH($A148,Policy!$A$2:$A$301,0)),"MRO không có"))</f>
        <v/>
      </c>
      <c r="D148" s="14"/>
      <c r="E148" s="15"/>
      <c r="F148" s="15"/>
      <c r="G148" s="14"/>
      <c r="H148" s="14"/>
      <c r="I148" s="14"/>
      <c r="J148" s="14"/>
      <c r="K148" s="14"/>
      <c r="L148" s="23"/>
      <c r="M148" s="23"/>
      <c r="N148" s="23"/>
      <c r="O148" s="23"/>
      <c r="P148" s="24" t="str">
        <f aca="false">IF($A148="","",L148+M148+N148+O148)</f>
        <v/>
      </c>
      <c r="Q148" s="22" t="str">
        <f aca="false">IF($A148="","",IFERROR(INDEX(Risk!$D$2:$D$301,MATCH($A148,Policy!$A$2:$A$301,0)),0))</f>
        <v/>
      </c>
      <c r="R148" s="24" t="str">
        <f aca="false">IF($A148="","",L148*Q148/100)</f>
        <v/>
      </c>
      <c r="S148" s="24" t="str">
        <f aca="false">IF($A148="","",M148*Q148/100)</f>
        <v/>
      </c>
      <c r="T148" s="24" t="str">
        <f aca="false">IF($A148="","",N148*Q148/100)</f>
        <v/>
      </c>
      <c r="U148" s="24" t="str">
        <f aca="false">IF($A148="","",O148*Q148/100)</f>
        <v/>
      </c>
      <c r="V148" s="24" t="str">
        <f aca="false">IF($A148="","",R148+S148+T148+U148)</f>
        <v/>
      </c>
      <c r="W148" s="14"/>
      <c r="X148" s="15"/>
      <c r="Y148" s="23"/>
      <c r="Z148" s="14"/>
    </row>
    <row r="149" customFormat="false" ht="15" hidden="false" customHeight="false" outlineLevel="0" collapsed="false">
      <c r="A149" s="14"/>
      <c r="B149" s="17" t="str">
        <f aca="false">IF($A149="","",IFERROR(INDEX(Policy!$B$2:$B$301,MATCH($A149,Policy!$A$2:$A$301,0)),"MRO không có"))</f>
        <v/>
      </c>
      <c r="C149" s="17" t="str">
        <f aca="false">IF($A149="","",IFERROR(INDEX(Policy!$E$2:$E$301,MATCH($A149,Policy!$A$2:$A$301,0)),"MRO không có"))</f>
        <v/>
      </c>
      <c r="D149" s="14"/>
      <c r="E149" s="15"/>
      <c r="F149" s="15"/>
      <c r="G149" s="14"/>
      <c r="H149" s="14"/>
      <c r="I149" s="14"/>
      <c r="J149" s="14"/>
      <c r="K149" s="14"/>
      <c r="L149" s="23"/>
      <c r="M149" s="23"/>
      <c r="N149" s="23"/>
      <c r="O149" s="23"/>
      <c r="P149" s="24" t="str">
        <f aca="false">IF($A149="","",L149+M149+N149+O149)</f>
        <v/>
      </c>
      <c r="Q149" s="22" t="str">
        <f aca="false">IF($A149="","",IFERROR(INDEX(Risk!$D$2:$D$301,MATCH($A149,Policy!$A$2:$A$301,0)),0))</f>
        <v/>
      </c>
      <c r="R149" s="24" t="str">
        <f aca="false">IF($A149="","",L149*Q149/100)</f>
        <v/>
      </c>
      <c r="S149" s="24" t="str">
        <f aca="false">IF($A149="","",M149*Q149/100)</f>
        <v/>
      </c>
      <c r="T149" s="24" t="str">
        <f aca="false">IF($A149="","",N149*Q149/100)</f>
        <v/>
      </c>
      <c r="U149" s="24" t="str">
        <f aca="false">IF($A149="","",O149*Q149/100)</f>
        <v/>
      </c>
      <c r="V149" s="24" t="str">
        <f aca="false">IF($A149="","",R149+S149+T149+U149)</f>
        <v/>
      </c>
      <c r="W149" s="14"/>
      <c r="X149" s="15"/>
      <c r="Y149" s="23"/>
      <c r="Z149" s="14"/>
    </row>
    <row r="150" customFormat="false" ht="15" hidden="false" customHeight="false" outlineLevel="0" collapsed="false">
      <c r="A150" s="14"/>
      <c r="B150" s="17" t="str">
        <f aca="false">IF($A150="","",IFERROR(INDEX(Policy!$B$2:$B$301,MATCH($A150,Policy!$A$2:$A$301,0)),"MRO không có"))</f>
        <v/>
      </c>
      <c r="C150" s="17" t="str">
        <f aca="false">IF($A150="","",IFERROR(INDEX(Policy!$E$2:$E$301,MATCH($A150,Policy!$A$2:$A$301,0)),"MRO không có"))</f>
        <v/>
      </c>
      <c r="D150" s="14"/>
      <c r="E150" s="15"/>
      <c r="F150" s="15"/>
      <c r="G150" s="14"/>
      <c r="H150" s="14"/>
      <c r="I150" s="14"/>
      <c r="J150" s="14"/>
      <c r="K150" s="14"/>
      <c r="L150" s="23"/>
      <c r="M150" s="23"/>
      <c r="N150" s="23"/>
      <c r="O150" s="23"/>
      <c r="P150" s="24" t="str">
        <f aca="false">IF($A150="","",L150+M150+N150+O150)</f>
        <v/>
      </c>
      <c r="Q150" s="22" t="str">
        <f aca="false">IF($A150="","",IFERROR(INDEX(Risk!$D$2:$D$301,MATCH($A150,Policy!$A$2:$A$301,0)),0))</f>
        <v/>
      </c>
      <c r="R150" s="24" t="str">
        <f aca="false">IF($A150="","",L150*Q150/100)</f>
        <v/>
      </c>
      <c r="S150" s="24" t="str">
        <f aca="false">IF($A150="","",M150*Q150/100)</f>
        <v/>
      </c>
      <c r="T150" s="24" t="str">
        <f aca="false">IF($A150="","",N150*Q150/100)</f>
        <v/>
      </c>
      <c r="U150" s="24" t="str">
        <f aca="false">IF($A150="","",O150*Q150/100)</f>
        <v/>
      </c>
      <c r="V150" s="24" t="str">
        <f aca="false">IF($A150="","",R150+S150+T150+U150)</f>
        <v/>
      </c>
      <c r="W150" s="14"/>
      <c r="X150" s="15"/>
      <c r="Y150" s="23"/>
      <c r="Z150" s="14"/>
    </row>
    <row r="151" customFormat="false" ht="15" hidden="false" customHeight="false" outlineLevel="0" collapsed="false">
      <c r="A151" s="14"/>
      <c r="B151" s="17" t="str">
        <f aca="false">IF($A151="","",IFERROR(INDEX(Policy!$B$2:$B$301,MATCH($A151,Policy!$A$2:$A$301,0)),"MRO không có"))</f>
        <v/>
      </c>
      <c r="C151" s="17" t="str">
        <f aca="false">IF($A151="","",IFERROR(INDEX(Policy!$E$2:$E$301,MATCH($A151,Policy!$A$2:$A$301,0)),"MRO không có"))</f>
        <v/>
      </c>
      <c r="D151" s="14"/>
      <c r="E151" s="15"/>
      <c r="F151" s="15"/>
      <c r="G151" s="14"/>
      <c r="H151" s="14"/>
      <c r="I151" s="14"/>
      <c r="J151" s="14"/>
      <c r="K151" s="14"/>
      <c r="L151" s="23"/>
      <c r="M151" s="23"/>
      <c r="N151" s="23"/>
      <c r="O151" s="23"/>
      <c r="P151" s="24" t="str">
        <f aca="false">IF($A151="","",L151+M151+N151+O151)</f>
        <v/>
      </c>
      <c r="Q151" s="22" t="str">
        <f aca="false">IF($A151="","",IFERROR(INDEX(Risk!$D$2:$D$301,MATCH($A151,Policy!$A$2:$A$301,0)),0))</f>
        <v/>
      </c>
      <c r="R151" s="24" t="str">
        <f aca="false">IF($A151="","",L151*Q151/100)</f>
        <v/>
      </c>
      <c r="S151" s="24" t="str">
        <f aca="false">IF($A151="","",M151*Q151/100)</f>
        <v/>
      </c>
      <c r="T151" s="24" t="str">
        <f aca="false">IF($A151="","",N151*Q151/100)</f>
        <v/>
      </c>
      <c r="U151" s="24" t="str">
        <f aca="false">IF($A151="","",O151*Q151/100)</f>
        <v/>
      </c>
      <c r="V151" s="24" t="str">
        <f aca="false">IF($A151="","",R151+S151+T151+U151)</f>
        <v/>
      </c>
      <c r="W151" s="14"/>
      <c r="X151" s="15"/>
      <c r="Y151" s="23"/>
      <c r="Z151" s="14"/>
    </row>
    <row r="152" customFormat="false" ht="15" hidden="false" customHeight="false" outlineLevel="0" collapsed="false">
      <c r="A152" s="14"/>
      <c r="B152" s="17" t="str">
        <f aca="false">IF($A152="","",IFERROR(INDEX(Policy!$B$2:$B$301,MATCH($A152,Policy!$A$2:$A$301,0)),"MRO không có"))</f>
        <v/>
      </c>
      <c r="C152" s="17" t="str">
        <f aca="false">IF($A152="","",IFERROR(INDEX(Policy!$E$2:$E$301,MATCH($A152,Policy!$A$2:$A$301,0)),"MRO không có"))</f>
        <v/>
      </c>
      <c r="D152" s="14"/>
      <c r="E152" s="15"/>
      <c r="F152" s="15"/>
      <c r="G152" s="14"/>
      <c r="H152" s="14"/>
      <c r="I152" s="14"/>
      <c r="J152" s="14"/>
      <c r="K152" s="14"/>
      <c r="L152" s="23"/>
      <c r="M152" s="23"/>
      <c r="N152" s="23"/>
      <c r="O152" s="23"/>
      <c r="P152" s="24" t="str">
        <f aca="false">IF($A152="","",L152+M152+N152+O152)</f>
        <v/>
      </c>
      <c r="Q152" s="22" t="str">
        <f aca="false">IF($A152="","",IFERROR(INDEX(Risk!$D$2:$D$301,MATCH($A152,Policy!$A$2:$A$301,0)),0))</f>
        <v/>
      </c>
      <c r="R152" s="24" t="str">
        <f aca="false">IF($A152="","",L152*Q152/100)</f>
        <v/>
      </c>
      <c r="S152" s="24" t="str">
        <f aca="false">IF($A152="","",M152*Q152/100)</f>
        <v/>
      </c>
      <c r="T152" s="24" t="str">
        <f aca="false">IF($A152="","",N152*Q152/100)</f>
        <v/>
      </c>
      <c r="U152" s="24" t="str">
        <f aca="false">IF($A152="","",O152*Q152/100)</f>
        <v/>
      </c>
      <c r="V152" s="24" t="str">
        <f aca="false">IF($A152="","",R152+S152+T152+U152)</f>
        <v/>
      </c>
      <c r="W152" s="14"/>
      <c r="X152" s="15"/>
      <c r="Y152" s="23"/>
      <c r="Z152" s="14"/>
    </row>
    <row r="153" customFormat="false" ht="15" hidden="false" customHeight="false" outlineLevel="0" collapsed="false">
      <c r="A153" s="14"/>
      <c r="B153" s="17" t="str">
        <f aca="false">IF($A153="","",IFERROR(INDEX(Policy!$B$2:$B$301,MATCH($A153,Policy!$A$2:$A$301,0)),"MRO không có"))</f>
        <v/>
      </c>
      <c r="C153" s="17" t="str">
        <f aca="false">IF($A153="","",IFERROR(INDEX(Policy!$E$2:$E$301,MATCH($A153,Policy!$A$2:$A$301,0)),"MRO không có"))</f>
        <v/>
      </c>
      <c r="D153" s="14"/>
      <c r="E153" s="15"/>
      <c r="F153" s="15"/>
      <c r="G153" s="14"/>
      <c r="H153" s="14"/>
      <c r="I153" s="14"/>
      <c r="J153" s="14"/>
      <c r="K153" s="14"/>
      <c r="L153" s="23"/>
      <c r="M153" s="23"/>
      <c r="N153" s="23"/>
      <c r="O153" s="23"/>
      <c r="P153" s="24" t="str">
        <f aca="false">IF($A153="","",L153+M153+N153+O153)</f>
        <v/>
      </c>
      <c r="Q153" s="22" t="str">
        <f aca="false">IF($A153="","",IFERROR(INDEX(Risk!$D$2:$D$301,MATCH($A153,Policy!$A$2:$A$301,0)),0))</f>
        <v/>
      </c>
      <c r="R153" s="24" t="str">
        <f aca="false">IF($A153="","",L153*Q153/100)</f>
        <v/>
      </c>
      <c r="S153" s="24" t="str">
        <f aca="false">IF($A153="","",M153*Q153/100)</f>
        <v/>
      </c>
      <c r="T153" s="24" t="str">
        <f aca="false">IF($A153="","",N153*Q153/100)</f>
        <v/>
      </c>
      <c r="U153" s="24" t="str">
        <f aca="false">IF($A153="","",O153*Q153/100)</f>
        <v/>
      </c>
      <c r="V153" s="24" t="str">
        <f aca="false">IF($A153="","",R153+S153+T153+U153)</f>
        <v/>
      </c>
      <c r="W153" s="14"/>
      <c r="X153" s="15"/>
      <c r="Y153" s="23"/>
      <c r="Z153" s="14"/>
    </row>
    <row r="154" customFormat="false" ht="15" hidden="false" customHeight="false" outlineLevel="0" collapsed="false">
      <c r="A154" s="14"/>
      <c r="B154" s="17" t="str">
        <f aca="false">IF($A154="","",IFERROR(INDEX(Policy!$B$2:$B$301,MATCH($A154,Policy!$A$2:$A$301,0)),"MRO không có"))</f>
        <v/>
      </c>
      <c r="C154" s="17" t="str">
        <f aca="false">IF($A154="","",IFERROR(INDEX(Policy!$E$2:$E$301,MATCH($A154,Policy!$A$2:$A$301,0)),"MRO không có"))</f>
        <v/>
      </c>
      <c r="D154" s="14"/>
      <c r="E154" s="15"/>
      <c r="F154" s="15"/>
      <c r="G154" s="14"/>
      <c r="H154" s="14"/>
      <c r="I154" s="14"/>
      <c r="J154" s="14"/>
      <c r="K154" s="14"/>
      <c r="L154" s="23"/>
      <c r="M154" s="23"/>
      <c r="N154" s="23"/>
      <c r="O154" s="23"/>
      <c r="P154" s="24" t="str">
        <f aca="false">IF($A154="","",L154+M154+N154+O154)</f>
        <v/>
      </c>
      <c r="Q154" s="22" t="str">
        <f aca="false">IF($A154="","",IFERROR(INDEX(Risk!$D$2:$D$301,MATCH($A154,Policy!$A$2:$A$301,0)),0))</f>
        <v/>
      </c>
      <c r="R154" s="24" t="str">
        <f aca="false">IF($A154="","",L154*Q154/100)</f>
        <v/>
      </c>
      <c r="S154" s="24" t="str">
        <f aca="false">IF($A154="","",M154*Q154/100)</f>
        <v/>
      </c>
      <c r="T154" s="24" t="str">
        <f aca="false">IF($A154="","",N154*Q154/100)</f>
        <v/>
      </c>
      <c r="U154" s="24" t="str">
        <f aca="false">IF($A154="","",O154*Q154/100)</f>
        <v/>
      </c>
      <c r="V154" s="24" t="str">
        <f aca="false">IF($A154="","",R154+S154+T154+U154)</f>
        <v/>
      </c>
      <c r="W154" s="14"/>
      <c r="X154" s="15"/>
      <c r="Y154" s="23"/>
      <c r="Z154" s="14"/>
    </row>
    <row r="155" customFormat="false" ht="15" hidden="false" customHeight="false" outlineLevel="0" collapsed="false">
      <c r="A155" s="14"/>
      <c r="B155" s="17" t="str">
        <f aca="false">IF($A155="","",IFERROR(INDEX(Policy!$B$2:$B$301,MATCH($A155,Policy!$A$2:$A$301,0)),"MRO không có"))</f>
        <v/>
      </c>
      <c r="C155" s="17" t="str">
        <f aca="false">IF($A155="","",IFERROR(INDEX(Policy!$E$2:$E$301,MATCH($A155,Policy!$A$2:$A$301,0)),"MRO không có"))</f>
        <v/>
      </c>
      <c r="D155" s="14"/>
      <c r="E155" s="15"/>
      <c r="F155" s="15"/>
      <c r="G155" s="14"/>
      <c r="H155" s="14"/>
      <c r="I155" s="14"/>
      <c r="J155" s="14"/>
      <c r="K155" s="14"/>
      <c r="L155" s="23"/>
      <c r="M155" s="23"/>
      <c r="N155" s="23"/>
      <c r="O155" s="23"/>
      <c r="P155" s="24" t="str">
        <f aca="false">IF($A155="","",L155+M155+N155+O155)</f>
        <v/>
      </c>
      <c r="Q155" s="22" t="str">
        <f aca="false">IF($A155="","",IFERROR(INDEX(Risk!$D$2:$D$301,MATCH($A155,Policy!$A$2:$A$301,0)),0))</f>
        <v/>
      </c>
      <c r="R155" s="24" t="str">
        <f aca="false">IF($A155="","",L155*Q155/100)</f>
        <v/>
      </c>
      <c r="S155" s="24" t="str">
        <f aca="false">IF($A155="","",M155*Q155/100)</f>
        <v/>
      </c>
      <c r="T155" s="24" t="str">
        <f aca="false">IF($A155="","",N155*Q155/100)</f>
        <v/>
      </c>
      <c r="U155" s="24" t="str">
        <f aca="false">IF($A155="","",O155*Q155/100)</f>
        <v/>
      </c>
      <c r="V155" s="24" t="str">
        <f aca="false">IF($A155="","",R155+S155+T155+U155)</f>
        <v/>
      </c>
      <c r="W155" s="14"/>
      <c r="X155" s="15"/>
      <c r="Y155" s="23"/>
      <c r="Z155" s="14"/>
    </row>
    <row r="156" customFormat="false" ht="15" hidden="false" customHeight="false" outlineLevel="0" collapsed="false">
      <c r="A156" s="14"/>
      <c r="B156" s="17" t="str">
        <f aca="false">IF($A156="","",IFERROR(INDEX(Policy!$B$2:$B$301,MATCH($A156,Policy!$A$2:$A$301,0)),"MRO không có"))</f>
        <v/>
      </c>
      <c r="C156" s="17" t="str">
        <f aca="false">IF($A156="","",IFERROR(INDEX(Policy!$E$2:$E$301,MATCH($A156,Policy!$A$2:$A$301,0)),"MRO không có"))</f>
        <v/>
      </c>
      <c r="D156" s="14"/>
      <c r="E156" s="15"/>
      <c r="F156" s="15"/>
      <c r="G156" s="14"/>
      <c r="H156" s="14"/>
      <c r="I156" s="14"/>
      <c r="J156" s="14"/>
      <c r="K156" s="14"/>
      <c r="L156" s="23"/>
      <c r="M156" s="23"/>
      <c r="N156" s="23"/>
      <c r="O156" s="23"/>
      <c r="P156" s="24" t="str">
        <f aca="false">IF($A156="","",L156+M156+N156+O156)</f>
        <v/>
      </c>
      <c r="Q156" s="22" t="str">
        <f aca="false">IF($A156="","",IFERROR(INDEX(Risk!$D$2:$D$301,MATCH($A156,Policy!$A$2:$A$301,0)),0))</f>
        <v/>
      </c>
      <c r="R156" s="24" t="str">
        <f aca="false">IF($A156="","",L156*Q156/100)</f>
        <v/>
      </c>
      <c r="S156" s="24" t="str">
        <f aca="false">IF($A156="","",M156*Q156/100)</f>
        <v/>
      </c>
      <c r="T156" s="24" t="str">
        <f aca="false">IF($A156="","",N156*Q156/100)</f>
        <v/>
      </c>
      <c r="U156" s="24" t="str">
        <f aca="false">IF($A156="","",O156*Q156/100)</f>
        <v/>
      </c>
      <c r="V156" s="24" t="str">
        <f aca="false">IF($A156="","",R156+S156+T156+U156)</f>
        <v/>
      </c>
      <c r="W156" s="14"/>
      <c r="X156" s="15"/>
      <c r="Y156" s="23"/>
      <c r="Z156" s="14"/>
    </row>
    <row r="157" customFormat="false" ht="15" hidden="false" customHeight="false" outlineLevel="0" collapsed="false">
      <c r="A157" s="14"/>
      <c r="B157" s="17" t="str">
        <f aca="false">IF($A157="","",IFERROR(INDEX(Policy!$B$2:$B$301,MATCH($A157,Policy!$A$2:$A$301,0)),"MRO không có"))</f>
        <v/>
      </c>
      <c r="C157" s="17" t="str">
        <f aca="false">IF($A157="","",IFERROR(INDEX(Policy!$E$2:$E$301,MATCH($A157,Policy!$A$2:$A$301,0)),"MRO không có"))</f>
        <v/>
      </c>
      <c r="D157" s="14"/>
      <c r="E157" s="15"/>
      <c r="F157" s="15"/>
      <c r="G157" s="14"/>
      <c r="H157" s="14"/>
      <c r="I157" s="14"/>
      <c r="J157" s="14"/>
      <c r="K157" s="14"/>
      <c r="L157" s="23"/>
      <c r="M157" s="23"/>
      <c r="N157" s="23"/>
      <c r="O157" s="23"/>
      <c r="P157" s="24" t="str">
        <f aca="false">IF($A157="","",L157+M157+N157+O157)</f>
        <v/>
      </c>
      <c r="Q157" s="22" t="str">
        <f aca="false">IF($A157="","",IFERROR(INDEX(Risk!$D$2:$D$301,MATCH($A157,Policy!$A$2:$A$301,0)),0))</f>
        <v/>
      </c>
      <c r="R157" s="24" t="str">
        <f aca="false">IF($A157="","",L157*Q157/100)</f>
        <v/>
      </c>
      <c r="S157" s="24" t="str">
        <f aca="false">IF($A157="","",M157*Q157/100)</f>
        <v/>
      </c>
      <c r="T157" s="24" t="str">
        <f aca="false">IF($A157="","",N157*Q157/100)</f>
        <v/>
      </c>
      <c r="U157" s="24" t="str">
        <f aca="false">IF($A157="","",O157*Q157/100)</f>
        <v/>
      </c>
      <c r="V157" s="24" t="str">
        <f aca="false">IF($A157="","",R157+S157+T157+U157)</f>
        <v/>
      </c>
      <c r="W157" s="14"/>
      <c r="X157" s="15"/>
      <c r="Y157" s="23"/>
      <c r="Z157" s="14"/>
    </row>
    <row r="158" customFormat="false" ht="15" hidden="false" customHeight="false" outlineLevel="0" collapsed="false">
      <c r="A158" s="14"/>
      <c r="B158" s="17" t="str">
        <f aca="false">IF($A158="","",IFERROR(INDEX(Policy!$B$2:$B$301,MATCH($A158,Policy!$A$2:$A$301,0)),"MRO không có"))</f>
        <v/>
      </c>
      <c r="C158" s="17" t="str">
        <f aca="false">IF($A158="","",IFERROR(INDEX(Policy!$E$2:$E$301,MATCH($A158,Policy!$A$2:$A$301,0)),"MRO không có"))</f>
        <v/>
      </c>
      <c r="D158" s="14"/>
      <c r="E158" s="15"/>
      <c r="F158" s="15"/>
      <c r="G158" s="14"/>
      <c r="H158" s="14"/>
      <c r="I158" s="14"/>
      <c r="J158" s="14"/>
      <c r="K158" s="14"/>
      <c r="L158" s="23"/>
      <c r="M158" s="23"/>
      <c r="N158" s="23"/>
      <c r="O158" s="23"/>
      <c r="P158" s="24" t="str">
        <f aca="false">IF($A158="","",L158+M158+N158+O158)</f>
        <v/>
      </c>
      <c r="Q158" s="22" t="str">
        <f aca="false">IF($A158="","",IFERROR(INDEX(Risk!$D$2:$D$301,MATCH($A158,Policy!$A$2:$A$301,0)),0))</f>
        <v/>
      </c>
      <c r="R158" s="24" t="str">
        <f aca="false">IF($A158="","",L158*Q158/100)</f>
        <v/>
      </c>
      <c r="S158" s="24" t="str">
        <f aca="false">IF($A158="","",M158*Q158/100)</f>
        <v/>
      </c>
      <c r="T158" s="24" t="str">
        <f aca="false">IF($A158="","",N158*Q158/100)</f>
        <v/>
      </c>
      <c r="U158" s="24" t="str">
        <f aca="false">IF($A158="","",O158*Q158/100)</f>
        <v/>
      </c>
      <c r="V158" s="24" t="str">
        <f aca="false">IF($A158="","",R158+S158+T158+U158)</f>
        <v/>
      </c>
      <c r="W158" s="14"/>
      <c r="X158" s="15"/>
      <c r="Y158" s="23"/>
      <c r="Z158" s="14"/>
    </row>
    <row r="159" customFormat="false" ht="15" hidden="false" customHeight="false" outlineLevel="0" collapsed="false">
      <c r="A159" s="14"/>
      <c r="B159" s="17" t="str">
        <f aca="false">IF($A159="","",IFERROR(INDEX(Policy!$B$2:$B$301,MATCH($A159,Policy!$A$2:$A$301,0)),"MRO không có"))</f>
        <v/>
      </c>
      <c r="C159" s="17" t="str">
        <f aca="false">IF($A159="","",IFERROR(INDEX(Policy!$E$2:$E$301,MATCH($A159,Policy!$A$2:$A$301,0)),"MRO không có"))</f>
        <v/>
      </c>
      <c r="D159" s="14"/>
      <c r="E159" s="15"/>
      <c r="F159" s="15"/>
      <c r="G159" s="14"/>
      <c r="H159" s="14"/>
      <c r="I159" s="14"/>
      <c r="J159" s="14"/>
      <c r="K159" s="14"/>
      <c r="L159" s="23"/>
      <c r="M159" s="23"/>
      <c r="N159" s="23"/>
      <c r="O159" s="23"/>
      <c r="P159" s="24" t="str">
        <f aca="false">IF($A159="","",L159+M159+N159+O159)</f>
        <v/>
      </c>
      <c r="Q159" s="22" t="str">
        <f aca="false">IF($A159="","",IFERROR(INDEX(Risk!$D$2:$D$301,MATCH($A159,Policy!$A$2:$A$301,0)),0))</f>
        <v/>
      </c>
      <c r="R159" s="24" t="str">
        <f aca="false">IF($A159="","",L159*Q159/100)</f>
        <v/>
      </c>
      <c r="S159" s="24" t="str">
        <f aca="false">IF($A159="","",M159*Q159/100)</f>
        <v/>
      </c>
      <c r="T159" s="24" t="str">
        <f aca="false">IF($A159="","",N159*Q159/100)</f>
        <v/>
      </c>
      <c r="U159" s="24" t="str">
        <f aca="false">IF($A159="","",O159*Q159/100)</f>
        <v/>
      </c>
      <c r="V159" s="24" t="str">
        <f aca="false">IF($A159="","",R159+S159+T159+U159)</f>
        <v/>
      </c>
      <c r="W159" s="14"/>
      <c r="X159" s="15"/>
      <c r="Y159" s="23"/>
      <c r="Z159" s="14"/>
    </row>
    <row r="160" customFormat="false" ht="15" hidden="false" customHeight="false" outlineLevel="0" collapsed="false">
      <c r="A160" s="14"/>
      <c r="B160" s="17" t="str">
        <f aca="false">IF($A160="","",IFERROR(INDEX(Policy!$B$2:$B$301,MATCH($A160,Policy!$A$2:$A$301,0)),"MRO không có"))</f>
        <v/>
      </c>
      <c r="C160" s="17" t="str">
        <f aca="false">IF($A160="","",IFERROR(INDEX(Policy!$E$2:$E$301,MATCH($A160,Policy!$A$2:$A$301,0)),"MRO không có"))</f>
        <v/>
      </c>
      <c r="D160" s="14"/>
      <c r="E160" s="15"/>
      <c r="F160" s="15"/>
      <c r="G160" s="14"/>
      <c r="H160" s="14"/>
      <c r="I160" s="14"/>
      <c r="J160" s="14"/>
      <c r="K160" s="14"/>
      <c r="L160" s="23"/>
      <c r="M160" s="23"/>
      <c r="N160" s="23"/>
      <c r="O160" s="23"/>
      <c r="P160" s="24" t="str">
        <f aca="false">IF($A160="","",L160+M160+N160+O160)</f>
        <v/>
      </c>
      <c r="Q160" s="22" t="str">
        <f aca="false">IF($A160="","",IFERROR(INDEX(Risk!$D$2:$D$301,MATCH($A160,Policy!$A$2:$A$301,0)),0))</f>
        <v/>
      </c>
      <c r="R160" s="24" t="str">
        <f aca="false">IF($A160="","",L160*Q160/100)</f>
        <v/>
      </c>
      <c r="S160" s="24" t="str">
        <f aca="false">IF($A160="","",M160*Q160/100)</f>
        <v/>
      </c>
      <c r="T160" s="24" t="str">
        <f aca="false">IF($A160="","",N160*Q160/100)</f>
        <v/>
      </c>
      <c r="U160" s="24" t="str">
        <f aca="false">IF($A160="","",O160*Q160/100)</f>
        <v/>
      </c>
      <c r="V160" s="24" t="str">
        <f aca="false">IF($A160="","",R160+S160+T160+U160)</f>
        <v/>
      </c>
      <c r="W160" s="14"/>
      <c r="X160" s="15"/>
      <c r="Y160" s="23"/>
      <c r="Z160" s="14"/>
    </row>
    <row r="161" customFormat="false" ht="15" hidden="false" customHeight="false" outlineLevel="0" collapsed="false">
      <c r="A161" s="14"/>
      <c r="B161" s="17" t="str">
        <f aca="false">IF($A161="","",IFERROR(INDEX(Policy!$B$2:$B$301,MATCH($A161,Policy!$A$2:$A$301,0)),"MRO không có"))</f>
        <v/>
      </c>
      <c r="C161" s="17" t="str">
        <f aca="false">IF($A161="","",IFERROR(INDEX(Policy!$E$2:$E$301,MATCH($A161,Policy!$A$2:$A$301,0)),"MRO không có"))</f>
        <v/>
      </c>
      <c r="D161" s="14"/>
      <c r="E161" s="15"/>
      <c r="F161" s="15"/>
      <c r="G161" s="14"/>
      <c r="H161" s="14"/>
      <c r="I161" s="14"/>
      <c r="J161" s="14"/>
      <c r="K161" s="14"/>
      <c r="L161" s="23"/>
      <c r="M161" s="23"/>
      <c r="N161" s="23"/>
      <c r="O161" s="23"/>
      <c r="P161" s="24" t="str">
        <f aca="false">IF($A161="","",L161+M161+N161+O161)</f>
        <v/>
      </c>
      <c r="Q161" s="22" t="str">
        <f aca="false">IF($A161="","",IFERROR(INDEX(Risk!$D$2:$D$301,MATCH($A161,Policy!$A$2:$A$301,0)),0))</f>
        <v/>
      </c>
      <c r="R161" s="24" t="str">
        <f aca="false">IF($A161="","",L161*Q161/100)</f>
        <v/>
      </c>
      <c r="S161" s="24" t="str">
        <f aca="false">IF($A161="","",M161*Q161/100)</f>
        <v/>
      </c>
      <c r="T161" s="24" t="str">
        <f aca="false">IF($A161="","",N161*Q161/100)</f>
        <v/>
      </c>
      <c r="U161" s="24" t="str">
        <f aca="false">IF($A161="","",O161*Q161/100)</f>
        <v/>
      </c>
      <c r="V161" s="24" t="str">
        <f aca="false">IF($A161="","",R161+S161+T161+U161)</f>
        <v/>
      </c>
      <c r="W161" s="14"/>
      <c r="X161" s="15"/>
      <c r="Y161" s="23"/>
      <c r="Z161" s="14"/>
    </row>
    <row r="162" customFormat="false" ht="15" hidden="false" customHeight="false" outlineLevel="0" collapsed="false">
      <c r="A162" s="14"/>
      <c r="B162" s="17" t="str">
        <f aca="false">IF($A162="","",IFERROR(INDEX(Policy!$B$2:$B$301,MATCH($A162,Policy!$A$2:$A$301,0)),"MRO không có"))</f>
        <v/>
      </c>
      <c r="C162" s="17" t="str">
        <f aca="false">IF($A162="","",IFERROR(INDEX(Policy!$E$2:$E$301,MATCH($A162,Policy!$A$2:$A$301,0)),"MRO không có"))</f>
        <v/>
      </c>
      <c r="D162" s="14"/>
      <c r="E162" s="15"/>
      <c r="F162" s="15"/>
      <c r="G162" s="14"/>
      <c r="H162" s="14"/>
      <c r="I162" s="14"/>
      <c r="J162" s="14"/>
      <c r="K162" s="14"/>
      <c r="L162" s="23"/>
      <c r="M162" s="23"/>
      <c r="N162" s="23"/>
      <c r="O162" s="23"/>
      <c r="P162" s="24" t="str">
        <f aca="false">IF($A162="","",L162+M162+N162+O162)</f>
        <v/>
      </c>
      <c r="Q162" s="22" t="str">
        <f aca="false">IF($A162="","",IFERROR(INDEX(Risk!$D$2:$D$301,MATCH($A162,Policy!$A$2:$A$301,0)),0))</f>
        <v/>
      </c>
      <c r="R162" s="24" t="str">
        <f aca="false">IF($A162="","",L162*Q162/100)</f>
        <v/>
      </c>
      <c r="S162" s="24" t="str">
        <f aca="false">IF($A162="","",M162*Q162/100)</f>
        <v/>
      </c>
      <c r="T162" s="24" t="str">
        <f aca="false">IF($A162="","",N162*Q162/100)</f>
        <v/>
      </c>
      <c r="U162" s="24" t="str">
        <f aca="false">IF($A162="","",O162*Q162/100)</f>
        <v/>
      </c>
      <c r="V162" s="24" t="str">
        <f aca="false">IF($A162="","",R162+S162+T162+U162)</f>
        <v/>
      </c>
      <c r="W162" s="14"/>
      <c r="X162" s="15"/>
      <c r="Y162" s="23"/>
      <c r="Z162" s="14"/>
    </row>
    <row r="163" customFormat="false" ht="15" hidden="false" customHeight="false" outlineLevel="0" collapsed="false">
      <c r="A163" s="14"/>
      <c r="B163" s="17" t="str">
        <f aca="false">IF($A163="","",IFERROR(INDEX(Policy!$B$2:$B$301,MATCH($A163,Policy!$A$2:$A$301,0)),"MRO không có"))</f>
        <v/>
      </c>
      <c r="C163" s="17" t="str">
        <f aca="false">IF($A163="","",IFERROR(INDEX(Policy!$E$2:$E$301,MATCH($A163,Policy!$A$2:$A$301,0)),"MRO không có"))</f>
        <v/>
      </c>
      <c r="D163" s="14"/>
      <c r="E163" s="15"/>
      <c r="F163" s="15"/>
      <c r="G163" s="14"/>
      <c r="H163" s="14"/>
      <c r="I163" s="14"/>
      <c r="J163" s="14"/>
      <c r="K163" s="14"/>
      <c r="L163" s="23"/>
      <c r="M163" s="23"/>
      <c r="N163" s="23"/>
      <c r="O163" s="23"/>
      <c r="P163" s="24" t="str">
        <f aca="false">IF($A163="","",L163+M163+N163+O163)</f>
        <v/>
      </c>
      <c r="Q163" s="22" t="str">
        <f aca="false">IF($A163="","",IFERROR(INDEX(Risk!$D$2:$D$301,MATCH($A163,Policy!$A$2:$A$301,0)),0))</f>
        <v/>
      </c>
      <c r="R163" s="24" t="str">
        <f aca="false">IF($A163="","",L163*Q163/100)</f>
        <v/>
      </c>
      <c r="S163" s="24" t="str">
        <f aca="false">IF($A163="","",M163*Q163/100)</f>
        <v/>
      </c>
      <c r="T163" s="24" t="str">
        <f aca="false">IF($A163="","",N163*Q163/100)</f>
        <v/>
      </c>
      <c r="U163" s="24" t="str">
        <f aca="false">IF($A163="","",O163*Q163/100)</f>
        <v/>
      </c>
      <c r="V163" s="24" t="str">
        <f aca="false">IF($A163="","",R163+S163+T163+U163)</f>
        <v/>
      </c>
      <c r="W163" s="14"/>
      <c r="X163" s="15"/>
      <c r="Y163" s="23"/>
      <c r="Z163" s="14"/>
    </row>
    <row r="164" customFormat="false" ht="15" hidden="false" customHeight="false" outlineLevel="0" collapsed="false">
      <c r="A164" s="14"/>
      <c r="B164" s="17" t="str">
        <f aca="false">IF($A164="","",IFERROR(INDEX(Policy!$B$2:$B$301,MATCH($A164,Policy!$A$2:$A$301,0)),"MRO không có"))</f>
        <v/>
      </c>
      <c r="C164" s="17" t="str">
        <f aca="false">IF($A164="","",IFERROR(INDEX(Policy!$E$2:$E$301,MATCH($A164,Policy!$A$2:$A$301,0)),"MRO không có"))</f>
        <v/>
      </c>
      <c r="D164" s="14"/>
      <c r="E164" s="15"/>
      <c r="F164" s="15"/>
      <c r="G164" s="14"/>
      <c r="H164" s="14"/>
      <c r="I164" s="14"/>
      <c r="J164" s="14"/>
      <c r="K164" s="14"/>
      <c r="L164" s="23"/>
      <c r="M164" s="23"/>
      <c r="N164" s="23"/>
      <c r="O164" s="23"/>
      <c r="P164" s="24" t="str">
        <f aca="false">IF($A164="","",L164+M164+N164+O164)</f>
        <v/>
      </c>
      <c r="Q164" s="22" t="str">
        <f aca="false">IF($A164="","",IFERROR(INDEX(Risk!$D$2:$D$301,MATCH($A164,Policy!$A$2:$A$301,0)),0))</f>
        <v/>
      </c>
      <c r="R164" s="24" t="str">
        <f aca="false">IF($A164="","",L164*Q164/100)</f>
        <v/>
      </c>
      <c r="S164" s="24" t="str">
        <f aca="false">IF($A164="","",M164*Q164/100)</f>
        <v/>
      </c>
      <c r="T164" s="24" t="str">
        <f aca="false">IF($A164="","",N164*Q164/100)</f>
        <v/>
      </c>
      <c r="U164" s="24" t="str">
        <f aca="false">IF($A164="","",O164*Q164/100)</f>
        <v/>
      </c>
      <c r="V164" s="24" t="str">
        <f aca="false">IF($A164="","",R164+S164+T164+U164)</f>
        <v/>
      </c>
      <c r="W164" s="14"/>
      <c r="X164" s="15"/>
      <c r="Y164" s="23"/>
      <c r="Z164" s="14"/>
    </row>
    <row r="165" customFormat="false" ht="15" hidden="false" customHeight="false" outlineLevel="0" collapsed="false">
      <c r="A165" s="14"/>
      <c r="B165" s="17" t="str">
        <f aca="false">IF($A165="","",IFERROR(INDEX(Policy!$B$2:$B$301,MATCH($A165,Policy!$A$2:$A$301,0)),"MRO không có"))</f>
        <v/>
      </c>
      <c r="C165" s="17" t="str">
        <f aca="false">IF($A165="","",IFERROR(INDEX(Policy!$E$2:$E$301,MATCH($A165,Policy!$A$2:$A$301,0)),"MRO không có"))</f>
        <v/>
      </c>
      <c r="D165" s="14"/>
      <c r="E165" s="15"/>
      <c r="F165" s="15"/>
      <c r="G165" s="14"/>
      <c r="H165" s="14"/>
      <c r="I165" s="14"/>
      <c r="J165" s="14"/>
      <c r="K165" s="14"/>
      <c r="L165" s="23"/>
      <c r="M165" s="23"/>
      <c r="N165" s="23"/>
      <c r="O165" s="23"/>
      <c r="P165" s="24" t="str">
        <f aca="false">IF($A165="","",L165+M165+N165+O165)</f>
        <v/>
      </c>
      <c r="Q165" s="22" t="str">
        <f aca="false">IF($A165="","",IFERROR(INDEX(Risk!$D$2:$D$301,MATCH($A165,Policy!$A$2:$A$301,0)),0))</f>
        <v/>
      </c>
      <c r="R165" s="24" t="str">
        <f aca="false">IF($A165="","",L165*Q165/100)</f>
        <v/>
      </c>
      <c r="S165" s="24" t="str">
        <f aca="false">IF($A165="","",M165*Q165/100)</f>
        <v/>
      </c>
      <c r="T165" s="24" t="str">
        <f aca="false">IF($A165="","",N165*Q165/100)</f>
        <v/>
      </c>
      <c r="U165" s="24" t="str">
        <f aca="false">IF($A165="","",O165*Q165/100)</f>
        <v/>
      </c>
      <c r="V165" s="24" t="str">
        <f aca="false">IF($A165="","",R165+S165+T165+U165)</f>
        <v/>
      </c>
      <c r="W165" s="14"/>
      <c r="X165" s="15"/>
      <c r="Y165" s="23"/>
      <c r="Z165" s="14"/>
    </row>
    <row r="166" customFormat="false" ht="15" hidden="false" customHeight="false" outlineLevel="0" collapsed="false">
      <c r="A166" s="14"/>
      <c r="B166" s="17" t="str">
        <f aca="false">IF($A166="","",IFERROR(INDEX(Policy!$B$2:$B$301,MATCH($A166,Policy!$A$2:$A$301,0)),"MRO không có"))</f>
        <v/>
      </c>
      <c r="C166" s="17" t="str">
        <f aca="false">IF($A166="","",IFERROR(INDEX(Policy!$E$2:$E$301,MATCH($A166,Policy!$A$2:$A$301,0)),"MRO không có"))</f>
        <v/>
      </c>
      <c r="D166" s="14"/>
      <c r="E166" s="15"/>
      <c r="F166" s="15"/>
      <c r="G166" s="14"/>
      <c r="H166" s="14"/>
      <c r="I166" s="14"/>
      <c r="J166" s="14"/>
      <c r="K166" s="14"/>
      <c r="L166" s="23"/>
      <c r="M166" s="23"/>
      <c r="N166" s="23"/>
      <c r="O166" s="23"/>
      <c r="P166" s="24" t="str">
        <f aca="false">IF($A166="","",L166+M166+N166+O166)</f>
        <v/>
      </c>
      <c r="Q166" s="22" t="str">
        <f aca="false">IF($A166="","",IFERROR(INDEX(Risk!$D$2:$D$301,MATCH($A166,Policy!$A$2:$A$301,0)),0))</f>
        <v/>
      </c>
      <c r="R166" s="24" t="str">
        <f aca="false">IF($A166="","",L166*Q166/100)</f>
        <v/>
      </c>
      <c r="S166" s="24" t="str">
        <f aca="false">IF($A166="","",M166*Q166/100)</f>
        <v/>
      </c>
      <c r="T166" s="24" t="str">
        <f aca="false">IF($A166="","",N166*Q166/100)</f>
        <v/>
      </c>
      <c r="U166" s="24" t="str">
        <f aca="false">IF($A166="","",O166*Q166/100)</f>
        <v/>
      </c>
      <c r="V166" s="24" t="str">
        <f aca="false">IF($A166="","",R166+S166+T166+U166)</f>
        <v/>
      </c>
      <c r="W166" s="14"/>
      <c r="X166" s="15"/>
      <c r="Y166" s="23"/>
      <c r="Z166" s="14"/>
    </row>
    <row r="167" customFormat="false" ht="15" hidden="false" customHeight="false" outlineLevel="0" collapsed="false">
      <c r="A167" s="14"/>
      <c r="B167" s="17" t="str">
        <f aca="false">IF($A167="","",IFERROR(INDEX(Policy!$B$2:$B$301,MATCH($A167,Policy!$A$2:$A$301,0)),"MRO không có"))</f>
        <v/>
      </c>
      <c r="C167" s="17" t="str">
        <f aca="false">IF($A167="","",IFERROR(INDEX(Policy!$E$2:$E$301,MATCH($A167,Policy!$A$2:$A$301,0)),"MRO không có"))</f>
        <v/>
      </c>
      <c r="D167" s="14"/>
      <c r="E167" s="15"/>
      <c r="F167" s="15"/>
      <c r="G167" s="14"/>
      <c r="H167" s="14"/>
      <c r="I167" s="14"/>
      <c r="J167" s="14"/>
      <c r="K167" s="14"/>
      <c r="L167" s="23"/>
      <c r="M167" s="23"/>
      <c r="N167" s="23"/>
      <c r="O167" s="23"/>
      <c r="P167" s="24" t="str">
        <f aca="false">IF($A167="","",L167+M167+N167+O167)</f>
        <v/>
      </c>
      <c r="Q167" s="22" t="str">
        <f aca="false">IF($A167="","",IFERROR(INDEX(Risk!$D$2:$D$301,MATCH($A167,Policy!$A$2:$A$301,0)),0))</f>
        <v/>
      </c>
      <c r="R167" s="24" t="str">
        <f aca="false">IF($A167="","",L167*Q167/100)</f>
        <v/>
      </c>
      <c r="S167" s="24" t="str">
        <f aca="false">IF($A167="","",M167*Q167/100)</f>
        <v/>
      </c>
      <c r="T167" s="24" t="str">
        <f aca="false">IF($A167="","",N167*Q167/100)</f>
        <v/>
      </c>
      <c r="U167" s="24" t="str">
        <f aca="false">IF($A167="","",O167*Q167/100)</f>
        <v/>
      </c>
      <c r="V167" s="24" t="str">
        <f aca="false">IF($A167="","",R167+S167+T167+U167)</f>
        <v/>
      </c>
      <c r="W167" s="14"/>
      <c r="X167" s="15"/>
      <c r="Y167" s="23"/>
      <c r="Z167" s="14"/>
    </row>
    <row r="168" customFormat="false" ht="15" hidden="false" customHeight="false" outlineLevel="0" collapsed="false">
      <c r="A168" s="14"/>
      <c r="B168" s="17" t="str">
        <f aca="false">IF($A168="","",IFERROR(INDEX(Policy!$B$2:$B$301,MATCH($A168,Policy!$A$2:$A$301,0)),"MRO không có"))</f>
        <v/>
      </c>
      <c r="C168" s="17" t="str">
        <f aca="false">IF($A168="","",IFERROR(INDEX(Policy!$E$2:$E$301,MATCH($A168,Policy!$A$2:$A$301,0)),"MRO không có"))</f>
        <v/>
      </c>
      <c r="D168" s="14"/>
      <c r="E168" s="15"/>
      <c r="F168" s="15"/>
      <c r="G168" s="14"/>
      <c r="H168" s="14"/>
      <c r="I168" s="14"/>
      <c r="J168" s="14"/>
      <c r="K168" s="14"/>
      <c r="L168" s="23"/>
      <c r="M168" s="23"/>
      <c r="N168" s="23"/>
      <c r="O168" s="23"/>
      <c r="P168" s="24" t="str">
        <f aca="false">IF($A168="","",L168+M168+N168+O168)</f>
        <v/>
      </c>
      <c r="Q168" s="22" t="str">
        <f aca="false">IF($A168="","",IFERROR(INDEX(Risk!$D$2:$D$301,MATCH($A168,Policy!$A$2:$A$301,0)),0))</f>
        <v/>
      </c>
      <c r="R168" s="24" t="str">
        <f aca="false">IF($A168="","",L168*Q168/100)</f>
        <v/>
      </c>
      <c r="S168" s="24" t="str">
        <f aca="false">IF($A168="","",M168*Q168/100)</f>
        <v/>
      </c>
      <c r="T168" s="24" t="str">
        <f aca="false">IF($A168="","",N168*Q168/100)</f>
        <v/>
      </c>
      <c r="U168" s="24" t="str">
        <f aca="false">IF($A168="","",O168*Q168/100)</f>
        <v/>
      </c>
      <c r="V168" s="24" t="str">
        <f aca="false">IF($A168="","",R168+S168+T168+U168)</f>
        <v/>
      </c>
      <c r="W168" s="14"/>
      <c r="X168" s="15"/>
      <c r="Y168" s="23"/>
      <c r="Z168" s="14"/>
    </row>
    <row r="169" customFormat="false" ht="15" hidden="false" customHeight="false" outlineLevel="0" collapsed="false">
      <c r="A169" s="14"/>
      <c r="B169" s="17" t="str">
        <f aca="false">IF($A169="","",IFERROR(INDEX(Policy!$B$2:$B$301,MATCH($A169,Policy!$A$2:$A$301,0)),"MRO không có"))</f>
        <v/>
      </c>
      <c r="C169" s="17" t="str">
        <f aca="false">IF($A169="","",IFERROR(INDEX(Policy!$E$2:$E$301,MATCH($A169,Policy!$A$2:$A$301,0)),"MRO không có"))</f>
        <v/>
      </c>
      <c r="D169" s="14"/>
      <c r="E169" s="15"/>
      <c r="F169" s="15"/>
      <c r="G169" s="14"/>
      <c r="H169" s="14"/>
      <c r="I169" s="14"/>
      <c r="J169" s="14"/>
      <c r="K169" s="14"/>
      <c r="L169" s="23"/>
      <c r="M169" s="23"/>
      <c r="N169" s="23"/>
      <c r="O169" s="23"/>
      <c r="P169" s="24" t="str">
        <f aca="false">IF($A169="","",L169+M169+N169+O169)</f>
        <v/>
      </c>
      <c r="Q169" s="22" t="str">
        <f aca="false">IF($A169="","",IFERROR(INDEX(Risk!$D$2:$D$301,MATCH($A169,Policy!$A$2:$A$301,0)),0))</f>
        <v/>
      </c>
      <c r="R169" s="24" t="str">
        <f aca="false">IF($A169="","",L169*Q169/100)</f>
        <v/>
      </c>
      <c r="S169" s="24" t="str">
        <f aca="false">IF($A169="","",M169*Q169/100)</f>
        <v/>
      </c>
      <c r="T169" s="24" t="str">
        <f aca="false">IF($A169="","",N169*Q169/100)</f>
        <v/>
      </c>
      <c r="U169" s="24" t="str">
        <f aca="false">IF($A169="","",O169*Q169/100)</f>
        <v/>
      </c>
      <c r="V169" s="24" t="str">
        <f aca="false">IF($A169="","",R169+S169+T169+U169)</f>
        <v/>
      </c>
      <c r="W169" s="14"/>
      <c r="X169" s="15"/>
      <c r="Y169" s="23"/>
      <c r="Z169" s="14"/>
    </row>
    <row r="170" customFormat="false" ht="15" hidden="false" customHeight="false" outlineLevel="0" collapsed="false">
      <c r="A170" s="14"/>
      <c r="B170" s="17" t="str">
        <f aca="false">IF($A170="","",IFERROR(INDEX(Policy!$B$2:$B$301,MATCH($A170,Policy!$A$2:$A$301,0)),"MRO không có"))</f>
        <v/>
      </c>
      <c r="C170" s="17" t="str">
        <f aca="false">IF($A170="","",IFERROR(INDEX(Policy!$E$2:$E$301,MATCH($A170,Policy!$A$2:$A$301,0)),"MRO không có"))</f>
        <v/>
      </c>
      <c r="D170" s="14"/>
      <c r="E170" s="15"/>
      <c r="F170" s="15"/>
      <c r="G170" s="14"/>
      <c r="H170" s="14"/>
      <c r="I170" s="14"/>
      <c r="J170" s="14"/>
      <c r="K170" s="14"/>
      <c r="L170" s="23"/>
      <c r="M170" s="23"/>
      <c r="N170" s="23"/>
      <c r="O170" s="23"/>
      <c r="P170" s="24" t="str">
        <f aca="false">IF($A170="","",L170+M170+N170+O170)</f>
        <v/>
      </c>
      <c r="Q170" s="22" t="str">
        <f aca="false">IF($A170="","",IFERROR(INDEX(Risk!$D$2:$D$301,MATCH($A170,Policy!$A$2:$A$301,0)),0))</f>
        <v/>
      </c>
      <c r="R170" s="24" t="str">
        <f aca="false">IF($A170="","",L170*Q170/100)</f>
        <v/>
      </c>
      <c r="S170" s="24" t="str">
        <f aca="false">IF($A170="","",M170*Q170/100)</f>
        <v/>
      </c>
      <c r="T170" s="24" t="str">
        <f aca="false">IF($A170="","",N170*Q170/100)</f>
        <v/>
      </c>
      <c r="U170" s="24" t="str">
        <f aca="false">IF($A170="","",O170*Q170/100)</f>
        <v/>
      </c>
      <c r="V170" s="24" t="str">
        <f aca="false">IF($A170="","",R170+S170+T170+U170)</f>
        <v/>
      </c>
      <c r="W170" s="14"/>
      <c r="X170" s="15"/>
      <c r="Y170" s="23"/>
      <c r="Z170" s="14"/>
    </row>
    <row r="171" customFormat="false" ht="15" hidden="false" customHeight="false" outlineLevel="0" collapsed="false">
      <c r="A171" s="14"/>
      <c r="B171" s="17" t="str">
        <f aca="false">IF($A171="","",IFERROR(INDEX(Policy!$B$2:$B$301,MATCH($A171,Policy!$A$2:$A$301,0)),"MRO không có"))</f>
        <v/>
      </c>
      <c r="C171" s="17" t="str">
        <f aca="false">IF($A171="","",IFERROR(INDEX(Policy!$E$2:$E$301,MATCH($A171,Policy!$A$2:$A$301,0)),"MRO không có"))</f>
        <v/>
      </c>
      <c r="D171" s="14"/>
      <c r="E171" s="15"/>
      <c r="F171" s="15"/>
      <c r="G171" s="14"/>
      <c r="H171" s="14"/>
      <c r="I171" s="14"/>
      <c r="J171" s="14"/>
      <c r="K171" s="14"/>
      <c r="L171" s="23"/>
      <c r="M171" s="23"/>
      <c r="N171" s="23"/>
      <c r="O171" s="23"/>
      <c r="P171" s="24" t="str">
        <f aca="false">IF($A171="","",L171+M171+N171+O171)</f>
        <v/>
      </c>
      <c r="Q171" s="22" t="str">
        <f aca="false">IF($A171="","",IFERROR(INDEX(Risk!$D$2:$D$301,MATCH($A171,Policy!$A$2:$A$301,0)),0))</f>
        <v/>
      </c>
      <c r="R171" s="24" t="str">
        <f aca="false">IF($A171="","",L171*Q171/100)</f>
        <v/>
      </c>
      <c r="S171" s="24" t="str">
        <f aca="false">IF($A171="","",M171*Q171/100)</f>
        <v/>
      </c>
      <c r="T171" s="24" t="str">
        <f aca="false">IF($A171="","",N171*Q171/100)</f>
        <v/>
      </c>
      <c r="U171" s="24" t="str">
        <f aca="false">IF($A171="","",O171*Q171/100)</f>
        <v/>
      </c>
      <c r="V171" s="24" t="str">
        <f aca="false">IF($A171="","",R171+S171+T171+U171)</f>
        <v/>
      </c>
      <c r="W171" s="14"/>
      <c r="X171" s="15"/>
      <c r="Y171" s="23"/>
      <c r="Z171" s="14"/>
    </row>
    <row r="172" customFormat="false" ht="15" hidden="false" customHeight="false" outlineLevel="0" collapsed="false">
      <c r="A172" s="14"/>
      <c r="B172" s="17" t="str">
        <f aca="false">IF($A172="","",IFERROR(INDEX(Policy!$B$2:$B$301,MATCH($A172,Policy!$A$2:$A$301,0)),"MRO không có"))</f>
        <v/>
      </c>
      <c r="C172" s="17" t="str">
        <f aca="false">IF($A172="","",IFERROR(INDEX(Policy!$E$2:$E$301,MATCH($A172,Policy!$A$2:$A$301,0)),"MRO không có"))</f>
        <v/>
      </c>
      <c r="D172" s="14"/>
      <c r="E172" s="15"/>
      <c r="F172" s="15"/>
      <c r="G172" s="14"/>
      <c r="H172" s="14"/>
      <c r="I172" s="14"/>
      <c r="J172" s="14"/>
      <c r="K172" s="14"/>
      <c r="L172" s="23"/>
      <c r="M172" s="23"/>
      <c r="N172" s="23"/>
      <c r="O172" s="23"/>
      <c r="P172" s="24" t="str">
        <f aca="false">IF($A172="","",L172+M172+N172+O172)</f>
        <v/>
      </c>
      <c r="Q172" s="22" t="str">
        <f aca="false">IF($A172="","",IFERROR(INDEX(Risk!$D$2:$D$301,MATCH($A172,Policy!$A$2:$A$301,0)),0))</f>
        <v/>
      </c>
      <c r="R172" s="24" t="str">
        <f aca="false">IF($A172="","",L172*Q172/100)</f>
        <v/>
      </c>
      <c r="S172" s="24" t="str">
        <f aca="false">IF($A172="","",M172*Q172/100)</f>
        <v/>
      </c>
      <c r="T172" s="24" t="str">
        <f aca="false">IF($A172="","",N172*Q172/100)</f>
        <v/>
      </c>
      <c r="U172" s="24" t="str">
        <f aca="false">IF($A172="","",O172*Q172/100)</f>
        <v/>
      </c>
      <c r="V172" s="24" t="str">
        <f aca="false">IF($A172="","",R172+S172+T172+U172)</f>
        <v/>
      </c>
      <c r="W172" s="14"/>
      <c r="X172" s="15"/>
      <c r="Y172" s="23"/>
      <c r="Z172" s="14"/>
    </row>
    <row r="173" customFormat="false" ht="15" hidden="false" customHeight="false" outlineLevel="0" collapsed="false">
      <c r="A173" s="14"/>
      <c r="B173" s="17" t="str">
        <f aca="false">IF($A173="","",IFERROR(INDEX(Policy!$B$2:$B$301,MATCH($A173,Policy!$A$2:$A$301,0)),"MRO không có"))</f>
        <v/>
      </c>
      <c r="C173" s="17" t="str">
        <f aca="false">IF($A173="","",IFERROR(INDEX(Policy!$E$2:$E$301,MATCH($A173,Policy!$A$2:$A$301,0)),"MRO không có"))</f>
        <v/>
      </c>
      <c r="D173" s="14"/>
      <c r="E173" s="15"/>
      <c r="F173" s="15"/>
      <c r="G173" s="14"/>
      <c r="H173" s="14"/>
      <c r="I173" s="14"/>
      <c r="J173" s="14"/>
      <c r="K173" s="14"/>
      <c r="L173" s="23"/>
      <c r="M173" s="23"/>
      <c r="N173" s="23"/>
      <c r="O173" s="23"/>
      <c r="P173" s="24" t="str">
        <f aca="false">IF($A173="","",L173+M173+N173+O173)</f>
        <v/>
      </c>
      <c r="Q173" s="22" t="str">
        <f aca="false">IF($A173="","",IFERROR(INDEX(Risk!$D$2:$D$301,MATCH($A173,Policy!$A$2:$A$301,0)),0))</f>
        <v/>
      </c>
      <c r="R173" s="24" t="str">
        <f aca="false">IF($A173="","",L173*Q173/100)</f>
        <v/>
      </c>
      <c r="S173" s="24" t="str">
        <f aca="false">IF($A173="","",M173*Q173/100)</f>
        <v/>
      </c>
      <c r="T173" s="24" t="str">
        <f aca="false">IF($A173="","",N173*Q173/100)</f>
        <v/>
      </c>
      <c r="U173" s="24" t="str">
        <f aca="false">IF($A173="","",O173*Q173/100)</f>
        <v/>
      </c>
      <c r="V173" s="24" t="str">
        <f aca="false">IF($A173="","",R173+S173+T173+U173)</f>
        <v/>
      </c>
      <c r="W173" s="14"/>
      <c r="X173" s="15"/>
      <c r="Y173" s="23"/>
      <c r="Z173" s="14"/>
    </row>
    <row r="174" customFormat="false" ht="15" hidden="false" customHeight="false" outlineLevel="0" collapsed="false">
      <c r="A174" s="14"/>
      <c r="B174" s="17" t="str">
        <f aca="false">IF($A174="","",IFERROR(INDEX(Policy!$B$2:$B$301,MATCH($A174,Policy!$A$2:$A$301,0)),"MRO không có"))</f>
        <v/>
      </c>
      <c r="C174" s="17" t="str">
        <f aca="false">IF($A174="","",IFERROR(INDEX(Policy!$E$2:$E$301,MATCH($A174,Policy!$A$2:$A$301,0)),"MRO không có"))</f>
        <v/>
      </c>
      <c r="D174" s="14"/>
      <c r="E174" s="15"/>
      <c r="F174" s="15"/>
      <c r="G174" s="14"/>
      <c r="H174" s="14"/>
      <c r="I174" s="14"/>
      <c r="J174" s="14"/>
      <c r="K174" s="14"/>
      <c r="L174" s="23"/>
      <c r="M174" s="23"/>
      <c r="N174" s="23"/>
      <c r="O174" s="23"/>
      <c r="P174" s="24" t="str">
        <f aca="false">IF($A174="","",L174+M174+N174+O174)</f>
        <v/>
      </c>
      <c r="Q174" s="22" t="str">
        <f aca="false">IF($A174="","",IFERROR(INDEX(Risk!$D$2:$D$301,MATCH($A174,Policy!$A$2:$A$301,0)),0))</f>
        <v/>
      </c>
      <c r="R174" s="24" t="str">
        <f aca="false">IF($A174="","",L174*Q174/100)</f>
        <v/>
      </c>
      <c r="S174" s="24" t="str">
        <f aca="false">IF($A174="","",M174*Q174/100)</f>
        <v/>
      </c>
      <c r="T174" s="24" t="str">
        <f aca="false">IF($A174="","",N174*Q174/100)</f>
        <v/>
      </c>
      <c r="U174" s="24" t="str">
        <f aca="false">IF($A174="","",O174*Q174/100)</f>
        <v/>
      </c>
      <c r="V174" s="24" t="str">
        <f aca="false">IF($A174="","",R174+S174+T174+U174)</f>
        <v/>
      </c>
      <c r="W174" s="14"/>
      <c r="X174" s="15"/>
      <c r="Y174" s="23"/>
      <c r="Z174" s="14"/>
    </row>
    <row r="175" customFormat="false" ht="15" hidden="false" customHeight="false" outlineLevel="0" collapsed="false">
      <c r="A175" s="14"/>
      <c r="B175" s="17" t="str">
        <f aca="false">IF($A175="","",IFERROR(INDEX(Policy!$B$2:$B$301,MATCH($A175,Policy!$A$2:$A$301,0)),"MRO không có"))</f>
        <v/>
      </c>
      <c r="C175" s="17" t="str">
        <f aca="false">IF($A175="","",IFERROR(INDEX(Policy!$E$2:$E$301,MATCH($A175,Policy!$A$2:$A$301,0)),"MRO không có"))</f>
        <v/>
      </c>
      <c r="D175" s="14"/>
      <c r="E175" s="15"/>
      <c r="F175" s="15"/>
      <c r="G175" s="14"/>
      <c r="H175" s="14"/>
      <c r="I175" s="14"/>
      <c r="J175" s="14"/>
      <c r="K175" s="14"/>
      <c r="L175" s="23"/>
      <c r="M175" s="23"/>
      <c r="N175" s="23"/>
      <c r="O175" s="23"/>
      <c r="P175" s="24" t="str">
        <f aca="false">IF($A175="","",L175+M175+N175+O175)</f>
        <v/>
      </c>
      <c r="Q175" s="22" t="str">
        <f aca="false">IF($A175="","",IFERROR(INDEX(Risk!$D$2:$D$301,MATCH($A175,Policy!$A$2:$A$301,0)),0))</f>
        <v/>
      </c>
      <c r="R175" s="24" t="str">
        <f aca="false">IF($A175="","",L175*Q175/100)</f>
        <v/>
      </c>
      <c r="S175" s="24" t="str">
        <f aca="false">IF($A175="","",M175*Q175/100)</f>
        <v/>
      </c>
      <c r="T175" s="24" t="str">
        <f aca="false">IF($A175="","",N175*Q175/100)</f>
        <v/>
      </c>
      <c r="U175" s="24" t="str">
        <f aca="false">IF($A175="","",O175*Q175/100)</f>
        <v/>
      </c>
      <c r="V175" s="24" t="str">
        <f aca="false">IF($A175="","",R175+S175+T175+U175)</f>
        <v/>
      </c>
      <c r="W175" s="14"/>
      <c r="X175" s="15"/>
      <c r="Y175" s="23"/>
      <c r="Z175" s="14"/>
    </row>
    <row r="176" customFormat="false" ht="15" hidden="false" customHeight="false" outlineLevel="0" collapsed="false">
      <c r="A176" s="14"/>
      <c r="B176" s="17" t="str">
        <f aca="false">IF($A176="","",IFERROR(INDEX(Policy!$B$2:$B$301,MATCH($A176,Policy!$A$2:$A$301,0)),"MRO không có"))</f>
        <v/>
      </c>
      <c r="C176" s="17" t="str">
        <f aca="false">IF($A176="","",IFERROR(INDEX(Policy!$E$2:$E$301,MATCH($A176,Policy!$A$2:$A$301,0)),"MRO không có"))</f>
        <v/>
      </c>
      <c r="D176" s="14"/>
      <c r="E176" s="15"/>
      <c r="F176" s="15"/>
      <c r="G176" s="14"/>
      <c r="H176" s="14"/>
      <c r="I176" s="14"/>
      <c r="J176" s="14"/>
      <c r="K176" s="14"/>
      <c r="L176" s="23"/>
      <c r="M176" s="23"/>
      <c r="N176" s="23"/>
      <c r="O176" s="23"/>
      <c r="P176" s="24" t="str">
        <f aca="false">IF($A176="","",L176+M176+N176+O176)</f>
        <v/>
      </c>
      <c r="Q176" s="22" t="str">
        <f aca="false">IF($A176="","",IFERROR(INDEX(Risk!$D$2:$D$301,MATCH($A176,Policy!$A$2:$A$301,0)),0))</f>
        <v/>
      </c>
      <c r="R176" s="24" t="str">
        <f aca="false">IF($A176="","",L176*Q176/100)</f>
        <v/>
      </c>
      <c r="S176" s="24" t="str">
        <f aca="false">IF($A176="","",M176*Q176/100)</f>
        <v/>
      </c>
      <c r="T176" s="24" t="str">
        <f aca="false">IF($A176="","",N176*Q176/100)</f>
        <v/>
      </c>
      <c r="U176" s="24" t="str">
        <f aca="false">IF($A176="","",O176*Q176/100)</f>
        <v/>
      </c>
      <c r="V176" s="24" t="str">
        <f aca="false">IF($A176="","",R176+S176+T176+U176)</f>
        <v/>
      </c>
      <c r="W176" s="14"/>
      <c r="X176" s="15"/>
      <c r="Y176" s="23"/>
      <c r="Z176" s="14"/>
    </row>
    <row r="177" customFormat="false" ht="15" hidden="false" customHeight="false" outlineLevel="0" collapsed="false">
      <c r="A177" s="14"/>
      <c r="B177" s="17" t="str">
        <f aca="false">IF($A177="","",IFERROR(INDEX(Policy!$B$2:$B$301,MATCH($A177,Policy!$A$2:$A$301,0)),"MRO không có"))</f>
        <v/>
      </c>
      <c r="C177" s="17" t="str">
        <f aca="false">IF($A177="","",IFERROR(INDEX(Policy!$E$2:$E$301,MATCH($A177,Policy!$A$2:$A$301,0)),"MRO không có"))</f>
        <v/>
      </c>
      <c r="D177" s="14"/>
      <c r="E177" s="15"/>
      <c r="F177" s="15"/>
      <c r="G177" s="14"/>
      <c r="H177" s="14"/>
      <c r="I177" s="14"/>
      <c r="J177" s="14"/>
      <c r="K177" s="14"/>
      <c r="L177" s="23"/>
      <c r="M177" s="23"/>
      <c r="N177" s="23"/>
      <c r="O177" s="23"/>
      <c r="P177" s="24" t="str">
        <f aca="false">IF($A177="","",L177+M177+N177+O177)</f>
        <v/>
      </c>
      <c r="Q177" s="22" t="str">
        <f aca="false">IF($A177="","",IFERROR(INDEX(Risk!$D$2:$D$301,MATCH($A177,Policy!$A$2:$A$301,0)),0))</f>
        <v/>
      </c>
      <c r="R177" s="24" t="str">
        <f aca="false">IF($A177="","",L177*Q177/100)</f>
        <v/>
      </c>
      <c r="S177" s="24" t="str">
        <f aca="false">IF($A177="","",M177*Q177/100)</f>
        <v/>
      </c>
      <c r="T177" s="24" t="str">
        <f aca="false">IF($A177="","",N177*Q177/100)</f>
        <v/>
      </c>
      <c r="U177" s="24" t="str">
        <f aca="false">IF($A177="","",O177*Q177/100)</f>
        <v/>
      </c>
      <c r="V177" s="24" t="str">
        <f aca="false">IF($A177="","",R177+S177+T177+U177)</f>
        <v/>
      </c>
      <c r="W177" s="14"/>
      <c r="X177" s="15"/>
      <c r="Y177" s="23"/>
      <c r="Z177" s="14"/>
    </row>
    <row r="178" customFormat="false" ht="15" hidden="false" customHeight="false" outlineLevel="0" collapsed="false">
      <c r="A178" s="14"/>
      <c r="B178" s="17" t="str">
        <f aca="false">IF($A178="","",IFERROR(INDEX(Policy!$B$2:$B$301,MATCH($A178,Policy!$A$2:$A$301,0)),"MRO không có"))</f>
        <v/>
      </c>
      <c r="C178" s="17" t="str">
        <f aca="false">IF($A178="","",IFERROR(INDEX(Policy!$E$2:$E$301,MATCH($A178,Policy!$A$2:$A$301,0)),"MRO không có"))</f>
        <v/>
      </c>
      <c r="D178" s="14"/>
      <c r="E178" s="15"/>
      <c r="F178" s="15"/>
      <c r="G178" s="14"/>
      <c r="H178" s="14"/>
      <c r="I178" s="14"/>
      <c r="J178" s="14"/>
      <c r="K178" s="14"/>
      <c r="L178" s="23"/>
      <c r="M178" s="23"/>
      <c r="N178" s="23"/>
      <c r="O178" s="23"/>
      <c r="P178" s="24" t="str">
        <f aca="false">IF($A178="","",L178+M178+N178+O178)</f>
        <v/>
      </c>
      <c r="Q178" s="22" t="str">
        <f aca="false">IF($A178="","",IFERROR(INDEX(Risk!$D$2:$D$301,MATCH($A178,Policy!$A$2:$A$301,0)),0))</f>
        <v/>
      </c>
      <c r="R178" s="24" t="str">
        <f aca="false">IF($A178="","",L178*Q178/100)</f>
        <v/>
      </c>
      <c r="S178" s="24" t="str">
        <f aca="false">IF($A178="","",M178*Q178/100)</f>
        <v/>
      </c>
      <c r="T178" s="24" t="str">
        <f aca="false">IF($A178="","",N178*Q178/100)</f>
        <v/>
      </c>
      <c r="U178" s="24" t="str">
        <f aca="false">IF($A178="","",O178*Q178/100)</f>
        <v/>
      </c>
      <c r="V178" s="24" t="str">
        <f aca="false">IF($A178="","",R178+S178+T178+U178)</f>
        <v/>
      </c>
      <c r="W178" s="14"/>
      <c r="X178" s="15"/>
      <c r="Y178" s="23"/>
      <c r="Z178" s="14"/>
    </row>
    <row r="179" customFormat="false" ht="15" hidden="false" customHeight="false" outlineLevel="0" collapsed="false">
      <c r="A179" s="14"/>
      <c r="B179" s="17" t="str">
        <f aca="false">IF($A179="","",IFERROR(INDEX(Policy!$B$2:$B$301,MATCH($A179,Policy!$A$2:$A$301,0)),"MRO không có"))</f>
        <v/>
      </c>
      <c r="C179" s="17" t="str">
        <f aca="false">IF($A179="","",IFERROR(INDEX(Policy!$E$2:$E$301,MATCH($A179,Policy!$A$2:$A$301,0)),"MRO không có"))</f>
        <v/>
      </c>
      <c r="D179" s="14"/>
      <c r="E179" s="15"/>
      <c r="F179" s="15"/>
      <c r="G179" s="14"/>
      <c r="H179" s="14"/>
      <c r="I179" s="14"/>
      <c r="J179" s="14"/>
      <c r="K179" s="14"/>
      <c r="L179" s="23"/>
      <c r="M179" s="23"/>
      <c r="N179" s="23"/>
      <c r="O179" s="23"/>
      <c r="P179" s="24" t="str">
        <f aca="false">IF($A179="","",L179+M179+N179+O179)</f>
        <v/>
      </c>
      <c r="Q179" s="22" t="str">
        <f aca="false">IF($A179="","",IFERROR(INDEX(Risk!$D$2:$D$301,MATCH($A179,Policy!$A$2:$A$301,0)),0))</f>
        <v/>
      </c>
      <c r="R179" s="24" t="str">
        <f aca="false">IF($A179="","",L179*Q179/100)</f>
        <v/>
      </c>
      <c r="S179" s="24" t="str">
        <f aca="false">IF($A179="","",M179*Q179/100)</f>
        <v/>
      </c>
      <c r="T179" s="24" t="str">
        <f aca="false">IF($A179="","",N179*Q179/100)</f>
        <v/>
      </c>
      <c r="U179" s="24" t="str">
        <f aca="false">IF($A179="","",O179*Q179/100)</f>
        <v/>
      </c>
      <c r="V179" s="24" t="str">
        <f aca="false">IF($A179="","",R179+S179+T179+U179)</f>
        <v/>
      </c>
      <c r="W179" s="14"/>
      <c r="X179" s="15"/>
      <c r="Y179" s="23"/>
      <c r="Z179" s="14"/>
    </row>
    <row r="180" customFormat="false" ht="15" hidden="false" customHeight="false" outlineLevel="0" collapsed="false">
      <c r="A180" s="14"/>
      <c r="B180" s="17" t="str">
        <f aca="false">IF($A180="","",IFERROR(INDEX(Policy!$B$2:$B$301,MATCH($A180,Policy!$A$2:$A$301,0)),"MRO không có"))</f>
        <v/>
      </c>
      <c r="C180" s="17" t="str">
        <f aca="false">IF($A180="","",IFERROR(INDEX(Policy!$E$2:$E$301,MATCH($A180,Policy!$A$2:$A$301,0)),"MRO không có"))</f>
        <v/>
      </c>
      <c r="D180" s="14"/>
      <c r="E180" s="15"/>
      <c r="F180" s="15"/>
      <c r="G180" s="14"/>
      <c r="H180" s="14"/>
      <c r="I180" s="14"/>
      <c r="J180" s="14"/>
      <c r="K180" s="14"/>
      <c r="L180" s="23"/>
      <c r="M180" s="23"/>
      <c r="N180" s="23"/>
      <c r="O180" s="23"/>
      <c r="P180" s="24" t="str">
        <f aca="false">IF($A180="","",L180+M180+N180+O180)</f>
        <v/>
      </c>
      <c r="Q180" s="22" t="str">
        <f aca="false">IF($A180="","",IFERROR(INDEX(Risk!$D$2:$D$301,MATCH($A180,Policy!$A$2:$A$301,0)),0))</f>
        <v/>
      </c>
      <c r="R180" s="24" t="str">
        <f aca="false">IF($A180="","",L180*Q180/100)</f>
        <v/>
      </c>
      <c r="S180" s="24" t="str">
        <f aca="false">IF($A180="","",M180*Q180/100)</f>
        <v/>
      </c>
      <c r="T180" s="24" t="str">
        <f aca="false">IF($A180="","",N180*Q180/100)</f>
        <v/>
      </c>
      <c r="U180" s="24" t="str">
        <f aca="false">IF($A180="","",O180*Q180/100)</f>
        <v/>
      </c>
      <c r="V180" s="24" t="str">
        <f aca="false">IF($A180="","",R180+S180+T180+U180)</f>
        <v/>
      </c>
      <c r="W180" s="14"/>
      <c r="X180" s="15"/>
      <c r="Y180" s="23"/>
      <c r="Z180" s="14"/>
    </row>
    <row r="181" customFormat="false" ht="15" hidden="false" customHeight="false" outlineLevel="0" collapsed="false">
      <c r="A181" s="14"/>
      <c r="B181" s="17" t="str">
        <f aca="false">IF($A181="","",IFERROR(INDEX(Policy!$B$2:$B$301,MATCH($A181,Policy!$A$2:$A$301,0)),"MRO không có"))</f>
        <v/>
      </c>
      <c r="C181" s="17" t="str">
        <f aca="false">IF($A181="","",IFERROR(INDEX(Policy!$E$2:$E$301,MATCH($A181,Policy!$A$2:$A$301,0)),"MRO không có"))</f>
        <v/>
      </c>
      <c r="D181" s="14"/>
      <c r="E181" s="15"/>
      <c r="F181" s="15"/>
      <c r="G181" s="14"/>
      <c r="H181" s="14"/>
      <c r="I181" s="14"/>
      <c r="J181" s="14"/>
      <c r="K181" s="14"/>
      <c r="L181" s="23"/>
      <c r="M181" s="23"/>
      <c r="N181" s="23"/>
      <c r="O181" s="23"/>
      <c r="P181" s="24" t="str">
        <f aca="false">IF($A181="","",L181+M181+N181+O181)</f>
        <v/>
      </c>
      <c r="Q181" s="22" t="str">
        <f aca="false">IF($A181="","",IFERROR(INDEX(Risk!$D$2:$D$301,MATCH($A181,Policy!$A$2:$A$301,0)),0))</f>
        <v/>
      </c>
      <c r="R181" s="24" t="str">
        <f aca="false">IF($A181="","",L181*Q181/100)</f>
        <v/>
      </c>
      <c r="S181" s="24" t="str">
        <f aca="false">IF($A181="","",M181*Q181/100)</f>
        <v/>
      </c>
      <c r="T181" s="24" t="str">
        <f aca="false">IF($A181="","",N181*Q181/100)</f>
        <v/>
      </c>
      <c r="U181" s="24" t="str">
        <f aca="false">IF($A181="","",O181*Q181/100)</f>
        <v/>
      </c>
      <c r="V181" s="24" t="str">
        <f aca="false">IF($A181="","",R181+S181+T181+U181)</f>
        <v/>
      </c>
      <c r="W181" s="14"/>
      <c r="X181" s="15"/>
      <c r="Y181" s="23"/>
      <c r="Z181" s="14"/>
    </row>
    <row r="182" customFormat="false" ht="15" hidden="false" customHeight="false" outlineLevel="0" collapsed="false">
      <c r="A182" s="14"/>
      <c r="B182" s="17" t="str">
        <f aca="false">IF($A182="","",IFERROR(INDEX(Policy!$B$2:$B$301,MATCH($A182,Policy!$A$2:$A$301,0)),"MRO không có"))</f>
        <v/>
      </c>
      <c r="C182" s="17" t="str">
        <f aca="false">IF($A182="","",IFERROR(INDEX(Policy!$E$2:$E$301,MATCH($A182,Policy!$A$2:$A$301,0)),"MRO không có"))</f>
        <v/>
      </c>
      <c r="D182" s="14"/>
      <c r="E182" s="15"/>
      <c r="F182" s="15"/>
      <c r="G182" s="14"/>
      <c r="H182" s="14"/>
      <c r="I182" s="14"/>
      <c r="J182" s="14"/>
      <c r="K182" s="14"/>
      <c r="L182" s="23"/>
      <c r="M182" s="23"/>
      <c r="N182" s="23"/>
      <c r="O182" s="23"/>
      <c r="P182" s="24" t="str">
        <f aca="false">IF($A182="","",L182+M182+N182+O182)</f>
        <v/>
      </c>
      <c r="Q182" s="22" t="str">
        <f aca="false">IF($A182="","",IFERROR(INDEX(Risk!$D$2:$D$301,MATCH($A182,Policy!$A$2:$A$301,0)),0))</f>
        <v/>
      </c>
      <c r="R182" s="24" t="str">
        <f aca="false">IF($A182="","",L182*Q182/100)</f>
        <v/>
      </c>
      <c r="S182" s="24" t="str">
        <f aca="false">IF($A182="","",M182*Q182/100)</f>
        <v/>
      </c>
      <c r="T182" s="24" t="str">
        <f aca="false">IF($A182="","",N182*Q182/100)</f>
        <v/>
      </c>
      <c r="U182" s="24" t="str">
        <f aca="false">IF($A182="","",O182*Q182/100)</f>
        <v/>
      </c>
      <c r="V182" s="24" t="str">
        <f aca="false">IF($A182="","",R182+S182+T182+U182)</f>
        <v/>
      </c>
      <c r="W182" s="14"/>
      <c r="X182" s="15"/>
      <c r="Y182" s="23"/>
      <c r="Z182" s="14"/>
    </row>
    <row r="183" customFormat="false" ht="15" hidden="false" customHeight="false" outlineLevel="0" collapsed="false">
      <c r="A183" s="14"/>
      <c r="B183" s="17" t="str">
        <f aca="false">IF($A183="","",IFERROR(INDEX(Policy!$B$2:$B$301,MATCH($A183,Policy!$A$2:$A$301,0)),"MRO không có"))</f>
        <v/>
      </c>
      <c r="C183" s="17" t="str">
        <f aca="false">IF($A183="","",IFERROR(INDEX(Policy!$E$2:$E$301,MATCH($A183,Policy!$A$2:$A$301,0)),"MRO không có"))</f>
        <v/>
      </c>
      <c r="D183" s="14"/>
      <c r="E183" s="15"/>
      <c r="F183" s="15"/>
      <c r="G183" s="14"/>
      <c r="H183" s="14"/>
      <c r="I183" s="14"/>
      <c r="J183" s="14"/>
      <c r="K183" s="14"/>
      <c r="L183" s="23"/>
      <c r="M183" s="23"/>
      <c r="N183" s="23"/>
      <c r="O183" s="23"/>
      <c r="P183" s="24" t="str">
        <f aca="false">IF($A183="","",L183+M183+N183+O183)</f>
        <v/>
      </c>
      <c r="Q183" s="22" t="str">
        <f aca="false">IF($A183="","",IFERROR(INDEX(Risk!$D$2:$D$301,MATCH($A183,Policy!$A$2:$A$301,0)),0))</f>
        <v/>
      </c>
      <c r="R183" s="24" t="str">
        <f aca="false">IF($A183="","",L183*Q183/100)</f>
        <v/>
      </c>
      <c r="S183" s="24" t="str">
        <f aca="false">IF($A183="","",M183*Q183/100)</f>
        <v/>
      </c>
      <c r="T183" s="24" t="str">
        <f aca="false">IF($A183="","",N183*Q183/100)</f>
        <v/>
      </c>
      <c r="U183" s="24" t="str">
        <f aca="false">IF($A183="","",O183*Q183/100)</f>
        <v/>
      </c>
      <c r="V183" s="24" t="str">
        <f aca="false">IF($A183="","",R183+S183+T183+U183)</f>
        <v/>
      </c>
      <c r="W183" s="14"/>
      <c r="X183" s="15"/>
      <c r="Y183" s="23"/>
      <c r="Z183" s="14"/>
    </row>
    <row r="184" customFormat="false" ht="15" hidden="false" customHeight="false" outlineLevel="0" collapsed="false">
      <c r="A184" s="14"/>
      <c r="B184" s="17" t="str">
        <f aca="false">IF($A184="","",IFERROR(INDEX(Policy!$B$2:$B$301,MATCH($A184,Policy!$A$2:$A$301,0)),"MRO không có"))</f>
        <v/>
      </c>
      <c r="C184" s="17" t="str">
        <f aca="false">IF($A184="","",IFERROR(INDEX(Policy!$E$2:$E$301,MATCH($A184,Policy!$A$2:$A$301,0)),"MRO không có"))</f>
        <v/>
      </c>
      <c r="D184" s="14"/>
      <c r="E184" s="15"/>
      <c r="F184" s="15"/>
      <c r="G184" s="14"/>
      <c r="H184" s="14"/>
      <c r="I184" s="14"/>
      <c r="J184" s="14"/>
      <c r="K184" s="14"/>
      <c r="L184" s="23"/>
      <c r="M184" s="23"/>
      <c r="N184" s="23"/>
      <c r="O184" s="23"/>
      <c r="P184" s="24" t="str">
        <f aca="false">IF($A184="","",L184+M184+N184+O184)</f>
        <v/>
      </c>
      <c r="Q184" s="22" t="str">
        <f aca="false">IF($A184="","",IFERROR(INDEX(Risk!$D$2:$D$301,MATCH($A184,Policy!$A$2:$A$301,0)),0))</f>
        <v/>
      </c>
      <c r="R184" s="24" t="str">
        <f aca="false">IF($A184="","",L184*Q184/100)</f>
        <v/>
      </c>
      <c r="S184" s="24" t="str">
        <f aca="false">IF($A184="","",M184*Q184/100)</f>
        <v/>
      </c>
      <c r="T184" s="24" t="str">
        <f aca="false">IF($A184="","",N184*Q184/100)</f>
        <v/>
      </c>
      <c r="U184" s="24" t="str">
        <f aca="false">IF($A184="","",O184*Q184/100)</f>
        <v/>
      </c>
      <c r="V184" s="24" t="str">
        <f aca="false">IF($A184="","",R184+S184+T184+U184)</f>
        <v/>
      </c>
      <c r="W184" s="14"/>
      <c r="X184" s="15"/>
      <c r="Y184" s="23"/>
      <c r="Z184" s="14"/>
    </row>
    <row r="185" customFormat="false" ht="15" hidden="false" customHeight="false" outlineLevel="0" collapsed="false">
      <c r="A185" s="14"/>
      <c r="B185" s="17" t="str">
        <f aca="false">IF($A185="","",IFERROR(INDEX(Policy!$B$2:$B$301,MATCH($A185,Policy!$A$2:$A$301,0)),"MRO không có"))</f>
        <v/>
      </c>
      <c r="C185" s="17" t="str">
        <f aca="false">IF($A185="","",IFERROR(INDEX(Policy!$E$2:$E$301,MATCH($A185,Policy!$A$2:$A$301,0)),"MRO không có"))</f>
        <v/>
      </c>
      <c r="D185" s="14"/>
      <c r="E185" s="15"/>
      <c r="F185" s="15"/>
      <c r="G185" s="14"/>
      <c r="H185" s="14"/>
      <c r="I185" s="14"/>
      <c r="J185" s="14"/>
      <c r="K185" s="14"/>
      <c r="L185" s="23"/>
      <c r="M185" s="23"/>
      <c r="N185" s="23"/>
      <c r="O185" s="23"/>
      <c r="P185" s="24" t="str">
        <f aca="false">IF($A185="","",L185+M185+N185+O185)</f>
        <v/>
      </c>
      <c r="Q185" s="22" t="str">
        <f aca="false">IF($A185="","",IFERROR(INDEX(Risk!$D$2:$D$301,MATCH($A185,Policy!$A$2:$A$301,0)),0))</f>
        <v/>
      </c>
      <c r="R185" s="24" t="str">
        <f aca="false">IF($A185="","",L185*Q185/100)</f>
        <v/>
      </c>
      <c r="S185" s="24" t="str">
        <f aca="false">IF($A185="","",M185*Q185/100)</f>
        <v/>
      </c>
      <c r="T185" s="24" t="str">
        <f aca="false">IF($A185="","",N185*Q185/100)</f>
        <v/>
      </c>
      <c r="U185" s="24" t="str">
        <f aca="false">IF($A185="","",O185*Q185/100)</f>
        <v/>
      </c>
      <c r="V185" s="24" t="str">
        <f aca="false">IF($A185="","",R185+S185+T185+U185)</f>
        <v/>
      </c>
      <c r="W185" s="14"/>
      <c r="X185" s="15"/>
      <c r="Y185" s="23"/>
      <c r="Z185" s="14"/>
    </row>
    <row r="186" customFormat="false" ht="15" hidden="false" customHeight="false" outlineLevel="0" collapsed="false">
      <c r="A186" s="14"/>
      <c r="B186" s="17" t="str">
        <f aca="false">IF($A186="","",IFERROR(INDEX(Policy!$B$2:$B$301,MATCH($A186,Policy!$A$2:$A$301,0)),"MRO không có"))</f>
        <v/>
      </c>
      <c r="C186" s="17" t="str">
        <f aca="false">IF($A186="","",IFERROR(INDEX(Policy!$E$2:$E$301,MATCH($A186,Policy!$A$2:$A$301,0)),"MRO không có"))</f>
        <v/>
      </c>
      <c r="D186" s="14"/>
      <c r="E186" s="15"/>
      <c r="F186" s="15"/>
      <c r="G186" s="14"/>
      <c r="H186" s="14"/>
      <c r="I186" s="14"/>
      <c r="J186" s="14"/>
      <c r="K186" s="14"/>
      <c r="L186" s="23"/>
      <c r="M186" s="23"/>
      <c r="N186" s="23"/>
      <c r="O186" s="23"/>
      <c r="P186" s="24" t="str">
        <f aca="false">IF($A186="","",L186+M186+N186+O186)</f>
        <v/>
      </c>
      <c r="Q186" s="22" t="str">
        <f aca="false">IF($A186="","",IFERROR(INDEX(Risk!$D$2:$D$301,MATCH($A186,Policy!$A$2:$A$301,0)),0))</f>
        <v/>
      </c>
      <c r="R186" s="24" t="str">
        <f aca="false">IF($A186="","",L186*Q186/100)</f>
        <v/>
      </c>
      <c r="S186" s="24" t="str">
        <f aca="false">IF($A186="","",M186*Q186/100)</f>
        <v/>
      </c>
      <c r="T186" s="24" t="str">
        <f aca="false">IF($A186="","",N186*Q186/100)</f>
        <v/>
      </c>
      <c r="U186" s="24" t="str">
        <f aca="false">IF($A186="","",O186*Q186/100)</f>
        <v/>
      </c>
      <c r="V186" s="24" t="str">
        <f aca="false">IF($A186="","",R186+S186+T186+U186)</f>
        <v/>
      </c>
      <c r="W186" s="14"/>
      <c r="X186" s="15"/>
      <c r="Y186" s="23"/>
      <c r="Z186" s="14"/>
    </row>
    <row r="187" customFormat="false" ht="15" hidden="false" customHeight="false" outlineLevel="0" collapsed="false">
      <c r="A187" s="14"/>
      <c r="B187" s="17" t="str">
        <f aca="false">IF($A187="","",IFERROR(INDEX(Policy!$B$2:$B$301,MATCH($A187,Policy!$A$2:$A$301,0)),"MRO không có"))</f>
        <v/>
      </c>
      <c r="C187" s="17" t="str">
        <f aca="false">IF($A187="","",IFERROR(INDEX(Policy!$E$2:$E$301,MATCH($A187,Policy!$A$2:$A$301,0)),"MRO không có"))</f>
        <v/>
      </c>
      <c r="D187" s="14"/>
      <c r="E187" s="15"/>
      <c r="F187" s="15"/>
      <c r="G187" s="14"/>
      <c r="H187" s="14"/>
      <c r="I187" s="14"/>
      <c r="J187" s="14"/>
      <c r="K187" s="14"/>
      <c r="L187" s="23"/>
      <c r="M187" s="23"/>
      <c r="N187" s="23"/>
      <c r="O187" s="23"/>
      <c r="P187" s="24" t="str">
        <f aca="false">IF($A187="","",L187+M187+N187+O187)</f>
        <v/>
      </c>
      <c r="Q187" s="22" t="str">
        <f aca="false">IF($A187="","",IFERROR(INDEX(Risk!$D$2:$D$301,MATCH($A187,Policy!$A$2:$A$301,0)),0))</f>
        <v/>
      </c>
      <c r="R187" s="24" t="str">
        <f aca="false">IF($A187="","",L187*Q187/100)</f>
        <v/>
      </c>
      <c r="S187" s="24" t="str">
        <f aca="false">IF($A187="","",M187*Q187/100)</f>
        <v/>
      </c>
      <c r="T187" s="24" t="str">
        <f aca="false">IF($A187="","",N187*Q187/100)</f>
        <v/>
      </c>
      <c r="U187" s="24" t="str">
        <f aca="false">IF($A187="","",O187*Q187/100)</f>
        <v/>
      </c>
      <c r="V187" s="24" t="str">
        <f aca="false">IF($A187="","",R187+S187+T187+U187)</f>
        <v/>
      </c>
      <c r="W187" s="14"/>
      <c r="X187" s="15"/>
      <c r="Y187" s="23"/>
      <c r="Z187" s="14"/>
    </row>
    <row r="188" customFormat="false" ht="15" hidden="false" customHeight="false" outlineLevel="0" collapsed="false">
      <c r="A188" s="14"/>
      <c r="B188" s="17" t="str">
        <f aca="false">IF($A188="","",IFERROR(INDEX(Policy!$B$2:$B$301,MATCH($A188,Policy!$A$2:$A$301,0)),"MRO không có"))</f>
        <v/>
      </c>
      <c r="C188" s="17" t="str">
        <f aca="false">IF($A188="","",IFERROR(INDEX(Policy!$E$2:$E$301,MATCH($A188,Policy!$A$2:$A$301,0)),"MRO không có"))</f>
        <v/>
      </c>
      <c r="D188" s="14"/>
      <c r="E188" s="15"/>
      <c r="F188" s="15"/>
      <c r="G188" s="14"/>
      <c r="H188" s="14"/>
      <c r="I188" s="14"/>
      <c r="J188" s="14"/>
      <c r="K188" s="14"/>
      <c r="L188" s="23"/>
      <c r="M188" s="23"/>
      <c r="N188" s="23"/>
      <c r="O188" s="23"/>
      <c r="P188" s="24" t="str">
        <f aca="false">IF($A188="","",L188+M188+N188+O188)</f>
        <v/>
      </c>
      <c r="Q188" s="22" t="str">
        <f aca="false">IF($A188="","",IFERROR(INDEX(Risk!$D$2:$D$301,MATCH($A188,Policy!$A$2:$A$301,0)),0))</f>
        <v/>
      </c>
      <c r="R188" s="24" t="str">
        <f aca="false">IF($A188="","",L188*Q188/100)</f>
        <v/>
      </c>
      <c r="S188" s="24" t="str">
        <f aca="false">IF($A188="","",M188*Q188/100)</f>
        <v/>
      </c>
      <c r="T188" s="24" t="str">
        <f aca="false">IF($A188="","",N188*Q188/100)</f>
        <v/>
      </c>
      <c r="U188" s="24" t="str">
        <f aca="false">IF($A188="","",O188*Q188/100)</f>
        <v/>
      </c>
      <c r="V188" s="24" t="str">
        <f aca="false">IF($A188="","",R188+S188+T188+U188)</f>
        <v/>
      </c>
      <c r="W188" s="14"/>
      <c r="X188" s="15"/>
      <c r="Y188" s="23"/>
      <c r="Z188" s="14"/>
    </row>
    <row r="189" customFormat="false" ht="15" hidden="false" customHeight="false" outlineLevel="0" collapsed="false">
      <c r="A189" s="14"/>
      <c r="B189" s="17" t="str">
        <f aca="false">IF($A189="","",IFERROR(INDEX(Policy!$B$2:$B$301,MATCH($A189,Policy!$A$2:$A$301,0)),"MRO không có"))</f>
        <v/>
      </c>
      <c r="C189" s="17" t="str">
        <f aca="false">IF($A189="","",IFERROR(INDEX(Policy!$E$2:$E$301,MATCH($A189,Policy!$A$2:$A$301,0)),"MRO không có"))</f>
        <v/>
      </c>
      <c r="D189" s="14"/>
      <c r="E189" s="15"/>
      <c r="F189" s="15"/>
      <c r="G189" s="14"/>
      <c r="H189" s="14"/>
      <c r="I189" s="14"/>
      <c r="J189" s="14"/>
      <c r="K189" s="14"/>
      <c r="L189" s="23"/>
      <c r="M189" s="23"/>
      <c r="N189" s="23"/>
      <c r="O189" s="23"/>
      <c r="P189" s="24" t="str">
        <f aca="false">IF($A189="","",L189+M189+N189+O189)</f>
        <v/>
      </c>
      <c r="Q189" s="22" t="str">
        <f aca="false">IF($A189="","",IFERROR(INDEX(Risk!$D$2:$D$301,MATCH($A189,Policy!$A$2:$A$301,0)),0))</f>
        <v/>
      </c>
      <c r="R189" s="24" t="str">
        <f aca="false">IF($A189="","",L189*Q189/100)</f>
        <v/>
      </c>
      <c r="S189" s="24" t="str">
        <f aca="false">IF($A189="","",M189*Q189/100)</f>
        <v/>
      </c>
      <c r="T189" s="24" t="str">
        <f aca="false">IF($A189="","",N189*Q189/100)</f>
        <v/>
      </c>
      <c r="U189" s="24" t="str">
        <f aca="false">IF($A189="","",O189*Q189/100)</f>
        <v/>
      </c>
      <c r="V189" s="24" t="str">
        <f aca="false">IF($A189="","",R189+S189+T189+U189)</f>
        <v/>
      </c>
      <c r="W189" s="14"/>
      <c r="X189" s="15"/>
      <c r="Y189" s="23"/>
      <c r="Z189" s="14"/>
    </row>
    <row r="190" customFormat="false" ht="15" hidden="false" customHeight="false" outlineLevel="0" collapsed="false">
      <c r="A190" s="14"/>
      <c r="B190" s="17" t="str">
        <f aca="false">IF($A190="","",IFERROR(INDEX(Policy!$B$2:$B$301,MATCH($A190,Policy!$A$2:$A$301,0)),"MRO không có"))</f>
        <v/>
      </c>
      <c r="C190" s="17" t="str">
        <f aca="false">IF($A190="","",IFERROR(INDEX(Policy!$E$2:$E$301,MATCH($A190,Policy!$A$2:$A$301,0)),"MRO không có"))</f>
        <v/>
      </c>
      <c r="D190" s="14"/>
      <c r="E190" s="15"/>
      <c r="F190" s="15"/>
      <c r="G190" s="14"/>
      <c r="H190" s="14"/>
      <c r="I190" s="14"/>
      <c r="J190" s="14"/>
      <c r="K190" s="14"/>
      <c r="L190" s="23"/>
      <c r="M190" s="23"/>
      <c r="N190" s="23"/>
      <c r="O190" s="23"/>
      <c r="P190" s="24" t="str">
        <f aca="false">IF($A190="","",L190+M190+N190+O190)</f>
        <v/>
      </c>
      <c r="Q190" s="22" t="str">
        <f aca="false">IF($A190="","",IFERROR(INDEX(Risk!$D$2:$D$301,MATCH($A190,Policy!$A$2:$A$301,0)),0))</f>
        <v/>
      </c>
      <c r="R190" s="24" t="str">
        <f aca="false">IF($A190="","",L190*Q190/100)</f>
        <v/>
      </c>
      <c r="S190" s="24" t="str">
        <f aca="false">IF($A190="","",M190*Q190/100)</f>
        <v/>
      </c>
      <c r="T190" s="24" t="str">
        <f aca="false">IF($A190="","",N190*Q190/100)</f>
        <v/>
      </c>
      <c r="U190" s="24" t="str">
        <f aca="false">IF($A190="","",O190*Q190/100)</f>
        <v/>
      </c>
      <c r="V190" s="24" t="str">
        <f aca="false">IF($A190="","",R190+S190+T190+U190)</f>
        <v/>
      </c>
      <c r="W190" s="14"/>
      <c r="X190" s="15"/>
      <c r="Y190" s="23"/>
      <c r="Z190" s="14"/>
    </row>
    <row r="191" customFormat="false" ht="15" hidden="false" customHeight="false" outlineLevel="0" collapsed="false">
      <c r="A191" s="14"/>
      <c r="B191" s="17" t="str">
        <f aca="false">IF($A191="","",IFERROR(INDEX(Policy!$B$2:$B$301,MATCH($A191,Policy!$A$2:$A$301,0)),"MRO không có"))</f>
        <v/>
      </c>
      <c r="C191" s="17" t="str">
        <f aca="false">IF($A191="","",IFERROR(INDEX(Policy!$E$2:$E$301,MATCH($A191,Policy!$A$2:$A$301,0)),"MRO không có"))</f>
        <v/>
      </c>
      <c r="D191" s="14"/>
      <c r="E191" s="15"/>
      <c r="F191" s="15"/>
      <c r="G191" s="14"/>
      <c r="H191" s="14"/>
      <c r="I191" s="14"/>
      <c r="J191" s="14"/>
      <c r="K191" s="14"/>
      <c r="L191" s="23"/>
      <c r="M191" s="23"/>
      <c r="N191" s="23"/>
      <c r="O191" s="23"/>
      <c r="P191" s="24" t="str">
        <f aca="false">IF($A191="","",L191+M191+N191+O191)</f>
        <v/>
      </c>
      <c r="Q191" s="22" t="str">
        <f aca="false">IF($A191="","",IFERROR(INDEX(Risk!$D$2:$D$301,MATCH($A191,Policy!$A$2:$A$301,0)),0))</f>
        <v/>
      </c>
      <c r="R191" s="24" t="str">
        <f aca="false">IF($A191="","",L191*Q191/100)</f>
        <v/>
      </c>
      <c r="S191" s="24" t="str">
        <f aca="false">IF($A191="","",M191*Q191/100)</f>
        <v/>
      </c>
      <c r="T191" s="24" t="str">
        <f aca="false">IF($A191="","",N191*Q191/100)</f>
        <v/>
      </c>
      <c r="U191" s="24" t="str">
        <f aca="false">IF($A191="","",O191*Q191/100)</f>
        <v/>
      </c>
      <c r="V191" s="24" t="str">
        <f aca="false">IF($A191="","",R191+S191+T191+U191)</f>
        <v/>
      </c>
      <c r="W191" s="14"/>
      <c r="X191" s="15"/>
      <c r="Y191" s="23"/>
      <c r="Z191" s="14"/>
    </row>
    <row r="192" customFormat="false" ht="15" hidden="false" customHeight="false" outlineLevel="0" collapsed="false">
      <c r="A192" s="14"/>
      <c r="B192" s="17" t="str">
        <f aca="false">IF($A192="","",IFERROR(INDEX(Policy!$B$2:$B$301,MATCH($A192,Policy!$A$2:$A$301,0)),"MRO không có"))</f>
        <v/>
      </c>
      <c r="C192" s="17" t="str">
        <f aca="false">IF($A192="","",IFERROR(INDEX(Policy!$E$2:$E$301,MATCH($A192,Policy!$A$2:$A$301,0)),"MRO không có"))</f>
        <v/>
      </c>
      <c r="D192" s="14"/>
      <c r="E192" s="15"/>
      <c r="F192" s="15"/>
      <c r="G192" s="14"/>
      <c r="H192" s="14"/>
      <c r="I192" s="14"/>
      <c r="J192" s="14"/>
      <c r="K192" s="14"/>
      <c r="L192" s="23"/>
      <c r="M192" s="23"/>
      <c r="N192" s="23"/>
      <c r="O192" s="23"/>
      <c r="P192" s="24" t="str">
        <f aca="false">IF($A192="","",L192+M192+N192+O192)</f>
        <v/>
      </c>
      <c r="Q192" s="22" t="str">
        <f aca="false">IF($A192="","",IFERROR(INDEX(Risk!$D$2:$D$301,MATCH($A192,Policy!$A$2:$A$301,0)),0))</f>
        <v/>
      </c>
      <c r="R192" s="24" t="str">
        <f aca="false">IF($A192="","",L192*Q192/100)</f>
        <v/>
      </c>
      <c r="S192" s="24" t="str">
        <f aca="false">IF($A192="","",M192*Q192/100)</f>
        <v/>
      </c>
      <c r="T192" s="24" t="str">
        <f aca="false">IF($A192="","",N192*Q192/100)</f>
        <v/>
      </c>
      <c r="U192" s="24" t="str">
        <f aca="false">IF($A192="","",O192*Q192/100)</f>
        <v/>
      </c>
      <c r="V192" s="24" t="str">
        <f aca="false">IF($A192="","",R192+S192+T192+U192)</f>
        <v/>
      </c>
      <c r="W192" s="14"/>
      <c r="X192" s="15"/>
      <c r="Y192" s="23"/>
      <c r="Z192" s="14"/>
    </row>
    <row r="193" customFormat="false" ht="15" hidden="false" customHeight="false" outlineLevel="0" collapsed="false">
      <c r="A193" s="14"/>
      <c r="B193" s="17" t="str">
        <f aca="false">IF($A193="","",IFERROR(INDEX(Policy!$B$2:$B$301,MATCH($A193,Policy!$A$2:$A$301,0)),"MRO không có"))</f>
        <v/>
      </c>
      <c r="C193" s="17" t="str">
        <f aca="false">IF($A193="","",IFERROR(INDEX(Policy!$E$2:$E$301,MATCH($A193,Policy!$A$2:$A$301,0)),"MRO không có"))</f>
        <v/>
      </c>
      <c r="D193" s="14"/>
      <c r="E193" s="15"/>
      <c r="F193" s="15"/>
      <c r="G193" s="14"/>
      <c r="H193" s="14"/>
      <c r="I193" s="14"/>
      <c r="J193" s="14"/>
      <c r="K193" s="14"/>
      <c r="L193" s="23"/>
      <c r="M193" s="23"/>
      <c r="N193" s="23"/>
      <c r="O193" s="23"/>
      <c r="P193" s="24" t="str">
        <f aca="false">IF($A193="","",L193+M193+N193+O193)</f>
        <v/>
      </c>
      <c r="Q193" s="22" t="str">
        <f aca="false">IF($A193="","",IFERROR(INDEX(Risk!$D$2:$D$301,MATCH($A193,Policy!$A$2:$A$301,0)),0))</f>
        <v/>
      </c>
      <c r="R193" s="24" t="str">
        <f aca="false">IF($A193="","",L193*Q193/100)</f>
        <v/>
      </c>
      <c r="S193" s="24" t="str">
        <f aca="false">IF($A193="","",M193*Q193/100)</f>
        <v/>
      </c>
      <c r="T193" s="24" t="str">
        <f aca="false">IF($A193="","",N193*Q193/100)</f>
        <v/>
      </c>
      <c r="U193" s="24" t="str">
        <f aca="false">IF($A193="","",O193*Q193/100)</f>
        <v/>
      </c>
      <c r="V193" s="24" t="str">
        <f aca="false">IF($A193="","",R193+S193+T193+U193)</f>
        <v/>
      </c>
      <c r="W193" s="14"/>
      <c r="X193" s="15"/>
      <c r="Y193" s="23"/>
      <c r="Z193" s="14"/>
    </row>
    <row r="194" customFormat="false" ht="15" hidden="false" customHeight="false" outlineLevel="0" collapsed="false">
      <c r="A194" s="14"/>
      <c r="B194" s="17" t="str">
        <f aca="false">IF($A194="","",IFERROR(INDEX(Policy!$B$2:$B$301,MATCH($A194,Policy!$A$2:$A$301,0)),"MRO không có"))</f>
        <v/>
      </c>
      <c r="C194" s="17" t="str">
        <f aca="false">IF($A194="","",IFERROR(INDEX(Policy!$E$2:$E$301,MATCH($A194,Policy!$A$2:$A$301,0)),"MRO không có"))</f>
        <v/>
      </c>
      <c r="D194" s="14"/>
      <c r="E194" s="15"/>
      <c r="F194" s="15"/>
      <c r="G194" s="14"/>
      <c r="H194" s="14"/>
      <c r="I194" s="14"/>
      <c r="J194" s="14"/>
      <c r="K194" s="14"/>
      <c r="L194" s="23"/>
      <c r="M194" s="23"/>
      <c r="N194" s="23"/>
      <c r="O194" s="23"/>
      <c r="P194" s="24" t="str">
        <f aca="false">IF($A194="","",L194+M194+N194+O194)</f>
        <v/>
      </c>
      <c r="Q194" s="22" t="str">
        <f aca="false">IF($A194="","",IFERROR(INDEX(Risk!$D$2:$D$301,MATCH($A194,Policy!$A$2:$A$301,0)),0))</f>
        <v/>
      </c>
      <c r="R194" s="24" t="str">
        <f aca="false">IF($A194="","",L194*Q194/100)</f>
        <v/>
      </c>
      <c r="S194" s="24" t="str">
        <f aca="false">IF($A194="","",M194*Q194/100)</f>
        <v/>
      </c>
      <c r="T194" s="24" t="str">
        <f aca="false">IF($A194="","",N194*Q194/100)</f>
        <v/>
      </c>
      <c r="U194" s="24" t="str">
        <f aca="false">IF($A194="","",O194*Q194/100)</f>
        <v/>
      </c>
      <c r="V194" s="24" t="str">
        <f aca="false">IF($A194="","",R194+S194+T194+U194)</f>
        <v/>
      </c>
      <c r="W194" s="14"/>
      <c r="X194" s="15"/>
      <c r="Y194" s="23"/>
      <c r="Z194" s="14"/>
    </row>
    <row r="195" customFormat="false" ht="15" hidden="false" customHeight="false" outlineLevel="0" collapsed="false">
      <c r="A195" s="14"/>
      <c r="B195" s="17" t="str">
        <f aca="false">IF($A195="","",IFERROR(INDEX(Policy!$B$2:$B$301,MATCH($A195,Policy!$A$2:$A$301,0)),"MRO không có"))</f>
        <v/>
      </c>
      <c r="C195" s="17" t="str">
        <f aca="false">IF($A195="","",IFERROR(INDEX(Policy!$E$2:$E$301,MATCH($A195,Policy!$A$2:$A$301,0)),"MRO không có"))</f>
        <v/>
      </c>
      <c r="D195" s="14"/>
      <c r="E195" s="15"/>
      <c r="F195" s="15"/>
      <c r="G195" s="14"/>
      <c r="H195" s="14"/>
      <c r="I195" s="14"/>
      <c r="J195" s="14"/>
      <c r="K195" s="14"/>
      <c r="L195" s="23"/>
      <c r="M195" s="23"/>
      <c r="N195" s="23"/>
      <c r="O195" s="23"/>
      <c r="P195" s="24" t="str">
        <f aca="false">IF($A195="","",L195+M195+N195+O195)</f>
        <v/>
      </c>
      <c r="Q195" s="22" t="str">
        <f aca="false">IF($A195="","",IFERROR(INDEX(Risk!$D$2:$D$301,MATCH($A195,Policy!$A$2:$A$301,0)),0))</f>
        <v/>
      </c>
      <c r="R195" s="24" t="str">
        <f aca="false">IF($A195="","",L195*Q195/100)</f>
        <v/>
      </c>
      <c r="S195" s="24" t="str">
        <f aca="false">IF($A195="","",M195*Q195/100)</f>
        <v/>
      </c>
      <c r="T195" s="24" t="str">
        <f aca="false">IF($A195="","",N195*Q195/100)</f>
        <v/>
      </c>
      <c r="U195" s="24" t="str">
        <f aca="false">IF($A195="","",O195*Q195/100)</f>
        <v/>
      </c>
      <c r="V195" s="24" t="str">
        <f aca="false">IF($A195="","",R195+S195+T195+U195)</f>
        <v/>
      </c>
      <c r="W195" s="14"/>
      <c r="X195" s="15"/>
      <c r="Y195" s="23"/>
      <c r="Z195" s="14"/>
    </row>
    <row r="196" customFormat="false" ht="15" hidden="false" customHeight="false" outlineLevel="0" collapsed="false">
      <c r="A196" s="14"/>
      <c r="B196" s="17" t="str">
        <f aca="false">IF($A196="","",IFERROR(INDEX(Policy!$B$2:$B$301,MATCH($A196,Policy!$A$2:$A$301,0)),"MRO không có"))</f>
        <v/>
      </c>
      <c r="C196" s="17" t="str">
        <f aca="false">IF($A196="","",IFERROR(INDEX(Policy!$E$2:$E$301,MATCH($A196,Policy!$A$2:$A$301,0)),"MRO không có"))</f>
        <v/>
      </c>
      <c r="D196" s="14"/>
      <c r="E196" s="15"/>
      <c r="F196" s="15"/>
      <c r="G196" s="14"/>
      <c r="H196" s="14"/>
      <c r="I196" s="14"/>
      <c r="J196" s="14"/>
      <c r="K196" s="14"/>
      <c r="L196" s="23"/>
      <c r="M196" s="23"/>
      <c r="N196" s="23"/>
      <c r="O196" s="23"/>
      <c r="P196" s="24" t="str">
        <f aca="false">IF($A196="","",L196+M196+N196+O196)</f>
        <v/>
      </c>
      <c r="Q196" s="22" t="str">
        <f aca="false">IF($A196="","",IFERROR(INDEX(Risk!$D$2:$D$301,MATCH($A196,Policy!$A$2:$A$301,0)),0))</f>
        <v/>
      </c>
      <c r="R196" s="24" t="str">
        <f aca="false">IF($A196="","",L196*Q196/100)</f>
        <v/>
      </c>
      <c r="S196" s="24" t="str">
        <f aca="false">IF($A196="","",M196*Q196/100)</f>
        <v/>
      </c>
      <c r="T196" s="24" t="str">
        <f aca="false">IF($A196="","",N196*Q196/100)</f>
        <v/>
      </c>
      <c r="U196" s="24" t="str">
        <f aca="false">IF($A196="","",O196*Q196/100)</f>
        <v/>
      </c>
      <c r="V196" s="24" t="str">
        <f aca="false">IF($A196="","",R196+S196+T196+U196)</f>
        <v/>
      </c>
      <c r="W196" s="14"/>
      <c r="X196" s="15"/>
      <c r="Y196" s="23"/>
      <c r="Z196" s="14"/>
    </row>
    <row r="197" customFormat="false" ht="15" hidden="false" customHeight="false" outlineLevel="0" collapsed="false">
      <c r="A197" s="14"/>
      <c r="B197" s="17" t="str">
        <f aca="false">IF($A197="","",IFERROR(INDEX(Policy!$B$2:$B$301,MATCH($A197,Policy!$A$2:$A$301,0)),"MRO không có"))</f>
        <v/>
      </c>
      <c r="C197" s="17" t="str">
        <f aca="false">IF($A197="","",IFERROR(INDEX(Policy!$E$2:$E$301,MATCH($A197,Policy!$A$2:$A$301,0)),"MRO không có"))</f>
        <v/>
      </c>
      <c r="D197" s="14"/>
      <c r="E197" s="15"/>
      <c r="F197" s="15"/>
      <c r="G197" s="14"/>
      <c r="H197" s="14"/>
      <c r="I197" s="14"/>
      <c r="J197" s="14"/>
      <c r="K197" s="14"/>
      <c r="L197" s="23"/>
      <c r="M197" s="23"/>
      <c r="N197" s="23"/>
      <c r="O197" s="23"/>
      <c r="P197" s="24" t="str">
        <f aca="false">IF($A197="","",L197+M197+N197+O197)</f>
        <v/>
      </c>
      <c r="Q197" s="22" t="str">
        <f aca="false">IF($A197="","",IFERROR(INDEX(Risk!$D$2:$D$301,MATCH($A197,Policy!$A$2:$A$301,0)),0))</f>
        <v/>
      </c>
      <c r="R197" s="24" t="str">
        <f aca="false">IF($A197="","",L197*Q197/100)</f>
        <v/>
      </c>
      <c r="S197" s="24" t="str">
        <f aca="false">IF($A197="","",M197*Q197/100)</f>
        <v/>
      </c>
      <c r="T197" s="24" t="str">
        <f aca="false">IF($A197="","",N197*Q197/100)</f>
        <v/>
      </c>
      <c r="U197" s="24" t="str">
        <f aca="false">IF($A197="","",O197*Q197/100)</f>
        <v/>
      </c>
      <c r="V197" s="24" t="str">
        <f aca="false">IF($A197="","",R197+S197+T197+U197)</f>
        <v/>
      </c>
      <c r="W197" s="14"/>
      <c r="X197" s="15"/>
      <c r="Y197" s="23"/>
      <c r="Z197" s="14"/>
    </row>
    <row r="198" customFormat="false" ht="15" hidden="false" customHeight="false" outlineLevel="0" collapsed="false">
      <c r="A198" s="14"/>
      <c r="B198" s="17" t="str">
        <f aca="false">IF($A198="","",IFERROR(INDEX(Policy!$B$2:$B$301,MATCH($A198,Policy!$A$2:$A$301,0)),"MRO không có"))</f>
        <v/>
      </c>
      <c r="C198" s="17" t="str">
        <f aca="false">IF($A198="","",IFERROR(INDEX(Policy!$E$2:$E$301,MATCH($A198,Policy!$A$2:$A$301,0)),"MRO không có"))</f>
        <v/>
      </c>
      <c r="D198" s="14"/>
      <c r="E198" s="15"/>
      <c r="F198" s="15"/>
      <c r="G198" s="14"/>
      <c r="H198" s="14"/>
      <c r="I198" s="14"/>
      <c r="J198" s="14"/>
      <c r="K198" s="14"/>
      <c r="L198" s="23"/>
      <c r="M198" s="23"/>
      <c r="N198" s="23"/>
      <c r="O198" s="23"/>
      <c r="P198" s="24" t="str">
        <f aca="false">IF($A198="","",L198+M198+N198+O198)</f>
        <v/>
      </c>
      <c r="Q198" s="22" t="str">
        <f aca="false">IF($A198="","",IFERROR(INDEX(Risk!$D$2:$D$301,MATCH($A198,Policy!$A$2:$A$301,0)),0))</f>
        <v/>
      </c>
      <c r="R198" s="24" t="str">
        <f aca="false">IF($A198="","",L198*Q198/100)</f>
        <v/>
      </c>
      <c r="S198" s="24" t="str">
        <f aca="false">IF($A198="","",M198*Q198/100)</f>
        <v/>
      </c>
      <c r="T198" s="24" t="str">
        <f aca="false">IF($A198="","",N198*Q198/100)</f>
        <v/>
      </c>
      <c r="U198" s="24" t="str">
        <f aca="false">IF($A198="","",O198*Q198/100)</f>
        <v/>
      </c>
      <c r="V198" s="24" t="str">
        <f aca="false">IF($A198="","",R198+S198+T198+U198)</f>
        <v/>
      </c>
      <c r="W198" s="14"/>
      <c r="X198" s="15"/>
      <c r="Y198" s="23"/>
      <c r="Z198" s="14"/>
    </row>
    <row r="199" customFormat="false" ht="15" hidden="false" customHeight="false" outlineLevel="0" collapsed="false">
      <c r="A199" s="14"/>
      <c r="B199" s="17" t="str">
        <f aca="false">IF($A199="","",IFERROR(INDEX(Policy!$B$2:$B$301,MATCH($A199,Policy!$A$2:$A$301,0)),"MRO không có"))</f>
        <v/>
      </c>
      <c r="C199" s="17" t="str">
        <f aca="false">IF($A199="","",IFERROR(INDEX(Policy!$E$2:$E$301,MATCH($A199,Policy!$A$2:$A$301,0)),"MRO không có"))</f>
        <v/>
      </c>
      <c r="D199" s="14"/>
      <c r="E199" s="15"/>
      <c r="F199" s="15"/>
      <c r="G199" s="14"/>
      <c r="H199" s="14"/>
      <c r="I199" s="14"/>
      <c r="J199" s="14"/>
      <c r="K199" s="14"/>
      <c r="L199" s="23"/>
      <c r="M199" s="23"/>
      <c r="N199" s="23"/>
      <c r="O199" s="23"/>
      <c r="P199" s="24" t="str">
        <f aca="false">IF($A199="","",L199+M199+N199+O199)</f>
        <v/>
      </c>
      <c r="Q199" s="22" t="str">
        <f aca="false">IF($A199="","",IFERROR(INDEX(Risk!$D$2:$D$301,MATCH($A199,Policy!$A$2:$A$301,0)),0))</f>
        <v/>
      </c>
      <c r="R199" s="24" t="str">
        <f aca="false">IF($A199="","",L199*Q199/100)</f>
        <v/>
      </c>
      <c r="S199" s="24" t="str">
        <f aca="false">IF($A199="","",M199*Q199/100)</f>
        <v/>
      </c>
      <c r="T199" s="24" t="str">
        <f aca="false">IF($A199="","",N199*Q199/100)</f>
        <v/>
      </c>
      <c r="U199" s="24" t="str">
        <f aca="false">IF($A199="","",O199*Q199/100)</f>
        <v/>
      </c>
      <c r="V199" s="24" t="str">
        <f aca="false">IF($A199="","",R199+S199+T199+U199)</f>
        <v/>
      </c>
      <c r="W199" s="14"/>
      <c r="X199" s="15"/>
      <c r="Y199" s="23"/>
      <c r="Z199" s="14"/>
    </row>
    <row r="200" customFormat="false" ht="15" hidden="false" customHeight="false" outlineLevel="0" collapsed="false">
      <c r="A200" s="14"/>
      <c r="B200" s="17" t="str">
        <f aca="false">IF($A200="","",IFERROR(INDEX(Policy!$B$2:$B$301,MATCH($A200,Policy!$A$2:$A$301,0)),"MRO không có"))</f>
        <v/>
      </c>
      <c r="C200" s="17" t="str">
        <f aca="false">IF($A200="","",IFERROR(INDEX(Policy!$E$2:$E$301,MATCH($A200,Policy!$A$2:$A$301,0)),"MRO không có"))</f>
        <v/>
      </c>
      <c r="D200" s="14"/>
      <c r="E200" s="15"/>
      <c r="F200" s="15"/>
      <c r="G200" s="14"/>
      <c r="H200" s="14"/>
      <c r="I200" s="14"/>
      <c r="J200" s="14"/>
      <c r="K200" s="14"/>
      <c r="L200" s="23"/>
      <c r="M200" s="23"/>
      <c r="N200" s="23"/>
      <c r="O200" s="23"/>
      <c r="P200" s="24" t="str">
        <f aca="false">IF($A200="","",L200+M200+N200+O200)</f>
        <v/>
      </c>
      <c r="Q200" s="22" t="str">
        <f aca="false">IF($A200="","",IFERROR(INDEX(Risk!$D$2:$D$301,MATCH($A200,Policy!$A$2:$A$301,0)),0))</f>
        <v/>
      </c>
      <c r="R200" s="24" t="str">
        <f aca="false">IF($A200="","",L200*Q200/100)</f>
        <v/>
      </c>
      <c r="S200" s="24" t="str">
        <f aca="false">IF($A200="","",M200*Q200/100)</f>
        <v/>
      </c>
      <c r="T200" s="24" t="str">
        <f aca="false">IF($A200="","",N200*Q200/100)</f>
        <v/>
      </c>
      <c r="U200" s="24" t="str">
        <f aca="false">IF($A200="","",O200*Q200/100)</f>
        <v/>
      </c>
      <c r="V200" s="24" t="str">
        <f aca="false">IF($A200="","",R200+S200+T200+U200)</f>
        <v/>
      </c>
      <c r="W200" s="14"/>
      <c r="X200" s="15"/>
      <c r="Y200" s="23"/>
      <c r="Z200" s="14"/>
    </row>
    <row r="201" customFormat="false" ht="15" hidden="false" customHeight="false" outlineLevel="0" collapsed="false">
      <c r="A201" s="14"/>
      <c r="B201" s="17" t="str">
        <f aca="false">IF($A201="","",IFERROR(INDEX(Policy!$B$2:$B$301,MATCH($A201,Policy!$A$2:$A$301,0)),"MRO không có"))</f>
        <v/>
      </c>
      <c r="C201" s="17" t="str">
        <f aca="false">IF($A201="","",IFERROR(INDEX(Policy!$E$2:$E$301,MATCH($A201,Policy!$A$2:$A$301,0)),"MRO không có"))</f>
        <v/>
      </c>
      <c r="D201" s="14"/>
      <c r="E201" s="15"/>
      <c r="F201" s="15"/>
      <c r="G201" s="14"/>
      <c r="H201" s="14"/>
      <c r="I201" s="14"/>
      <c r="J201" s="14"/>
      <c r="K201" s="14"/>
      <c r="L201" s="23"/>
      <c r="M201" s="23"/>
      <c r="N201" s="23"/>
      <c r="O201" s="23"/>
      <c r="P201" s="24" t="str">
        <f aca="false">IF($A201="","",L201+M201+N201+O201)</f>
        <v/>
      </c>
      <c r="Q201" s="22" t="str">
        <f aca="false">IF($A201="","",IFERROR(INDEX(Risk!$D$2:$D$301,MATCH($A201,Policy!$A$2:$A$301,0)),0))</f>
        <v/>
      </c>
      <c r="R201" s="24" t="str">
        <f aca="false">IF($A201="","",L201*Q201/100)</f>
        <v/>
      </c>
      <c r="S201" s="24" t="str">
        <f aca="false">IF($A201="","",M201*Q201/100)</f>
        <v/>
      </c>
      <c r="T201" s="24" t="str">
        <f aca="false">IF($A201="","",N201*Q201/100)</f>
        <v/>
      </c>
      <c r="U201" s="24" t="str">
        <f aca="false">IF($A201="","",O201*Q201/100)</f>
        <v/>
      </c>
      <c r="V201" s="24" t="str">
        <f aca="false">IF($A201="","",R201+S201+T201+U201)</f>
        <v/>
      </c>
      <c r="W201" s="14"/>
      <c r="X201" s="15"/>
      <c r="Y201" s="23"/>
      <c r="Z201" s="14"/>
    </row>
    <row r="202" customFormat="false" ht="15" hidden="false" customHeight="false" outlineLevel="0" collapsed="false">
      <c r="A202" s="14"/>
      <c r="B202" s="17" t="str">
        <f aca="false">IF($A202="","",IFERROR(INDEX(Policy!$B$2:$B$301,MATCH($A202,Policy!$A$2:$A$301,0)),"MRO không có"))</f>
        <v/>
      </c>
      <c r="C202" s="17" t="str">
        <f aca="false">IF($A202="","",IFERROR(INDEX(Policy!$E$2:$E$301,MATCH($A202,Policy!$A$2:$A$301,0)),"MRO không có"))</f>
        <v/>
      </c>
      <c r="D202" s="14"/>
      <c r="E202" s="15"/>
      <c r="F202" s="15"/>
      <c r="G202" s="14"/>
      <c r="H202" s="14"/>
      <c r="I202" s="14"/>
      <c r="J202" s="14"/>
      <c r="K202" s="14"/>
      <c r="L202" s="23"/>
      <c r="M202" s="23"/>
      <c r="N202" s="23"/>
      <c r="O202" s="23"/>
      <c r="P202" s="24" t="str">
        <f aca="false">IF($A202="","",L202+M202+N202+O202)</f>
        <v/>
      </c>
      <c r="Q202" s="22" t="str">
        <f aca="false">IF($A202="","",IFERROR(INDEX(Risk!$D$2:$D$301,MATCH($A202,Policy!$A$2:$A$301,0)),0))</f>
        <v/>
      </c>
      <c r="R202" s="24" t="str">
        <f aca="false">IF($A202="","",L202*Q202/100)</f>
        <v/>
      </c>
      <c r="S202" s="24" t="str">
        <f aca="false">IF($A202="","",M202*Q202/100)</f>
        <v/>
      </c>
      <c r="T202" s="24" t="str">
        <f aca="false">IF($A202="","",N202*Q202/100)</f>
        <v/>
      </c>
      <c r="U202" s="24" t="str">
        <f aca="false">IF($A202="","",O202*Q202/100)</f>
        <v/>
      </c>
      <c r="V202" s="24" t="str">
        <f aca="false">IF($A202="","",R202+S202+T202+U202)</f>
        <v/>
      </c>
      <c r="W202" s="14"/>
      <c r="X202" s="15"/>
      <c r="Y202" s="23"/>
      <c r="Z202" s="14"/>
    </row>
    <row r="203" customFormat="false" ht="15" hidden="false" customHeight="false" outlineLevel="0" collapsed="false">
      <c r="A203" s="14"/>
      <c r="B203" s="17" t="str">
        <f aca="false">IF($A203="","",IFERROR(INDEX(Policy!$B$2:$B$301,MATCH($A203,Policy!$A$2:$A$301,0)),"MRO không có"))</f>
        <v/>
      </c>
      <c r="C203" s="17" t="str">
        <f aca="false">IF($A203="","",IFERROR(INDEX(Policy!$E$2:$E$301,MATCH($A203,Policy!$A$2:$A$301,0)),"MRO không có"))</f>
        <v/>
      </c>
      <c r="D203" s="14"/>
      <c r="E203" s="15"/>
      <c r="F203" s="15"/>
      <c r="G203" s="14"/>
      <c r="H203" s="14"/>
      <c r="I203" s="14"/>
      <c r="J203" s="14"/>
      <c r="K203" s="14"/>
      <c r="L203" s="23"/>
      <c r="M203" s="23"/>
      <c r="N203" s="23"/>
      <c r="O203" s="23"/>
      <c r="P203" s="24" t="str">
        <f aca="false">IF($A203="","",L203+M203+N203+O203)</f>
        <v/>
      </c>
      <c r="Q203" s="22" t="str">
        <f aca="false">IF($A203="","",IFERROR(INDEX(Risk!$D$2:$D$301,MATCH($A203,Policy!$A$2:$A$301,0)),0))</f>
        <v/>
      </c>
      <c r="R203" s="24" t="str">
        <f aca="false">IF($A203="","",L203*Q203/100)</f>
        <v/>
      </c>
      <c r="S203" s="24" t="str">
        <f aca="false">IF($A203="","",M203*Q203/100)</f>
        <v/>
      </c>
      <c r="T203" s="24" t="str">
        <f aca="false">IF($A203="","",N203*Q203/100)</f>
        <v/>
      </c>
      <c r="U203" s="24" t="str">
        <f aca="false">IF($A203="","",O203*Q203/100)</f>
        <v/>
      </c>
      <c r="V203" s="24" t="str">
        <f aca="false">IF($A203="","",R203+S203+T203+U203)</f>
        <v/>
      </c>
      <c r="W203" s="14"/>
      <c r="X203" s="15"/>
      <c r="Y203" s="23"/>
      <c r="Z203" s="14"/>
    </row>
    <row r="204" customFormat="false" ht="15" hidden="false" customHeight="false" outlineLevel="0" collapsed="false">
      <c r="A204" s="14"/>
      <c r="B204" s="17" t="str">
        <f aca="false">IF($A204="","",IFERROR(INDEX(Policy!$B$2:$B$301,MATCH($A204,Policy!$A$2:$A$301,0)),"MRO không có"))</f>
        <v/>
      </c>
      <c r="C204" s="17" t="str">
        <f aca="false">IF($A204="","",IFERROR(INDEX(Policy!$E$2:$E$301,MATCH($A204,Policy!$A$2:$A$301,0)),"MRO không có"))</f>
        <v/>
      </c>
      <c r="D204" s="14"/>
      <c r="E204" s="15"/>
      <c r="F204" s="15"/>
      <c r="G204" s="14"/>
      <c r="H204" s="14"/>
      <c r="I204" s="14"/>
      <c r="J204" s="14"/>
      <c r="K204" s="14"/>
      <c r="L204" s="23"/>
      <c r="M204" s="23"/>
      <c r="N204" s="23"/>
      <c r="O204" s="23"/>
      <c r="P204" s="24" t="str">
        <f aca="false">IF($A204="","",L204+M204+N204+O204)</f>
        <v/>
      </c>
      <c r="Q204" s="22" t="str">
        <f aca="false">IF($A204="","",IFERROR(INDEX(Risk!$D$2:$D$301,MATCH($A204,Policy!$A$2:$A$301,0)),0))</f>
        <v/>
      </c>
      <c r="R204" s="24" t="str">
        <f aca="false">IF($A204="","",L204*Q204/100)</f>
        <v/>
      </c>
      <c r="S204" s="24" t="str">
        <f aca="false">IF($A204="","",M204*Q204/100)</f>
        <v/>
      </c>
      <c r="T204" s="24" t="str">
        <f aca="false">IF($A204="","",N204*Q204/100)</f>
        <v/>
      </c>
      <c r="U204" s="24" t="str">
        <f aca="false">IF($A204="","",O204*Q204/100)</f>
        <v/>
      </c>
      <c r="V204" s="24" t="str">
        <f aca="false">IF($A204="","",R204+S204+T204+U204)</f>
        <v/>
      </c>
      <c r="W204" s="14"/>
      <c r="X204" s="15"/>
      <c r="Y204" s="23"/>
      <c r="Z204" s="14"/>
    </row>
    <row r="205" customFormat="false" ht="15" hidden="false" customHeight="false" outlineLevel="0" collapsed="false">
      <c r="A205" s="14"/>
      <c r="B205" s="17" t="str">
        <f aca="false">IF($A205="","",IFERROR(INDEX(Policy!$B$2:$B$301,MATCH($A205,Policy!$A$2:$A$301,0)),"MRO không có"))</f>
        <v/>
      </c>
      <c r="C205" s="17" t="str">
        <f aca="false">IF($A205="","",IFERROR(INDEX(Policy!$E$2:$E$301,MATCH($A205,Policy!$A$2:$A$301,0)),"MRO không có"))</f>
        <v/>
      </c>
      <c r="D205" s="14"/>
      <c r="E205" s="15"/>
      <c r="F205" s="15"/>
      <c r="G205" s="14"/>
      <c r="H205" s="14"/>
      <c r="I205" s="14"/>
      <c r="J205" s="14"/>
      <c r="K205" s="14"/>
      <c r="L205" s="23"/>
      <c r="M205" s="23"/>
      <c r="N205" s="23"/>
      <c r="O205" s="23"/>
      <c r="P205" s="24" t="str">
        <f aca="false">IF($A205="","",L205+M205+N205+O205)</f>
        <v/>
      </c>
      <c r="Q205" s="22" t="str">
        <f aca="false">IF($A205="","",IFERROR(INDEX(Risk!$D$2:$D$301,MATCH($A205,Policy!$A$2:$A$301,0)),0))</f>
        <v/>
      </c>
      <c r="R205" s="24" t="str">
        <f aca="false">IF($A205="","",L205*Q205/100)</f>
        <v/>
      </c>
      <c r="S205" s="24" t="str">
        <f aca="false">IF($A205="","",M205*Q205/100)</f>
        <v/>
      </c>
      <c r="T205" s="24" t="str">
        <f aca="false">IF($A205="","",N205*Q205/100)</f>
        <v/>
      </c>
      <c r="U205" s="24" t="str">
        <f aca="false">IF($A205="","",O205*Q205/100)</f>
        <v/>
      </c>
      <c r="V205" s="24" t="str">
        <f aca="false">IF($A205="","",R205+S205+T205+U205)</f>
        <v/>
      </c>
      <c r="W205" s="14"/>
      <c r="X205" s="15"/>
      <c r="Y205" s="23"/>
      <c r="Z205" s="14"/>
    </row>
    <row r="206" customFormat="false" ht="15" hidden="false" customHeight="false" outlineLevel="0" collapsed="false">
      <c r="A206" s="14"/>
      <c r="B206" s="17" t="str">
        <f aca="false">IF($A206="","",IFERROR(INDEX(Policy!$B$2:$B$301,MATCH($A206,Policy!$A$2:$A$301,0)),"MRO không có"))</f>
        <v/>
      </c>
      <c r="C206" s="17" t="str">
        <f aca="false">IF($A206="","",IFERROR(INDEX(Policy!$E$2:$E$301,MATCH($A206,Policy!$A$2:$A$301,0)),"MRO không có"))</f>
        <v/>
      </c>
      <c r="D206" s="14"/>
      <c r="E206" s="15"/>
      <c r="F206" s="15"/>
      <c r="G206" s="14"/>
      <c r="H206" s="14"/>
      <c r="I206" s="14"/>
      <c r="J206" s="14"/>
      <c r="K206" s="14"/>
      <c r="L206" s="23"/>
      <c r="M206" s="23"/>
      <c r="N206" s="23"/>
      <c r="O206" s="23"/>
      <c r="P206" s="24" t="str">
        <f aca="false">IF($A206="","",L206+M206+N206+O206)</f>
        <v/>
      </c>
      <c r="Q206" s="22" t="str">
        <f aca="false">IF($A206="","",IFERROR(INDEX(Risk!$D$2:$D$301,MATCH($A206,Policy!$A$2:$A$301,0)),0))</f>
        <v/>
      </c>
      <c r="R206" s="24" t="str">
        <f aca="false">IF($A206="","",L206*Q206/100)</f>
        <v/>
      </c>
      <c r="S206" s="24" t="str">
        <f aca="false">IF($A206="","",M206*Q206/100)</f>
        <v/>
      </c>
      <c r="T206" s="24" t="str">
        <f aca="false">IF($A206="","",N206*Q206/100)</f>
        <v/>
      </c>
      <c r="U206" s="24" t="str">
        <f aca="false">IF($A206="","",O206*Q206/100)</f>
        <v/>
      </c>
      <c r="V206" s="24" t="str">
        <f aca="false">IF($A206="","",R206+S206+T206+U206)</f>
        <v/>
      </c>
      <c r="W206" s="14"/>
      <c r="X206" s="15"/>
      <c r="Y206" s="23"/>
      <c r="Z206" s="14"/>
    </row>
    <row r="207" customFormat="false" ht="15" hidden="false" customHeight="false" outlineLevel="0" collapsed="false">
      <c r="A207" s="14"/>
      <c r="B207" s="17" t="str">
        <f aca="false">IF($A207="","",IFERROR(INDEX(Policy!$B$2:$B$301,MATCH($A207,Policy!$A$2:$A$301,0)),"MRO không có"))</f>
        <v/>
      </c>
      <c r="C207" s="17" t="str">
        <f aca="false">IF($A207="","",IFERROR(INDEX(Policy!$E$2:$E$301,MATCH($A207,Policy!$A$2:$A$301,0)),"MRO không có"))</f>
        <v/>
      </c>
      <c r="D207" s="14"/>
      <c r="E207" s="15"/>
      <c r="F207" s="15"/>
      <c r="G207" s="14"/>
      <c r="H207" s="14"/>
      <c r="I207" s="14"/>
      <c r="J207" s="14"/>
      <c r="K207" s="14"/>
      <c r="L207" s="23"/>
      <c r="M207" s="23"/>
      <c r="N207" s="23"/>
      <c r="O207" s="23"/>
      <c r="P207" s="24" t="str">
        <f aca="false">IF($A207="","",L207+M207+N207+O207)</f>
        <v/>
      </c>
      <c r="Q207" s="22" t="str">
        <f aca="false">IF($A207="","",IFERROR(INDEX(Risk!$D$2:$D$301,MATCH($A207,Policy!$A$2:$A$301,0)),0))</f>
        <v/>
      </c>
      <c r="R207" s="24" t="str">
        <f aca="false">IF($A207="","",L207*Q207/100)</f>
        <v/>
      </c>
      <c r="S207" s="24" t="str">
        <f aca="false">IF($A207="","",M207*Q207/100)</f>
        <v/>
      </c>
      <c r="T207" s="24" t="str">
        <f aca="false">IF($A207="","",N207*Q207/100)</f>
        <v/>
      </c>
      <c r="U207" s="24" t="str">
        <f aca="false">IF($A207="","",O207*Q207/100)</f>
        <v/>
      </c>
      <c r="V207" s="24" t="str">
        <f aca="false">IF($A207="","",R207+S207+T207+U207)</f>
        <v/>
      </c>
      <c r="W207" s="14"/>
      <c r="X207" s="15"/>
      <c r="Y207" s="23"/>
      <c r="Z207" s="14"/>
    </row>
    <row r="208" customFormat="false" ht="15" hidden="false" customHeight="false" outlineLevel="0" collapsed="false">
      <c r="A208" s="14"/>
      <c r="B208" s="17" t="str">
        <f aca="false">IF($A208="","",IFERROR(INDEX(Policy!$B$2:$B$301,MATCH($A208,Policy!$A$2:$A$301,0)),"MRO không có"))</f>
        <v/>
      </c>
      <c r="C208" s="17" t="str">
        <f aca="false">IF($A208="","",IFERROR(INDEX(Policy!$E$2:$E$301,MATCH($A208,Policy!$A$2:$A$301,0)),"MRO không có"))</f>
        <v/>
      </c>
      <c r="D208" s="14"/>
      <c r="E208" s="15"/>
      <c r="F208" s="15"/>
      <c r="G208" s="14"/>
      <c r="H208" s="14"/>
      <c r="I208" s="14"/>
      <c r="J208" s="14"/>
      <c r="K208" s="14"/>
      <c r="L208" s="23"/>
      <c r="M208" s="23"/>
      <c r="N208" s="23"/>
      <c r="O208" s="23"/>
      <c r="P208" s="24" t="str">
        <f aca="false">IF($A208="","",L208+M208+N208+O208)</f>
        <v/>
      </c>
      <c r="Q208" s="22" t="str">
        <f aca="false">IF($A208="","",IFERROR(INDEX(Risk!$D$2:$D$301,MATCH($A208,Policy!$A$2:$A$301,0)),0))</f>
        <v/>
      </c>
      <c r="R208" s="24" t="str">
        <f aca="false">IF($A208="","",L208*Q208/100)</f>
        <v/>
      </c>
      <c r="S208" s="24" t="str">
        <f aca="false">IF($A208="","",M208*Q208/100)</f>
        <v/>
      </c>
      <c r="T208" s="24" t="str">
        <f aca="false">IF($A208="","",N208*Q208/100)</f>
        <v/>
      </c>
      <c r="U208" s="24" t="str">
        <f aca="false">IF($A208="","",O208*Q208/100)</f>
        <v/>
      </c>
      <c r="V208" s="24" t="str">
        <f aca="false">IF($A208="","",R208+S208+T208+U208)</f>
        <v/>
      </c>
      <c r="W208" s="14"/>
      <c r="X208" s="15"/>
      <c r="Y208" s="23"/>
      <c r="Z208" s="14"/>
    </row>
    <row r="209" customFormat="false" ht="15" hidden="false" customHeight="false" outlineLevel="0" collapsed="false">
      <c r="A209" s="14"/>
      <c r="B209" s="17" t="str">
        <f aca="false">IF($A209="","",IFERROR(INDEX(Policy!$B$2:$B$301,MATCH($A209,Policy!$A$2:$A$301,0)),"MRO không có"))</f>
        <v/>
      </c>
      <c r="C209" s="17" t="str">
        <f aca="false">IF($A209="","",IFERROR(INDEX(Policy!$E$2:$E$301,MATCH($A209,Policy!$A$2:$A$301,0)),"MRO không có"))</f>
        <v/>
      </c>
      <c r="D209" s="14"/>
      <c r="E209" s="15"/>
      <c r="F209" s="15"/>
      <c r="G209" s="14"/>
      <c r="H209" s="14"/>
      <c r="I209" s="14"/>
      <c r="J209" s="14"/>
      <c r="K209" s="14"/>
      <c r="L209" s="23"/>
      <c r="M209" s="23"/>
      <c r="N209" s="23"/>
      <c r="O209" s="23"/>
      <c r="P209" s="24" t="str">
        <f aca="false">IF($A209="","",L209+M209+N209+O209)</f>
        <v/>
      </c>
      <c r="Q209" s="22" t="str">
        <f aca="false">IF($A209="","",IFERROR(INDEX(Risk!$D$2:$D$301,MATCH($A209,Policy!$A$2:$A$301,0)),0))</f>
        <v/>
      </c>
      <c r="R209" s="24" t="str">
        <f aca="false">IF($A209="","",L209*Q209/100)</f>
        <v/>
      </c>
      <c r="S209" s="24" t="str">
        <f aca="false">IF($A209="","",M209*Q209/100)</f>
        <v/>
      </c>
      <c r="T209" s="24" t="str">
        <f aca="false">IF($A209="","",N209*Q209/100)</f>
        <v/>
      </c>
      <c r="U209" s="24" t="str">
        <f aca="false">IF($A209="","",O209*Q209/100)</f>
        <v/>
      </c>
      <c r="V209" s="24" t="str">
        <f aca="false">IF($A209="","",R209+S209+T209+U209)</f>
        <v/>
      </c>
      <c r="W209" s="14"/>
      <c r="X209" s="15"/>
      <c r="Y209" s="23"/>
      <c r="Z209" s="14"/>
    </row>
    <row r="210" customFormat="false" ht="15" hidden="false" customHeight="false" outlineLevel="0" collapsed="false">
      <c r="A210" s="14"/>
      <c r="B210" s="17" t="str">
        <f aca="false">IF($A210="","",IFERROR(INDEX(Policy!$B$2:$B$301,MATCH($A210,Policy!$A$2:$A$301,0)),"MRO không có"))</f>
        <v/>
      </c>
      <c r="C210" s="17" t="str">
        <f aca="false">IF($A210="","",IFERROR(INDEX(Policy!$E$2:$E$301,MATCH($A210,Policy!$A$2:$A$301,0)),"MRO không có"))</f>
        <v/>
      </c>
      <c r="D210" s="14"/>
      <c r="E210" s="15"/>
      <c r="F210" s="15"/>
      <c r="G210" s="14"/>
      <c r="H210" s="14"/>
      <c r="I210" s="14"/>
      <c r="J210" s="14"/>
      <c r="K210" s="14"/>
      <c r="L210" s="23"/>
      <c r="M210" s="23"/>
      <c r="N210" s="23"/>
      <c r="O210" s="23"/>
      <c r="P210" s="24" t="str">
        <f aca="false">IF($A210="","",L210+M210+N210+O210)</f>
        <v/>
      </c>
      <c r="Q210" s="22" t="str">
        <f aca="false">IF($A210="","",IFERROR(INDEX(Risk!$D$2:$D$301,MATCH($A210,Policy!$A$2:$A$301,0)),0))</f>
        <v/>
      </c>
      <c r="R210" s="24" t="str">
        <f aca="false">IF($A210="","",L210*Q210/100)</f>
        <v/>
      </c>
      <c r="S210" s="24" t="str">
        <f aca="false">IF($A210="","",M210*Q210/100)</f>
        <v/>
      </c>
      <c r="T210" s="24" t="str">
        <f aca="false">IF($A210="","",N210*Q210/100)</f>
        <v/>
      </c>
      <c r="U210" s="24" t="str">
        <f aca="false">IF($A210="","",O210*Q210/100)</f>
        <v/>
      </c>
      <c r="V210" s="24" t="str">
        <f aca="false">IF($A210="","",R210+S210+T210+U210)</f>
        <v/>
      </c>
      <c r="W210" s="14"/>
      <c r="X210" s="15"/>
      <c r="Y210" s="23"/>
      <c r="Z210" s="14"/>
    </row>
    <row r="211" customFormat="false" ht="15" hidden="false" customHeight="false" outlineLevel="0" collapsed="false">
      <c r="A211" s="14"/>
      <c r="B211" s="17" t="str">
        <f aca="false">IF($A211="","",IFERROR(INDEX(Policy!$B$2:$B$301,MATCH($A211,Policy!$A$2:$A$301,0)),"MRO không có"))</f>
        <v/>
      </c>
      <c r="C211" s="17" t="str">
        <f aca="false">IF($A211="","",IFERROR(INDEX(Policy!$E$2:$E$301,MATCH($A211,Policy!$A$2:$A$301,0)),"MRO không có"))</f>
        <v/>
      </c>
      <c r="D211" s="14"/>
      <c r="E211" s="15"/>
      <c r="F211" s="15"/>
      <c r="G211" s="14"/>
      <c r="H211" s="14"/>
      <c r="I211" s="14"/>
      <c r="J211" s="14"/>
      <c r="K211" s="14"/>
      <c r="L211" s="23"/>
      <c r="M211" s="23"/>
      <c r="N211" s="23"/>
      <c r="O211" s="23"/>
      <c r="P211" s="24" t="str">
        <f aca="false">IF($A211="","",L211+M211+N211+O211)</f>
        <v/>
      </c>
      <c r="Q211" s="22" t="str">
        <f aca="false">IF($A211="","",IFERROR(INDEX(Risk!$D$2:$D$301,MATCH($A211,Policy!$A$2:$A$301,0)),0))</f>
        <v/>
      </c>
      <c r="R211" s="24" t="str">
        <f aca="false">IF($A211="","",L211*Q211/100)</f>
        <v/>
      </c>
      <c r="S211" s="24" t="str">
        <f aca="false">IF($A211="","",M211*Q211/100)</f>
        <v/>
      </c>
      <c r="T211" s="24" t="str">
        <f aca="false">IF($A211="","",N211*Q211/100)</f>
        <v/>
      </c>
      <c r="U211" s="24" t="str">
        <f aca="false">IF($A211="","",O211*Q211/100)</f>
        <v/>
      </c>
      <c r="V211" s="24" t="str">
        <f aca="false">IF($A211="","",R211+S211+T211+U211)</f>
        <v/>
      </c>
      <c r="W211" s="14"/>
      <c r="X211" s="15"/>
      <c r="Y211" s="23"/>
      <c r="Z211" s="14"/>
    </row>
    <row r="212" customFormat="false" ht="15" hidden="false" customHeight="false" outlineLevel="0" collapsed="false">
      <c r="A212" s="14"/>
      <c r="B212" s="17" t="str">
        <f aca="false">IF($A212="","",IFERROR(INDEX(Policy!$B$2:$B$301,MATCH($A212,Policy!$A$2:$A$301,0)),"MRO không có"))</f>
        <v/>
      </c>
      <c r="C212" s="17" t="str">
        <f aca="false">IF($A212="","",IFERROR(INDEX(Policy!$E$2:$E$301,MATCH($A212,Policy!$A$2:$A$301,0)),"MRO không có"))</f>
        <v/>
      </c>
      <c r="D212" s="14"/>
      <c r="E212" s="15"/>
      <c r="F212" s="15"/>
      <c r="G212" s="14"/>
      <c r="H212" s="14"/>
      <c r="I212" s="14"/>
      <c r="J212" s="14"/>
      <c r="K212" s="14"/>
      <c r="L212" s="23"/>
      <c r="M212" s="23"/>
      <c r="N212" s="23"/>
      <c r="O212" s="23"/>
      <c r="P212" s="24" t="str">
        <f aca="false">IF($A212="","",L212+M212+N212+O212)</f>
        <v/>
      </c>
      <c r="Q212" s="22" t="str">
        <f aca="false">IF($A212="","",IFERROR(INDEX(Risk!$D$2:$D$301,MATCH($A212,Policy!$A$2:$A$301,0)),0))</f>
        <v/>
      </c>
      <c r="R212" s="24" t="str">
        <f aca="false">IF($A212="","",L212*Q212/100)</f>
        <v/>
      </c>
      <c r="S212" s="24" t="str">
        <f aca="false">IF($A212="","",M212*Q212/100)</f>
        <v/>
      </c>
      <c r="T212" s="24" t="str">
        <f aca="false">IF($A212="","",N212*Q212/100)</f>
        <v/>
      </c>
      <c r="U212" s="24" t="str">
        <f aca="false">IF($A212="","",O212*Q212/100)</f>
        <v/>
      </c>
      <c r="V212" s="24" t="str">
        <f aca="false">IF($A212="","",R212+S212+T212+U212)</f>
        <v/>
      </c>
      <c r="W212" s="14"/>
      <c r="X212" s="15"/>
      <c r="Y212" s="23"/>
      <c r="Z212" s="14"/>
    </row>
    <row r="213" customFormat="false" ht="15" hidden="false" customHeight="false" outlineLevel="0" collapsed="false">
      <c r="A213" s="14"/>
      <c r="B213" s="17" t="str">
        <f aca="false">IF($A213="","",IFERROR(INDEX(Policy!$B$2:$B$301,MATCH($A213,Policy!$A$2:$A$301,0)),"MRO không có"))</f>
        <v/>
      </c>
      <c r="C213" s="17" t="str">
        <f aca="false">IF($A213="","",IFERROR(INDEX(Policy!$E$2:$E$301,MATCH($A213,Policy!$A$2:$A$301,0)),"MRO không có"))</f>
        <v/>
      </c>
      <c r="D213" s="14"/>
      <c r="E213" s="15"/>
      <c r="F213" s="15"/>
      <c r="G213" s="14"/>
      <c r="H213" s="14"/>
      <c r="I213" s="14"/>
      <c r="J213" s="14"/>
      <c r="K213" s="14"/>
      <c r="L213" s="23"/>
      <c r="M213" s="23"/>
      <c r="N213" s="23"/>
      <c r="O213" s="23"/>
      <c r="P213" s="24" t="str">
        <f aca="false">IF($A213="","",L213+M213+N213+O213)</f>
        <v/>
      </c>
      <c r="Q213" s="22" t="str">
        <f aca="false">IF($A213="","",IFERROR(INDEX(Risk!$D$2:$D$301,MATCH($A213,Policy!$A$2:$A$301,0)),0))</f>
        <v/>
      </c>
      <c r="R213" s="24" t="str">
        <f aca="false">IF($A213="","",L213*Q213/100)</f>
        <v/>
      </c>
      <c r="S213" s="24" t="str">
        <f aca="false">IF($A213="","",M213*Q213/100)</f>
        <v/>
      </c>
      <c r="T213" s="24" t="str">
        <f aca="false">IF($A213="","",N213*Q213/100)</f>
        <v/>
      </c>
      <c r="U213" s="24" t="str">
        <f aca="false">IF($A213="","",O213*Q213/100)</f>
        <v/>
      </c>
      <c r="V213" s="24" t="str">
        <f aca="false">IF($A213="","",R213+S213+T213+U213)</f>
        <v/>
      </c>
      <c r="W213" s="14"/>
      <c r="X213" s="15"/>
      <c r="Y213" s="23"/>
      <c r="Z213" s="14"/>
    </row>
    <row r="214" customFormat="false" ht="15" hidden="false" customHeight="false" outlineLevel="0" collapsed="false">
      <c r="A214" s="14"/>
      <c r="B214" s="17" t="str">
        <f aca="false">IF($A214="","",IFERROR(INDEX(Policy!$B$2:$B$301,MATCH($A214,Policy!$A$2:$A$301,0)),"MRO không có"))</f>
        <v/>
      </c>
      <c r="C214" s="17" t="str">
        <f aca="false">IF($A214="","",IFERROR(INDEX(Policy!$E$2:$E$301,MATCH($A214,Policy!$A$2:$A$301,0)),"MRO không có"))</f>
        <v/>
      </c>
      <c r="D214" s="14"/>
      <c r="E214" s="15"/>
      <c r="F214" s="15"/>
      <c r="G214" s="14"/>
      <c r="H214" s="14"/>
      <c r="I214" s="14"/>
      <c r="J214" s="14"/>
      <c r="K214" s="14"/>
      <c r="L214" s="23"/>
      <c r="M214" s="23"/>
      <c r="N214" s="23"/>
      <c r="O214" s="23"/>
      <c r="P214" s="24" t="str">
        <f aca="false">IF($A214="","",L214+M214+N214+O214)</f>
        <v/>
      </c>
      <c r="Q214" s="22" t="str">
        <f aca="false">IF($A214="","",IFERROR(INDEX(Risk!$D$2:$D$301,MATCH($A214,Policy!$A$2:$A$301,0)),0))</f>
        <v/>
      </c>
      <c r="R214" s="24" t="str">
        <f aca="false">IF($A214="","",L214*Q214/100)</f>
        <v/>
      </c>
      <c r="S214" s="24" t="str">
        <f aca="false">IF($A214="","",M214*Q214/100)</f>
        <v/>
      </c>
      <c r="T214" s="24" t="str">
        <f aca="false">IF($A214="","",N214*Q214/100)</f>
        <v/>
      </c>
      <c r="U214" s="24" t="str">
        <f aca="false">IF($A214="","",O214*Q214/100)</f>
        <v/>
      </c>
      <c r="V214" s="24" t="str">
        <f aca="false">IF($A214="","",R214+S214+T214+U214)</f>
        <v/>
      </c>
      <c r="W214" s="14"/>
      <c r="X214" s="15"/>
      <c r="Y214" s="23"/>
      <c r="Z214" s="14"/>
    </row>
    <row r="215" customFormat="false" ht="15" hidden="false" customHeight="false" outlineLevel="0" collapsed="false">
      <c r="A215" s="14"/>
      <c r="B215" s="17" t="str">
        <f aca="false">IF($A215="","",IFERROR(INDEX(Policy!$B$2:$B$301,MATCH($A215,Policy!$A$2:$A$301,0)),"MRO không có"))</f>
        <v/>
      </c>
      <c r="C215" s="17" t="str">
        <f aca="false">IF($A215="","",IFERROR(INDEX(Policy!$E$2:$E$301,MATCH($A215,Policy!$A$2:$A$301,0)),"MRO không có"))</f>
        <v/>
      </c>
      <c r="D215" s="14"/>
      <c r="E215" s="15"/>
      <c r="F215" s="15"/>
      <c r="G215" s="14"/>
      <c r="H215" s="14"/>
      <c r="I215" s="14"/>
      <c r="J215" s="14"/>
      <c r="K215" s="14"/>
      <c r="L215" s="23"/>
      <c r="M215" s="23"/>
      <c r="N215" s="23"/>
      <c r="O215" s="23"/>
      <c r="P215" s="24" t="str">
        <f aca="false">IF($A215="","",L215+M215+N215+O215)</f>
        <v/>
      </c>
      <c r="Q215" s="22" t="str">
        <f aca="false">IF($A215="","",IFERROR(INDEX(Risk!$D$2:$D$301,MATCH($A215,Policy!$A$2:$A$301,0)),0))</f>
        <v/>
      </c>
      <c r="R215" s="24" t="str">
        <f aca="false">IF($A215="","",L215*Q215/100)</f>
        <v/>
      </c>
      <c r="S215" s="24" t="str">
        <f aca="false">IF($A215="","",M215*Q215/100)</f>
        <v/>
      </c>
      <c r="T215" s="24" t="str">
        <f aca="false">IF($A215="","",N215*Q215/100)</f>
        <v/>
      </c>
      <c r="U215" s="24" t="str">
        <f aca="false">IF($A215="","",O215*Q215/100)</f>
        <v/>
      </c>
      <c r="V215" s="24" t="str">
        <f aca="false">IF($A215="","",R215+S215+T215+U215)</f>
        <v/>
      </c>
      <c r="W215" s="14"/>
      <c r="X215" s="15"/>
      <c r="Y215" s="23"/>
      <c r="Z215" s="14"/>
    </row>
    <row r="216" customFormat="false" ht="15" hidden="false" customHeight="false" outlineLevel="0" collapsed="false">
      <c r="A216" s="14"/>
      <c r="B216" s="17" t="str">
        <f aca="false">IF($A216="","",IFERROR(INDEX(Policy!$B$2:$B$301,MATCH($A216,Policy!$A$2:$A$301,0)),"MRO không có"))</f>
        <v/>
      </c>
      <c r="C216" s="17" t="str">
        <f aca="false">IF($A216="","",IFERROR(INDEX(Policy!$E$2:$E$301,MATCH($A216,Policy!$A$2:$A$301,0)),"MRO không có"))</f>
        <v/>
      </c>
      <c r="D216" s="14"/>
      <c r="E216" s="15"/>
      <c r="F216" s="15"/>
      <c r="G216" s="14"/>
      <c r="H216" s="14"/>
      <c r="I216" s="14"/>
      <c r="J216" s="14"/>
      <c r="K216" s="14"/>
      <c r="L216" s="23"/>
      <c r="M216" s="23"/>
      <c r="N216" s="23"/>
      <c r="O216" s="23"/>
      <c r="P216" s="24" t="str">
        <f aca="false">IF($A216="","",L216+M216+N216+O216)</f>
        <v/>
      </c>
      <c r="Q216" s="22" t="str">
        <f aca="false">IF($A216="","",IFERROR(INDEX(Risk!$D$2:$D$301,MATCH($A216,Policy!$A$2:$A$301,0)),0))</f>
        <v/>
      </c>
      <c r="R216" s="24" t="str">
        <f aca="false">IF($A216="","",L216*Q216/100)</f>
        <v/>
      </c>
      <c r="S216" s="24" t="str">
        <f aca="false">IF($A216="","",M216*Q216/100)</f>
        <v/>
      </c>
      <c r="T216" s="24" t="str">
        <f aca="false">IF($A216="","",N216*Q216/100)</f>
        <v/>
      </c>
      <c r="U216" s="24" t="str">
        <f aca="false">IF($A216="","",O216*Q216/100)</f>
        <v/>
      </c>
      <c r="V216" s="24" t="str">
        <f aca="false">IF($A216="","",R216+S216+T216+U216)</f>
        <v/>
      </c>
      <c r="W216" s="14"/>
      <c r="X216" s="15"/>
      <c r="Y216" s="23"/>
      <c r="Z216" s="14"/>
    </row>
    <row r="217" customFormat="false" ht="15" hidden="false" customHeight="false" outlineLevel="0" collapsed="false">
      <c r="A217" s="14"/>
      <c r="B217" s="17" t="str">
        <f aca="false">IF($A217="","",IFERROR(INDEX(Policy!$B$2:$B$301,MATCH($A217,Policy!$A$2:$A$301,0)),"MRO không có"))</f>
        <v/>
      </c>
      <c r="C217" s="17" t="str">
        <f aca="false">IF($A217="","",IFERROR(INDEX(Policy!$E$2:$E$301,MATCH($A217,Policy!$A$2:$A$301,0)),"MRO không có"))</f>
        <v/>
      </c>
      <c r="D217" s="14"/>
      <c r="E217" s="15"/>
      <c r="F217" s="15"/>
      <c r="G217" s="14"/>
      <c r="H217" s="14"/>
      <c r="I217" s="14"/>
      <c r="J217" s="14"/>
      <c r="K217" s="14"/>
      <c r="L217" s="23"/>
      <c r="M217" s="23"/>
      <c r="N217" s="23"/>
      <c r="O217" s="23"/>
      <c r="P217" s="24" t="str">
        <f aca="false">IF($A217="","",L217+M217+N217+O217)</f>
        <v/>
      </c>
      <c r="Q217" s="22" t="str">
        <f aca="false">IF($A217="","",IFERROR(INDEX(Risk!$D$2:$D$301,MATCH($A217,Policy!$A$2:$A$301,0)),0))</f>
        <v/>
      </c>
      <c r="R217" s="24" t="str">
        <f aca="false">IF($A217="","",L217*Q217/100)</f>
        <v/>
      </c>
      <c r="S217" s="24" t="str">
        <f aca="false">IF($A217="","",M217*Q217/100)</f>
        <v/>
      </c>
      <c r="T217" s="24" t="str">
        <f aca="false">IF($A217="","",N217*Q217/100)</f>
        <v/>
      </c>
      <c r="U217" s="24" t="str">
        <f aca="false">IF($A217="","",O217*Q217/100)</f>
        <v/>
      </c>
      <c r="V217" s="24" t="str">
        <f aca="false">IF($A217="","",R217+S217+T217+U217)</f>
        <v/>
      </c>
      <c r="W217" s="14"/>
      <c r="X217" s="15"/>
      <c r="Y217" s="23"/>
      <c r="Z217" s="14"/>
    </row>
    <row r="218" customFormat="false" ht="15" hidden="false" customHeight="false" outlineLevel="0" collapsed="false">
      <c r="A218" s="14"/>
      <c r="B218" s="17" t="str">
        <f aca="false">IF($A218="","",IFERROR(INDEX(Policy!$B$2:$B$301,MATCH($A218,Policy!$A$2:$A$301,0)),"MRO không có"))</f>
        <v/>
      </c>
      <c r="C218" s="17" t="str">
        <f aca="false">IF($A218="","",IFERROR(INDEX(Policy!$E$2:$E$301,MATCH($A218,Policy!$A$2:$A$301,0)),"MRO không có"))</f>
        <v/>
      </c>
      <c r="D218" s="14"/>
      <c r="E218" s="15"/>
      <c r="F218" s="15"/>
      <c r="G218" s="14"/>
      <c r="H218" s="14"/>
      <c r="I218" s="14"/>
      <c r="J218" s="14"/>
      <c r="K218" s="14"/>
      <c r="L218" s="23"/>
      <c r="M218" s="23"/>
      <c r="N218" s="23"/>
      <c r="O218" s="23"/>
      <c r="P218" s="24" t="str">
        <f aca="false">IF($A218="","",L218+M218+N218+O218)</f>
        <v/>
      </c>
      <c r="Q218" s="22" t="str">
        <f aca="false">IF($A218="","",IFERROR(INDEX(Risk!$D$2:$D$301,MATCH($A218,Policy!$A$2:$A$301,0)),0))</f>
        <v/>
      </c>
      <c r="R218" s="24" t="str">
        <f aca="false">IF($A218="","",L218*Q218/100)</f>
        <v/>
      </c>
      <c r="S218" s="24" t="str">
        <f aca="false">IF($A218="","",M218*Q218/100)</f>
        <v/>
      </c>
      <c r="T218" s="24" t="str">
        <f aca="false">IF($A218="","",N218*Q218/100)</f>
        <v/>
      </c>
      <c r="U218" s="24" t="str">
        <f aca="false">IF($A218="","",O218*Q218/100)</f>
        <v/>
      </c>
      <c r="V218" s="24" t="str">
        <f aca="false">IF($A218="","",R218+S218+T218+U218)</f>
        <v/>
      </c>
      <c r="W218" s="14"/>
      <c r="X218" s="15"/>
      <c r="Y218" s="23"/>
      <c r="Z218" s="14"/>
    </row>
    <row r="219" customFormat="false" ht="15" hidden="false" customHeight="false" outlineLevel="0" collapsed="false">
      <c r="A219" s="14"/>
      <c r="B219" s="17" t="str">
        <f aca="false">IF($A219="","",IFERROR(INDEX(Policy!$B$2:$B$301,MATCH($A219,Policy!$A$2:$A$301,0)),"MRO không có"))</f>
        <v/>
      </c>
      <c r="C219" s="17" t="str">
        <f aca="false">IF($A219="","",IFERROR(INDEX(Policy!$E$2:$E$301,MATCH($A219,Policy!$A$2:$A$301,0)),"MRO không có"))</f>
        <v/>
      </c>
      <c r="D219" s="14"/>
      <c r="E219" s="15"/>
      <c r="F219" s="15"/>
      <c r="G219" s="14"/>
      <c r="H219" s="14"/>
      <c r="I219" s="14"/>
      <c r="J219" s="14"/>
      <c r="K219" s="14"/>
      <c r="L219" s="23"/>
      <c r="M219" s="23"/>
      <c r="N219" s="23"/>
      <c r="O219" s="23"/>
      <c r="P219" s="24" t="str">
        <f aca="false">IF($A219="","",L219+M219+N219+O219)</f>
        <v/>
      </c>
      <c r="Q219" s="22" t="str">
        <f aca="false">IF($A219="","",IFERROR(INDEX(Risk!$D$2:$D$301,MATCH($A219,Policy!$A$2:$A$301,0)),0))</f>
        <v/>
      </c>
      <c r="R219" s="24" t="str">
        <f aca="false">IF($A219="","",L219*Q219/100)</f>
        <v/>
      </c>
      <c r="S219" s="24" t="str">
        <f aca="false">IF($A219="","",M219*Q219/100)</f>
        <v/>
      </c>
      <c r="T219" s="24" t="str">
        <f aca="false">IF($A219="","",N219*Q219/100)</f>
        <v/>
      </c>
      <c r="U219" s="24" t="str">
        <f aca="false">IF($A219="","",O219*Q219/100)</f>
        <v/>
      </c>
      <c r="V219" s="24" t="str">
        <f aca="false">IF($A219="","",R219+S219+T219+U219)</f>
        <v/>
      </c>
      <c r="W219" s="14"/>
      <c r="X219" s="15"/>
      <c r="Y219" s="23"/>
      <c r="Z219" s="14"/>
    </row>
    <row r="220" customFormat="false" ht="15" hidden="false" customHeight="false" outlineLevel="0" collapsed="false">
      <c r="A220" s="14"/>
      <c r="B220" s="17" t="str">
        <f aca="false">IF($A220="","",IFERROR(INDEX(Policy!$B$2:$B$301,MATCH($A220,Policy!$A$2:$A$301,0)),"MRO không có"))</f>
        <v/>
      </c>
      <c r="C220" s="17" t="str">
        <f aca="false">IF($A220="","",IFERROR(INDEX(Policy!$E$2:$E$301,MATCH($A220,Policy!$A$2:$A$301,0)),"MRO không có"))</f>
        <v/>
      </c>
      <c r="D220" s="14"/>
      <c r="E220" s="15"/>
      <c r="F220" s="15"/>
      <c r="G220" s="14"/>
      <c r="H220" s="14"/>
      <c r="I220" s="14"/>
      <c r="J220" s="14"/>
      <c r="K220" s="14"/>
      <c r="L220" s="23"/>
      <c r="M220" s="23"/>
      <c r="N220" s="23"/>
      <c r="O220" s="23"/>
      <c r="P220" s="24" t="str">
        <f aca="false">IF($A220="","",L220+M220+N220+O220)</f>
        <v/>
      </c>
      <c r="Q220" s="22" t="str">
        <f aca="false">IF($A220="","",IFERROR(INDEX(Risk!$D$2:$D$301,MATCH($A220,Policy!$A$2:$A$301,0)),0))</f>
        <v/>
      </c>
      <c r="R220" s="24" t="str">
        <f aca="false">IF($A220="","",L220*Q220/100)</f>
        <v/>
      </c>
      <c r="S220" s="24" t="str">
        <f aca="false">IF($A220="","",M220*Q220/100)</f>
        <v/>
      </c>
      <c r="T220" s="24" t="str">
        <f aca="false">IF($A220="","",N220*Q220/100)</f>
        <v/>
      </c>
      <c r="U220" s="24" t="str">
        <f aca="false">IF($A220="","",O220*Q220/100)</f>
        <v/>
      </c>
      <c r="V220" s="24" t="str">
        <f aca="false">IF($A220="","",R220+S220+T220+U220)</f>
        <v/>
      </c>
      <c r="W220" s="14"/>
      <c r="X220" s="15"/>
      <c r="Y220" s="23"/>
      <c r="Z220" s="14"/>
    </row>
    <row r="221" customFormat="false" ht="15" hidden="false" customHeight="false" outlineLevel="0" collapsed="false">
      <c r="A221" s="14"/>
      <c r="B221" s="17" t="str">
        <f aca="false">IF($A221="","",IFERROR(INDEX(Policy!$B$2:$B$301,MATCH($A221,Policy!$A$2:$A$301,0)),"MRO không có"))</f>
        <v/>
      </c>
      <c r="C221" s="17" t="str">
        <f aca="false">IF($A221="","",IFERROR(INDEX(Policy!$E$2:$E$301,MATCH($A221,Policy!$A$2:$A$301,0)),"MRO không có"))</f>
        <v/>
      </c>
      <c r="D221" s="14"/>
      <c r="E221" s="15"/>
      <c r="F221" s="15"/>
      <c r="G221" s="14"/>
      <c r="H221" s="14"/>
      <c r="I221" s="14"/>
      <c r="J221" s="14"/>
      <c r="K221" s="14"/>
      <c r="L221" s="23"/>
      <c r="M221" s="23"/>
      <c r="N221" s="23"/>
      <c r="O221" s="23"/>
      <c r="P221" s="24" t="str">
        <f aca="false">IF($A221="","",L221+M221+N221+O221)</f>
        <v/>
      </c>
      <c r="Q221" s="22" t="str">
        <f aca="false">IF($A221="","",IFERROR(INDEX(Risk!$D$2:$D$301,MATCH($A221,Policy!$A$2:$A$301,0)),0))</f>
        <v/>
      </c>
      <c r="R221" s="24" t="str">
        <f aca="false">IF($A221="","",L221*Q221/100)</f>
        <v/>
      </c>
      <c r="S221" s="24" t="str">
        <f aca="false">IF($A221="","",M221*Q221/100)</f>
        <v/>
      </c>
      <c r="T221" s="24" t="str">
        <f aca="false">IF($A221="","",N221*Q221/100)</f>
        <v/>
      </c>
      <c r="U221" s="24" t="str">
        <f aca="false">IF($A221="","",O221*Q221/100)</f>
        <v/>
      </c>
      <c r="V221" s="24" t="str">
        <f aca="false">IF($A221="","",R221+S221+T221+U221)</f>
        <v/>
      </c>
      <c r="W221" s="14"/>
      <c r="X221" s="15"/>
      <c r="Y221" s="23"/>
      <c r="Z221" s="14"/>
    </row>
    <row r="222" customFormat="false" ht="15" hidden="false" customHeight="false" outlineLevel="0" collapsed="false">
      <c r="A222" s="14"/>
      <c r="B222" s="17" t="str">
        <f aca="false">IF($A222="","",IFERROR(INDEX(Policy!$B$2:$B$301,MATCH($A222,Policy!$A$2:$A$301,0)),"MRO không có"))</f>
        <v/>
      </c>
      <c r="C222" s="17" t="str">
        <f aca="false">IF($A222="","",IFERROR(INDEX(Policy!$E$2:$E$301,MATCH($A222,Policy!$A$2:$A$301,0)),"MRO không có"))</f>
        <v/>
      </c>
      <c r="D222" s="14"/>
      <c r="E222" s="15"/>
      <c r="F222" s="15"/>
      <c r="G222" s="14"/>
      <c r="H222" s="14"/>
      <c r="I222" s="14"/>
      <c r="J222" s="14"/>
      <c r="K222" s="14"/>
      <c r="L222" s="23"/>
      <c r="M222" s="23"/>
      <c r="N222" s="23"/>
      <c r="O222" s="23"/>
      <c r="P222" s="24" t="str">
        <f aca="false">IF($A222="","",L222+M222+N222+O222)</f>
        <v/>
      </c>
      <c r="Q222" s="22" t="str">
        <f aca="false">IF($A222="","",IFERROR(INDEX(Risk!$D$2:$D$301,MATCH($A222,Policy!$A$2:$A$301,0)),0))</f>
        <v/>
      </c>
      <c r="R222" s="24" t="str">
        <f aca="false">IF($A222="","",L222*Q222/100)</f>
        <v/>
      </c>
      <c r="S222" s="24" t="str">
        <f aca="false">IF($A222="","",M222*Q222/100)</f>
        <v/>
      </c>
      <c r="T222" s="24" t="str">
        <f aca="false">IF($A222="","",N222*Q222/100)</f>
        <v/>
      </c>
      <c r="U222" s="24" t="str">
        <f aca="false">IF($A222="","",O222*Q222/100)</f>
        <v/>
      </c>
      <c r="V222" s="24" t="str">
        <f aca="false">IF($A222="","",R222+S222+T222+U222)</f>
        <v/>
      </c>
      <c r="W222" s="14"/>
      <c r="X222" s="15"/>
      <c r="Y222" s="23"/>
      <c r="Z222" s="14"/>
    </row>
    <row r="223" customFormat="false" ht="15" hidden="false" customHeight="false" outlineLevel="0" collapsed="false">
      <c r="A223" s="14"/>
      <c r="B223" s="17" t="str">
        <f aca="false">IF($A223="","",IFERROR(INDEX(Policy!$B$2:$B$301,MATCH($A223,Policy!$A$2:$A$301,0)),"MRO không có"))</f>
        <v/>
      </c>
      <c r="C223" s="17" t="str">
        <f aca="false">IF($A223="","",IFERROR(INDEX(Policy!$E$2:$E$301,MATCH($A223,Policy!$A$2:$A$301,0)),"MRO không có"))</f>
        <v/>
      </c>
      <c r="D223" s="14"/>
      <c r="E223" s="15"/>
      <c r="F223" s="15"/>
      <c r="G223" s="14"/>
      <c r="H223" s="14"/>
      <c r="I223" s="14"/>
      <c r="J223" s="14"/>
      <c r="K223" s="14"/>
      <c r="L223" s="23"/>
      <c r="M223" s="23"/>
      <c r="N223" s="23"/>
      <c r="O223" s="23"/>
      <c r="P223" s="24" t="str">
        <f aca="false">IF($A223="","",L223+M223+N223+O223)</f>
        <v/>
      </c>
      <c r="Q223" s="22" t="str">
        <f aca="false">IF($A223="","",IFERROR(INDEX(Risk!$D$2:$D$301,MATCH($A223,Policy!$A$2:$A$301,0)),0))</f>
        <v/>
      </c>
      <c r="R223" s="24" t="str">
        <f aca="false">IF($A223="","",L223*Q223/100)</f>
        <v/>
      </c>
      <c r="S223" s="24" t="str">
        <f aca="false">IF($A223="","",M223*Q223/100)</f>
        <v/>
      </c>
      <c r="T223" s="24" t="str">
        <f aca="false">IF($A223="","",N223*Q223/100)</f>
        <v/>
      </c>
      <c r="U223" s="24" t="str">
        <f aca="false">IF($A223="","",O223*Q223/100)</f>
        <v/>
      </c>
      <c r="V223" s="24" t="str">
        <f aca="false">IF($A223="","",R223+S223+T223+U223)</f>
        <v/>
      </c>
      <c r="W223" s="14"/>
      <c r="X223" s="15"/>
      <c r="Y223" s="23"/>
      <c r="Z223" s="14"/>
    </row>
    <row r="224" customFormat="false" ht="15" hidden="false" customHeight="false" outlineLevel="0" collapsed="false">
      <c r="A224" s="14"/>
      <c r="B224" s="17" t="str">
        <f aca="false">IF($A224="","",IFERROR(INDEX(Policy!$B$2:$B$301,MATCH($A224,Policy!$A$2:$A$301,0)),"MRO không có"))</f>
        <v/>
      </c>
      <c r="C224" s="17" t="str">
        <f aca="false">IF($A224="","",IFERROR(INDEX(Policy!$E$2:$E$301,MATCH($A224,Policy!$A$2:$A$301,0)),"MRO không có"))</f>
        <v/>
      </c>
      <c r="D224" s="14"/>
      <c r="E224" s="15"/>
      <c r="F224" s="15"/>
      <c r="G224" s="14"/>
      <c r="H224" s="14"/>
      <c r="I224" s="14"/>
      <c r="J224" s="14"/>
      <c r="K224" s="14"/>
      <c r="L224" s="23"/>
      <c r="M224" s="23"/>
      <c r="N224" s="23"/>
      <c r="O224" s="23"/>
      <c r="P224" s="24" t="str">
        <f aca="false">IF($A224="","",L224+M224+N224+O224)</f>
        <v/>
      </c>
      <c r="Q224" s="22" t="str">
        <f aca="false">IF($A224="","",IFERROR(INDEX(Risk!$D$2:$D$301,MATCH($A224,Policy!$A$2:$A$301,0)),0))</f>
        <v/>
      </c>
      <c r="R224" s="24" t="str">
        <f aca="false">IF($A224="","",L224*Q224/100)</f>
        <v/>
      </c>
      <c r="S224" s="24" t="str">
        <f aca="false">IF($A224="","",M224*Q224/100)</f>
        <v/>
      </c>
      <c r="T224" s="24" t="str">
        <f aca="false">IF($A224="","",N224*Q224/100)</f>
        <v/>
      </c>
      <c r="U224" s="24" t="str">
        <f aca="false">IF($A224="","",O224*Q224/100)</f>
        <v/>
      </c>
      <c r="V224" s="24" t="str">
        <f aca="false">IF($A224="","",R224+S224+T224+U224)</f>
        <v/>
      </c>
      <c r="W224" s="14"/>
      <c r="X224" s="15"/>
      <c r="Y224" s="23"/>
      <c r="Z224" s="14"/>
    </row>
    <row r="225" customFormat="false" ht="15" hidden="false" customHeight="false" outlineLevel="0" collapsed="false">
      <c r="A225" s="14"/>
      <c r="B225" s="17" t="str">
        <f aca="false">IF($A225="","",IFERROR(INDEX(Policy!$B$2:$B$301,MATCH($A225,Policy!$A$2:$A$301,0)),"MRO không có"))</f>
        <v/>
      </c>
      <c r="C225" s="17" t="str">
        <f aca="false">IF($A225="","",IFERROR(INDEX(Policy!$E$2:$E$301,MATCH($A225,Policy!$A$2:$A$301,0)),"MRO không có"))</f>
        <v/>
      </c>
      <c r="D225" s="14"/>
      <c r="E225" s="15"/>
      <c r="F225" s="15"/>
      <c r="G225" s="14"/>
      <c r="H225" s="14"/>
      <c r="I225" s="14"/>
      <c r="J225" s="14"/>
      <c r="K225" s="14"/>
      <c r="L225" s="23"/>
      <c r="M225" s="23"/>
      <c r="N225" s="23"/>
      <c r="O225" s="23"/>
      <c r="P225" s="24" t="str">
        <f aca="false">IF($A225="","",L225+M225+N225+O225)</f>
        <v/>
      </c>
      <c r="Q225" s="22" t="str">
        <f aca="false">IF($A225="","",IFERROR(INDEX(Risk!$D$2:$D$301,MATCH($A225,Policy!$A$2:$A$301,0)),0))</f>
        <v/>
      </c>
      <c r="R225" s="24" t="str">
        <f aca="false">IF($A225="","",L225*Q225/100)</f>
        <v/>
      </c>
      <c r="S225" s="24" t="str">
        <f aca="false">IF($A225="","",M225*Q225/100)</f>
        <v/>
      </c>
      <c r="T225" s="24" t="str">
        <f aca="false">IF($A225="","",N225*Q225/100)</f>
        <v/>
      </c>
      <c r="U225" s="24" t="str">
        <f aca="false">IF($A225="","",O225*Q225/100)</f>
        <v/>
      </c>
      <c r="V225" s="24" t="str">
        <f aca="false">IF($A225="","",R225+S225+T225+U225)</f>
        <v/>
      </c>
      <c r="W225" s="14"/>
      <c r="X225" s="15"/>
      <c r="Y225" s="23"/>
      <c r="Z225" s="14"/>
    </row>
    <row r="226" customFormat="false" ht="15" hidden="false" customHeight="false" outlineLevel="0" collapsed="false">
      <c r="A226" s="14"/>
      <c r="B226" s="17" t="str">
        <f aca="false">IF($A226="","",IFERROR(INDEX(Policy!$B$2:$B$301,MATCH($A226,Policy!$A$2:$A$301,0)),"MRO không có"))</f>
        <v/>
      </c>
      <c r="C226" s="17" t="str">
        <f aca="false">IF($A226="","",IFERROR(INDEX(Policy!$E$2:$E$301,MATCH($A226,Policy!$A$2:$A$301,0)),"MRO không có"))</f>
        <v/>
      </c>
      <c r="D226" s="14"/>
      <c r="E226" s="15"/>
      <c r="F226" s="15"/>
      <c r="G226" s="14"/>
      <c r="H226" s="14"/>
      <c r="I226" s="14"/>
      <c r="J226" s="14"/>
      <c r="K226" s="14"/>
      <c r="L226" s="23"/>
      <c r="M226" s="23"/>
      <c r="N226" s="23"/>
      <c r="O226" s="23"/>
      <c r="P226" s="24" t="str">
        <f aca="false">IF($A226="","",L226+M226+N226+O226)</f>
        <v/>
      </c>
      <c r="Q226" s="22" t="str">
        <f aca="false">IF($A226="","",IFERROR(INDEX(Risk!$D$2:$D$301,MATCH($A226,Policy!$A$2:$A$301,0)),0))</f>
        <v/>
      </c>
      <c r="R226" s="24" t="str">
        <f aca="false">IF($A226="","",L226*Q226/100)</f>
        <v/>
      </c>
      <c r="S226" s="24" t="str">
        <f aca="false">IF($A226="","",M226*Q226/100)</f>
        <v/>
      </c>
      <c r="T226" s="24" t="str">
        <f aca="false">IF($A226="","",N226*Q226/100)</f>
        <v/>
      </c>
      <c r="U226" s="24" t="str">
        <f aca="false">IF($A226="","",O226*Q226/100)</f>
        <v/>
      </c>
      <c r="V226" s="24" t="str">
        <f aca="false">IF($A226="","",R226+S226+T226+U226)</f>
        <v/>
      </c>
      <c r="W226" s="14"/>
      <c r="X226" s="15"/>
      <c r="Y226" s="23"/>
      <c r="Z226" s="14"/>
    </row>
    <row r="227" customFormat="false" ht="15" hidden="false" customHeight="false" outlineLevel="0" collapsed="false">
      <c r="A227" s="14"/>
      <c r="B227" s="17" t="str">
        <f aca="false">IF($A227="","",IFERROR(INDEX(Policy!$B$2:$B$301,MATCH($A227,Policy!$A$2:$A$301,0)),"MRO không có"))</f>
        <v/>
      </c>
      <c r="C227" s="17" t="str">
        <f aca="false">IF($A227="","",IFERROR(INDEX(Policy!$E$2:$E$301,MATCH($A227,Policy!$A$2:$A$301,0)),"MRO không có"))</f>
        <v/>
      </c>
      <c r="D227" s="14"/>
      <c r="E227" s="15"/>
      <c r="F227" s="15"/>
      <c r="G227" s="14"/>
      <c r="H227" s="14"/>
      <c r="I227" s="14"/>
      <c r="J227" s="14"/>
      <c r="K227" s="14"/>
      <c r="L227" s="23"/>
      <c r="M227" s="23"/>
      <c r="N227" s="23"/>
      <c r="O227" s="23"/>
      <c r="P227" s="24" t="str">
        <f aca="false">IF($A227="","",L227+M227+N227+O227)</f>
        <v/>
      </c>
      <c r="Q227" s="22" t="str">
        <f aca="false">IF($A227="","",IFERROR(INDEX(Risk!$D$2:$D$301,MATCH($A227,Policy!$A$2:$A$301,0)),0))</f>
        <v/>
      </c>
      <c r="R227" s="24" t="str">
        <f aca="false">IF($A227="","",L227*Q227/100)</f>
        <v/>
      </c>
      <c r="S227" s="24" t="str">
        <f aca="false">IF($A227="","",M227*Q227/100)</f>
        <v/>
      </c>
      <c r="T227" s="24" t="str">
        <f aca="false">IF($A227="","",N227*Q227/100)</f>
        <v/>
      </c>
      <c r="U227" s="24" t="str">
        <f aca="false">IF($A227="","",O227*Q227/100)</f>
        <v/>
      </c>
      <c r="V227" s="24" t="str">
        <f aca="false">IF($A227="","",R227+S227+T227+U227)</f>
        <v/>
      </c>
      <c r="W227" s="14"/>
      <c r="X227" s="15"/>
      <c r="Y227" s="23"/>
      <c r="Z227" s="14"/>
    </row>
    <row r="228" customFormat="false" ht="15" hidden="false" customHeight="false" outlineLevel="0" collapsed="false">
      <c r="A228" s="14"/>
      <c r="B228" s="17" t="str">
        <f aca="false">IF($A228="","",IFERROR(INDEX(Policy!$B$2:$B$301,MATCH($A228,Policy!$A$2:$A$301,0)),"MRO không có"))</f>
        <v/>
      </c>
      <c r="C228" s="17" t="str">
        <f aca="false">IF($A228="","",IFERROR(INDEX(Policy!$E$2:$E$301,MATCH($A228,Policy!$A$2:$A$301,0)),"MRO không có"))</f>
        <v/>
      </c>
      <c r="D228" s="14"/>
      <c r="E228" s="15"/>
      <c r="F228" s="15"/>
      <c r="G228" s="14"/>
      <c r="H228" s="14"/>
      <c r="I228" s="14"/>
      <c r="J228" s="14"/>
      <c r="K228" s="14"/>
      <c r="L228" s="23"/>
      <c r="M228" s="23"/>
      <c r="N228" s="23"/>
      <c r="O228" s="23"/>
      <c r="P228" s="24" t="str">
        <f aca="false">IF($A228="","",L228+M228+N228+O228)</f>
        <v/>
      </c>
      <c r="Q228" s="22" t="str">
        <f aca="false">IF($A228="","",IFERROR(INDEX(Risk!$D$2:$D$301,MATCH($A228,Policy!$A$2:$A$301,0)),0))</f>
        <v/>
      </c>
      <c r="R228" s="24" t="str">
        <f aca="false">IF($A228="","",L228*Q228/100)</f>
        <v/>
      </c>
      <c r="S228" s="24" t="str">
        <f aca="false">IF($A228="","",M228*Q228/100)</f>
        <v/>
      </c>
      <c r="T228" s="24" t="str">
        <f aca="false">IF($A228="","",N228*Q228/100)</f>
        <v/>
      </c>
      <c r="U228" s="24" t="str">
        <f aca="false">IF($A228="","",O228*Q228/100)</f>
        <v/>
      </c>
      <c r="V228" s="24" t="str">
        <f aca="false">IF($A228="","",R228+S228+T228+U228)</f>
        <v/>
      </c>
      <c r="W228" s="14"/>
      <c r="X228" s="15"/>
      <c r="Y228" s="23"/>
      <c r="Z228" s="14"/>
    </row>
    <row r="229" customFormat="false" ht="15" hidden="false" customHeight="false" outlineLevel="0" collapsed="false">
      <c r="A229" s="14"/>
      <c r="B229" s="17" t="str">
        <f aca="false">IF($A229="","",IFERROR(INDEX(Policy!$B$2:$B$301,MATCH($A229,Policy!$A$2:$A$301,0)),"MRO không có"))</f>
        <v/>
      </c>
      <c r="C229" s="17" t="str">
        <f aca="false">IF($A229="","",IFERROR(INDEX(Policy!$E$2:$E$301,MATCH($A229,Policy!$A$2:$A$301,0)),"MRO không có"))</f>
        <v/>
      </c>
      <c r="D229" s="14"/>
      <c r="E229" s="15"/>
      <c r="F229" s="15"/>
      <c r="G229" s="14"/>
      <c r="H229" s="14"/>
      <c r="I229" s="14"/>
      <c r="J229" s="14"/>
      <c r="K229" s="14"/>
      <c r="L229" s="23"/>
      <c r="M229" s="23"/>
      <c r="N229" s="23"/>
      <c r="O229" s="23"/>
      <c r="P229" s="24" t="str">
        <f aca="false">IF($A229="","",L229+M229+N229+O229)</f>
        <v/>
      </c>
      <c r="Q229" s="22" t="str">
        <f aca="false">IF($A229="","",IFERROR(INDEX(Risk!$D$2:$D$301,MATCH($A229,Policy!$A$2:$A$301,0)),0))</f>
        <v/>
      </c>
      <c r="R229" s="24" t="str">
        <f aca="false">IF($A229="","",L229*Q229/100)</f>
        <v/>
      </c>
      <c r="S229" s="24" t="str">
        <f aca="false">IF($A229="","",M229*Q229/100)</f>
        <v/>
      </c>
      <c r="T229" s="24" t="str">
        <f aca="false">IF($A229="","",N229*Q229/100)</f>
        <v/>
      </c>
      <c r="U229" s="24" t="str">
        <f aca="false">IF($A229="","",O229*Q229/100)</f>
        <v/>
      </c>
      <c r="V229" s="24" t="str">
        <f aca="false">IF($A229="","",R229+S229+T229+U229)</f>
        <v/>
      </c>
      <c r="W229" s="14"/>
      <c r="X229" s="15"/>
      <c r="Y229" s="23"/>
      <c r="Z229" s="14"/>
    </row>
    <row r="230" customFormat="false" ht="15" hidden="false" customHeight="false" outlineLevel="0" collapsed="false">
      <c r="A230" s="14"/>
      <c r="B230" s="17" t="str">
        <f aca="false">IF($A230="","",IFERROR(INDEX(Policy!$B$2:$B$301,MATCH($A230,Policy!$A$2:$A$301,0)),"MRO không có"))</f>
        <v/>
      </c>
      <c r="C230" s="17" t="str">
        <f aca="false">IF($A230="","",IFERROR(INDEX(Policy!$E$2:$E$301,MATCH($A230,Policy!$A$2:$A$301,0)),"MRO không có"))</f>
        <v/>
      </c>
      <c r="D230" s="14"/>
      <c r="E230" s="15"/>
      <c r="F230" s="15"/>
      <c r="G230" s="14"/>
      <c r="H230" s="14"/>
      <c r="I230" s="14"/>
      <c r="J230" s="14"/>
      <c r="K230" s="14"/>
      <c r="L230" s="23"/>
      <c r="M230" s="23"/>
      <c r="N230" s="23"/>
      <c r="O230" s="23"/>
      <c r="P230" s="24" t="str">
        <f aca="false">IF($A230="","",L230+M230+N230+O230)</f>
        <v/>
      </c>
      <c r="Q230" s="22" t="str">
        <f aca="false">IF($A230="","",IFERROR(INDEX(Risk!$D$2:$D$301,MATCH($A230,Policy!$A$2:$A$301,0)),0))</f>
        <v/>
      </c>
      <c r="R230" s="24" t="str">
        <f aca="false">IF($A230="","",L230*Q230/100)</f>
        <v/>
      </c>
      <c r="S230" s="24" t="str">
        <f aca="false">IF($A230="","",M230*Q230/100)</f>
        <v/>
      </c>
      <c r="T230" s="24" t="str">
        <f aca="false">IF($A230="","",N230*Q230/100)</f>
        <v/>
      </c>
      <c r="U230" s="24" t="str">
        <f aca="false">IF($A230="","",O230*Q230/100)</f>
        <v/>
      </c>
      <c r="V230" s="24" t="str">
        <f aca="false">IF($A230="","",R230+S230+T230+U230)</f>
        <v/>
      </c>
      <c r="W230" s="14"/>
      <c r="X230" s="15"/>
      <c r="Y230" s="23"/>
      <c r="Z230" s="14"/>
    </row>
    <row r="231" customFormat="false" ht="15" hidden="false" customHeight="false" outlineLevel="0" collapsed="false">
      <c r="A231" s="14"/>
      <c r="B231" s="17" t="str">
        <f aca="false">IF($A231="","",IFERROR(INDEX(Policy!$B$2:$B$301,MATCH($A231,Policy!$A$2:$A$301,0)),"MRO không có"))</f>
        <v/>
      </c>
      <c r="C231" s="17" t="str">
        <f aca="false">IF($A231="","",IFERROR(INDEX(Policy!$E$2:$E$301,MATCH($A231,Policy!$A$2:$A$301,0)),"MRO không có"))</f>
        <v/>
      </c>
      <c r="D231" s="14"/>
      <c r="E231" s="15"/>
      <c r="F231" s="15"/>
      <c r="G231" s="14"/>
      <c r="H231" s="14"/>
      <c r="I231" s="14"/>
      <c r="J231" s="14"/>
      <c r="K231" s="14"/>
      <c r="L231" s="23"/>
      <c r="M231" s="23"/>
      <c r="N231" s="23"/>
      <c r="O231" s="23"/>
      <c r="P231" s="24" t="str">
        <f aca="false">IF($A231="","",L231+M231+N231+O231)</f>
        <v/>
      </c>
      <c r="Q231" s="22" t="str">
        <f aca="false">IF($A231="","",IFERROR(INDEX(Risk!$D$2:$D$301,MATCH($A231,Policy!$A$2:$A$301,0)),0))</f>
        <v/>
      </c>
      <c r="R231" s="24" t="str">
        <f aca="false">IF($A231="","",L231*Q231/100)</f>
        <v/>
      </c>
      <c r="S231" s="24" t="str">
        <f aca="false">IF($A231="","",M231*Q231/100)</f>
        <v/>
      </c>
      <c r="T231" s="24" t="str">
        <f aca="false">IF($A231="","",N231*Q231/100)</f>
        <v/>
      </c>
      <c r="U231" s="24" t="str">
        <f aca="false">IF($A231="","",O231*Q231/100)</f>
        <v/>
      </c>
      <c r="V231" s="24" t="str">
        <f aca="false">IF($A231="","",R231+S231+T231+U231)</f>
        <v/>
      </c>
      <c r="W231" s="14"/>
      <c r="X231" s="15"/>
      <c r="Y231" s="23"/>
      <c r="Z231" s="14"/>
    </row>
    <row r="232" customFormat="false" ht="15" hidden="false" customHeight="false" outlineLevel="0" collapsed="false">
      <c r="A232" s="14"/>
      <c r="B232" s="17" t="str">
        <f aca="false">IF($A232="","",IFERROR(INDEX(Policy!$B$2:$B$301,MATCH($A232,Policy!$A$2:$A$301,0)),"MRO không có"))</f>
        <v/>
      </c>
      <c r="C232" s="17" t="str">
        <f aca="false">IF($A232="","",IFERROR(INDEX(Policy!$E$2:$E$301,MATCH($A232,Policy!$A$2:$A$301,0)),"MRO không có"))</f>
        <v/>
      </c>
      <c r="D232" s="14"/>
      <c r="E232" s="15"/>
      <c r="F232" s="15"/>
      <c r="G232" s="14"/>
      <c r="H232" s="14"/>
      <c r="I232" s="14"/>
      <c r="J232" s="14"/>
      <c r="K232" s="14"/>
      <c r="L232" s="23"/>
      <c r="M232" s="23"/>
      <c r="N232" s="23"/>
      <c r="O232" s="23"/>
      <c r="P232" s="24" t="str">
        <f aca="false">IF($A232="","",L232+M232+N232+O232)</f>
        <v/>
      </c>
      <c r="Q232" s="22" t="str">
        <f aca="false">IF($A232="","",IFERROR(INDEX(Risk!$D$2:$D$301,MATCH($A232,Policy!$A$2:$A$301,0)),0))</f>
        <v/>
      </c>
      <c r="R232" s="24" t="str">
        <f aca="false">IF($A232="","",L232*Q232/100)</f>
        <v/>
      </c>
      <c r="S232" s="24" t="str">
        <f aca="false">IF($A232="","",M232*Q232/100)</f>
        <v/>
      </c>
      <c r="T232" s="24" t="str">
        <f aca="false">IF($A232="","",N232*Q232/100)</f>
        <v/>
      </c>
      <c r="U232" s="24" t="str">
        <f aca="false">IF($A232="","",O232*Q232/100)</f>
        <v/>
      </c>
      <c r="V232" s="24" t="str">
        <f aca="false">IF($A232="","",R232+S232+T232+U232)</f>
        <v/>
      </c>
      <c r="W232" s="14"/>
      <c r="X232" s="15"/>
      <c r="Y232" s="23"/>
      <c r="Z232" s="14"/>
    </row>
    <row r="233" customFormat="false" ht="15" hidden="false" customHeight="false" outlineLevel="0" collapsed="false">
      <c r="A233" s="14"/>
      <c r="B233" s="17" t="str">
        <f aca="false">IF($A233="","",IFERROR(INDEX(Policy!$B$2:$B$301,MATCH($A233,Policy!$A$2:$A$301,0)),"MRO không có"))</f>
        <v/>
      </c>
      <c r="C233" s="17" t="str">
        <f aca="false">IF($A233="","",IFERROR(INDEX(Policy!$E$2:$E$301,MATCH($A233,Policy!$A$2:$A$301,0)),"MRO không có"))</f>
        <v/>
      </c>
      <c r="D233" s="14"/>
      <c r="E233" s="15"/>
      <c r="F233" s="15"/>
      <c r="G233" s="14"/>
      <c r="H233" s="14"/>
      <c r="I233" s="14"/>
      <c r="J233" s="14"/>
      <c r="K233" s="14"/>
      <c r="L233" s="23"/>
      <c r="M233" s="23"/>
      <c r="N233" s="23"/>
      <c r="O233" s="23"/>
      <c r="P233" s="24" t="str">
        <f aca="false">IF($A233="","",L233+M233+N233+O233)</f>
        <v/>
      </c>
      <c r="Q233" s="22" t="str">
        <f aca="false">IF($A233="","",IFERROR(INDEX(Risk!$D$2:$D$301,MATCH($A233,Policy!$A$2:$A$301,0)),0))</f>
        <v/>
      </c>
      <c r="R233" s="24" t="str">
        <f aca="false">IF($A233="","",L233*Q233/100)</f>
        <v/>
      </c>
      <c r="S233" s="24" t="str">
        <f aca="false">IF($A233="","",M233*Q233/100)</f>
        <v/>
      </c>
      <c r="T233" s="24" t="str">
        <f aca="false">IF($A233="","",N233*Q233/100)</f>
        <v/>
      </c>
      <c r="U233" s="24" t="str">
        <f aca="false">IF($A233="","",O233*Q233/100)</f>
        <v/>
      </c>
      <c r="V233" s="24" t="str">
        <f aca="false">IF($A233="","",R233+S233+T233+U233)</f>
        <v/>
      </c>
      <c r="W233" s="14"/>
      <c r="X233" s="15"/>
      <c r="Y233" s="23"/>
      <c r="Z233" s="14"/>
    </row>
    <row r="234" customFormat="false" ht="15" hidden="false" customHeight="false" outlineLevel="0" collapsed="false">
      <c r="A234" s="14"/>
      <c r="B234" s="17" t="str">
        <f aca="false">IF($A234="","",IFERROR(INDEX(Policy!$B$2:$B$301,MATCH($A234,Policy!$A$2:$A$301,0)),"MRO không có"))</f>
        <v/>
      </c>
      <c r="C234" s="17" t="str">
        <f aca="false">IF($A234="","",IFERROR(INDEX(Policy!$E$2:$E$301,MATCH($A234,Policy!$A$2:$A$301,0)),"MRO không có"))</f>
        <v/>
      </c>
      <c r="D234" s="14"/>
      <c r="E234" s="15"/>
      <c r="F234" s="15"/>
      <c r="G234" s="14"/>
      <c r="H234" s="14"/>
      <c r="I234" s="14"/>
      <c r="J234" s="14"/>
      <c r="K234" s="14"/>
      <c r="L234" s="23"/>
      <c r="M234" s="23"/>
      <c r="N234" s="23"/>
      <c r="O234" s="23"/>
      <c r="P234" s="24" t="str">
        <f aca="false">IF($A234="","",L234+M234+N234+O234)</f>
        <v/>
      </c>
      <c r="Q234" s="22" t="str">
        <f aca="false">IF($A234="","",IFERROR(INDEX(Risk!$D$2:$D$301,MATCH($A234,Policy!$A$2:$A$301,0)),0))</f>
        <v/>
      </c>
      <c r="R234" s="24" t="str">
        <f aca="false">IF($A234="","",L234*Q234/100)</f>
        <v/>
      </c>
      <c r="S234" s="24" t="str">
        <f aca="false">IF($A234="","",M234*Q234/100)</f>
        <v/>
      </c>
      <c r="T234" s="24" t="str">
        <f aca="false">IF($A234="","",N234*Q234/100)</f>
        <v/>
      </c>
      <c r="U234" s="24" t="str">
        <f aca="false">IF($A234="","",O234*Q234/100)</f>
        <v/>
      </c>
      <c r="V234" s="24" t="str">
        <f aca="false">IF($A234="","",R234+S234+T234+U234)</f>
        <v/>
      </c>
      <c r="W234" s="14"/>
      <c r="X234" s="15"/>
      <c r="Y234" s="23"/>
      <c r="Z234" s="14"/>
    </row>
    <row r="235" customFormat="false" ht="15" hidden="false" customHeight="false" outlineLevel="0" collapsed="false">
      <c r="A235" s="14"/>
      <c r="B235" s="17" t="str">
        <f aca="false">IF($A235="","",IFERROR(INDEX(Policy!$B$2:$B$301,MATCH($A235,Policy!$A$2:$A$301,0)),"MRO không có"))</f>
        <v/>
      </c>
      <c r="C235" s="17" t="str">
        <f aca="false">IF($A235="","",IFERROR(INDEX(Policy!$E$2:$E$301,MATCH($A235,Policy!$A$2:$A$301,0)),"MRO không có"))</f>
        <v/>
      </c>
      <c r="D235" s="14"/>
      <c r="E235" s="15"/>
      <c r="F235" s="15"/>
      <c r="G235" s="14"/>
      <c r="H235" s="14"/>
      <c r="I235" s="14"/>
      <c r="J235" s="14"/>
      <c r="K235" s="14"/>
      <c r="L235" s="23"/>
      <c r="M235" s="23"/>
      <c r="N235" s="23"/>
      <c r="O235" s="23"/>
      <c r="P235" s="24" t="str">
        <f aca="false">IF($A235="","",L235+M235+N235+O235)</f>
        <v/>
      </c>
      <c r="Q235" s="22" t="str">
        <f aca="false">IF($A235="","",IFERROR(INDEX(Risk!$D$2:$D$301,MATCH($A235,Policy!$A$2:$A$301,0)),0))</f>
        <v/>
      </c>
      <c r="R235" s="24" t="str">
        <f aca="false">IF($A235="","",L235*Q235/100)</f>
        <v/>
      </c>
      <c r="S235" s="24" t="str">
        <f aca="false">IF($A235="","",M235*Q235/100)</f>
        <v/>
      </c>
      <c r="T235" s="24" t="str">
        <f aca="false">IF($A235="","",N235*Q235/100)</f>
        <v/>
      </c>
      <c r="U235" s="24" t="str">
        <f aca="false">IF($A235="","",O235*Q235/100)</f>
        <v/>
      </c>
      <c r="V235" s="24" t="str">
        <f aca="false">IF($A235="","",R235+S235+T235+U235)</f>
        <v/>
      </c>
      <c r="W235" s="14"/>
      <c r="X235" s="15"/>
      <c r="Y235" s="23"/>
      <c r="Z235" s="14"/>
    </row>
    <row r="236" customFormat="false" ht="15" hidden="false" customHeight="false" outlineLevel="0" collapsed="false">
      <c r="A236" s="14"/>
      <c r="B236" s="17" t="str">
        <f aca="false">IF($A236="","",IFERROR(INDEX(Policy!$B$2:$B$301,MATCH($A236,Policy!$A$2:$A$301,0)),"MRO không có"))</f>
        <v/>
      </c>
      <c r="C236" s="17" t="str">
        <f aca="false">IF($A236="","",IFERROR(INDEX(Policy!$E$2:$E$301,MATCH($A236,Policy!$A$2:$A$301,0)),"MRO không có"))</f>
        <v/>
      </c>
      <c r="D236" s="14"/>
      <c r="E236" s="15"/>
      <c r="F236" s="15"/>
      <c r="G236" s="14"/>
      <c r="H236" s="14"/>
      <c r="I236" s="14"/>
      <c r="J236" s="14"/>
      <c r="K236" s="14"/>
      <c r="L236" s="23"/>
      <c r="M236" s="23"/>
      <c r="N236" s="23"/>
      <c r="O236" s="23"/>
      <c r="P236" s="24" t="str">
        <f aca="false">IF($A236="","",L236+M236+N236+O236)</f>
        <v/>
      </c>
      <c r="Q236" s="22" t="str">
        <f aca="false">IF($A236="","",IFERROR(INDEX(Risk!$D$2:$D$301,MATCH($A236,Policy!$A$2:$A$301,0)),0))</f>
        <v/>
      </c>
      <c r="R236" s="24" t="str">
        <f aca="false">IF($A236="","",L236*Q236/100)</f>
        <v/>
      </c>
      <c r="S236" s="24" t="str">
        <f aca="false">IF($A236="","",M236*Q236/100)</f>
        <v/>
      </c>
      <c r="T236" s="24" t="str">
        <f aca="false">IF($A236="","",N236*Q236/100)</f>
        <v/>
      </c>
      <c r="U236" s="24" t="str">
        <f aca="false">IF($A236="","",O236*Q236/100)</f>
        <v/>
      </c>
      <c r="V236" s="24" t="str">
        <f aca="false">IF($A236="","",R236+S236+T236+U236)</f>
        <v/>
      </c>
      <c r="W236" s="14"/>
      <c r="X236" s="15"/>
      <c r="Y236" s="23"/>
      <c r="Z236" s="14"/>
    </row>
    <row r="237" customFormat="false" ht="15" hidden="false" customHeight="false" outlineLevel="0" collapsed="false">
      <c r="A237" s="14"/>
      <c r="B237" s="17" t="str">
        <f aca="false">IF($A237="","",IFERROR(INDEX(Policy!$B$2:$B$301,MATCH($A237,Policy!$A$2:$A$301,0)),"MRO không có"))</f>
        <v/>
      </c>
      <c r="C237" s="17" t="str">
        <f aca="false">IF($A237="","",IFERROR(INDEX(Policy!$E$2:$E$301,MATCH($A237,Policy!$A$2:$A$301,0)),"MRO không có"))</f>
        <v/>
      </c>
      <c r="D237" s="14"/>
      <c r="E237" s="15"/>
      <c r="F237" s="15"/>
      <c r="G237" s="14"/>
      <c r="H237" s="14"/>
      <c r="I237" s="14"/>
      <c r="J237" s="14"/>
      <c r="K237" s="14"/>
      <c r="L237" s="23"/>
      <c r="M237" s="23"/>
      <c r="N237" s="23"/>
      <c r="O237" s="23"/>
      <c r="P237" s="24" t="str">
        <f aca="false">IF($A237="","",L237+M237+N237+O237)</f>
        <v/>
      </c>
      <c r="Q237" s="22" t="str">
        <f aca="false">IF($A237="","",IFERROR(INDEX(Risk!$D$2:$D$301,MATCH($A237,Policy!$A$2:$A$301,0)),0))</f>
        <v/>
      </c>
      <c r="R237" s="24" t="str">
        <f aca="false">IF($A237="","",L237*Q237/100)</f>
        <v/>
      </c>
      <c r="S237" s="24" t="str">
        <f aca="false">IF($A237="","",M237*Q237/100)</f>
        <v/>
      </c>
      <c r="T237" s="24" t="str">
        <f aca="false">IF($A237="","",N237*Q237/100)</f>
        <v/>
      </c>
      <c r="U237" s="24" t="str">
        <f aca="false">IF($A237="","",O237*Q237/100)</f>
        <v/>
      </c>
      <c r="V237" s="24" t="str">
        <f aca="false">IF($A237="","",R237+S237+T237+U237)</f>
        <v/>
      </c>
      <c r="W237" s="14"/>
      <c r="X237" s="15"/>
      <c r="Y237" s="23"/>
      <c r="Z237" s="14"/>
    </row>
    <row r="238" customFormat="false" ht="15" hidden="false" customHeight="false" outlineLevel="0" collapsed="false">
      <c r="A238" s="14"/>
      <c r="B238" s="17" t="str">
        <f aca="false">IF($A238="","",IFERROR(INDEX(Policy!$B$2:$B$301,MATCH($A238,Policy!$A$2:$A$301,0)),"MRO không có"))</f>
        <v/>
      </c>
      <c r="C238" s="17" t="str">
        <f aca="false">IF($A238="","",IFERROR(INDEX(Policy!$E$2:$E$301,MATCH($A238,Policy!$A$2:$A$301,0)),"MRO không có"))</f>
        <v/>
      </c>
      <c r="D238" s="14"/>
      <c r="E238" s="15"/>
      <c r="F238" s="15"/>
      <c r="G238" s="14"/>
      <c r="H238" s="14"/>
      <c r="I238" s="14"/>
      <c r="J238" s="14"/>
      <c r="K238" s="14"/>
      <c r="L238" s="23"/>
      <c r="M238" s="23"/>
      <c r="N238" s="23"/>
      <c r="O238" s="23"/>
      <c r="P238" s="24" t="str">
        <f aca="false">IF($A238="","",L238+M238+N238+O238)</f>
        <v/>
      </c>
      <c r="Q238" s="22" t="str">
        <f aca="false">IF($A238="","",IFERROR(INDEX(Risk!$D$2:$D$301,MATCH($A238,Policy!$A$2:$A$301,0)),0))</f>
        <v/>
      </c>
      <c r="R238" s="24" t="str">
        <f aca="false">IF($A238="","",L238*Q238/100)</f>
        <v/>
      </c>
      <c r="S238" s="24" t="str">
        <f aca="false">IF($A238="","",M238*Q238/100)</f>
        <v/>
      </c>
      <c r="T238" s="24" t="str">
        <f aca="false">IF($A238="","",N238*Q238/100)</f>
        <v/>
      </c>
      <c r="U238" s="24" t="str">
        <f aca="false">IF($A238="","",O238*Q238/100)</f>
        <v/>
      </c>
      <c r="V238" s="24" t="str">
        <f aca="false">IF($A238="","",R238+S238+T238+U238)</f>
        <v/>
      </c>
      <c r="W238" s="14"/>
      <c r="X238" s="15"/>
      <c r="Y238" s="23"/>
      <c r="Z238" s="14"/>
    </row>
    <row r="239" customFormat="false" ht="15" hidden="false" customHeight="false" outlineLevel="0" collapsed="false">
      <c r="A239" s="14"/>
      <c r="B239" s="17" t="str">
        <f aca="false">IF($A239="","",IFERROR(INDEX(Policy!$B$2:$B$301,MATCH($A239,Policy!$A$2:$A$301,0)),"MRO không có"))</f>
        <v/>
      </c>
      <c r="C239" s="17" t="str">
        <f aca="false">IF($A239="","",IFERROR(INDEX(Policy!$E$2:$E$301,MATCH($A239,Policy!$A$2:$A$301,0)),"MRO không có"))</f>
        <v/>
      </c>
      <c r="D239" s="14"/>
      <c r="E239" s="15"/>
      <c r="F239" s="15"/>
      <c r="G239" s="14"/>
      <c r="H239" s="14"/>
      <c r="I239" s="14"/>
      <c r="J239" s="14"/>
      <c r="K239" s="14"/>
      <c r="L239" s="23"/>
      <c r="M239" s="23"/>
      <c r="N239" s="23"/>
      <c r="O239" s="23"/>
      <c r="P239" s="24" t="str">
        <f aca="false">IF($A239="","",L239+M239+N239+O239)</f>
        <v/>
      </c>
      <c r="Q239" s="22" t="str">
        <f aca="false">IF($A239="","",IFERROR(INDEX(Risk!$D$2:$D$301,MATCH($A239,Policy!$A$2:$A$301,0)),0))</f>
        <v/>
      </c>
      <c r="R239" s="24" t="str">
        <f aca="false">IF($A239="","",L239*Q239/100)</f>
        <v/>
      </c>
      <c r="S239" s="24" t="str">
        <f aca="false">IF($A239="","",M239*Q239/100)</f>
        <v/>
      </c>
      <c r="T239" s="24" t="str">
        <f aca="false">IF($A239="","",N239*Q239/100)</f>
        <v/>
      </c>
      <c r="U239" s="24" t="str">
        <f aca="false">IF($A239="","",O239*Q239/100)</f>
        <v/>
      </c>
      <c r="V239" s="24" t="str">
        <f aca="false">IF($A239="","",R239+S239+T239+U239)</f>
        <v/>
      </c>
      <c r="W239" s="14"/>
      <c r="X239" s="15"/>
      <c r="Y239" s="23"/>
      <c r="Z239" s="14"/>
    </row>
    <row r="240" customFormat="false" ht="15" hidden="false" customHeight="false" outlineLevel="0" collapsed="false">
      <c r="A240" s="14"/>
      <c r="B240" s="17" t="str">
        <f aca="false">IF($A240="","",IFERROR(INDEX(Policy!$B$2:$B$301,MATCH($A240,Policy!$A$2:$A$301,0)),"MRO không có"))</f>
        <v/>
      </c>
      <c r="C240" s="17" t="str">
        <f aca="false">IF($A240="","",IFERROR(INDEX(Policy!$E$2:$E$301,MATCH($A240,Policy!$A$2:$A$301,0)),"MRO không có"))</f>
        <v/>
      </c>
      <c r="D240" s="14"/>
      <c r="E240" s="15"/>
      <c r="F240" s="15"/>
      <c r="G240" s="14"/>
      <c r="H240" s="14"/>
      <c r="I240" s="14"/>
      <c r="J240" s="14"/>
      <c r="K240" s="14"/>
      <c r="L240" s="23"/>
      <c r="M240" s="23"/>
      <c r="N240" s="23"/>
      <c r="O240" s="23"/>
      <c r="P240" s="24" t="str">
        <f aca="false">IF($A240="","",L240+M240+N240+O240)</f>
        <v/>
      </c>
      <c r="Q240" s="22" t="str">
        <f aca="false">IF($A240="","",IFERROR(INDEX(Risk!$D$2:$D$301,MATCH($A240,Policy!$A$2:$A$301,0)),0))</f>
        <v/>
      </c>
      <c r="R240" s="24" t="str">
        <f aca="false">IF($A240="","",L240*Q240/100)</f>
        <v/>
      </c>
      <c r="S240" s="24" t="str">
        <f aca="false">IF($A240="","",M240*Q240/100)</f>
        <v/>
      </c>
      <c r="T240" s="24" t="str">
        <f aca="false">IF($A240="","",N240*Q240/100)</f>
        <v/>
      </c>
      <c r="U240" s="24" t="str">
        <f aca="false">IF($A240="","",O240*Q240/100)</f>
        <v/>
      </c>
      <c r="V240" s="24" t="str">
        <f aca="false">IF($A240="","",R240+S240+T240+U240)</f>
        <v/>
      </c>
      <c r="W240" s="14"/>
      <c r="X240" s="15"/>
      <c r="Y240" s="23"/>
      <c r="Z240" s="14"/>
    </row>
    <row r="241" customFormat="false" ht="15" hidden="false" customHeight="false" outlineLevel="0" collapsed="false">
      <c r="A241" s="14"/>
      <c r="B241" s="17" t="str">
        <f aca="false">IF($A241="","",IFERROR(INDEX(Policy!$B$2:$B$301,MATCH($A241,Policy!$A$2:$A$301,0)),"MRO không có"))</f>
        <v/>
      </c>
      <c r="C241" s="17" t="str">
        <f aca="false">IF($A241="","",IFERROR(INDEX(Policy!$E$2:$E$301,MATCH($A241,Policy!$A$2:$A$301,0)),"MRO không có"))</f>
        <v/>
      </c>
      <c r="D241" s="14"/>
      <c r="E241" s="15"/>
      <c r="F241" s="15"/>
      <c r="G241" s="14"/>
      <c r="H241" s="14"/>
      <c r="I241" s="14"/>
      <c r="J241" s="14"/>
      <c r="K241" s="14"/>
      <c r="L241" s="23"/>
      <c r="M241" s="23"/>
      <c r="N241" s="23"/>
      <c r="O241" s="23"/>
      <c r="P241" s="24" t="str">
        <f aca="false">IF($A241="","",L241+M241+N241+O241)</f>
        <v/>
      </c>
      <c r="Q241" s="22" t="str">
        <f aca="false">IF($A241="","",IFERROR(INDEX(Risk!$D$2:$D$301,MATCH($A241,Policy!$A$2:$A$301,0)),0))</f>
        <v/>
      </c>
      <c r="R241" s="24" t="str">
        <f aca="false">IF($A241="","",L241*Q241/100)</f>
        <v/>
      </c>
      <c r="S241" s="24" t="str">
        <f aca="false">IF($A241="","",M241*Q241/100)</f>
        <v/>
      </c>
      <c r="T241" s="24" t="str">
        <f aca="false">IF($A241="","",N241*Q241/100)</f>
        <v/>
      </c>
      <c r="U241" s="24" t="str">
        <f aca="false">IF($A241="","",O241*Q241/100)</f>
        <v/>
      </c>
      <c r="V241" s="24" t="str">
        <f aca="false">IF($A241="","",R241+S241+T241+U241)</f>
        <v/>
      </c>
      <c r="W241" s="14"/>
      <c r="X241" s="15"/>
      <c r="Y241" s="23"/>
      <c r="Z241" s="14"/>
    </row>
    <row r="242" customFormat="false" ht="15" hidden="false" customHeight="false" outlineLevel="0" collapsed="false">
      <c r="A242" s="14"/>
      <c r="B242" s="17" t="str">
        <f aca="false">IF($A242="","",IFERROR(INDEX(Policy!$B$2:$B$301,MATCH($A242,Policy!$A$2:$A$301,0)),"MRO không có"))</f>
        <v/>
      </c>
      <c r="C242" s="17" t="str">
        <f aca="false">IF($A242="","",IFERROR(INDEX(Policy!$E$2:$E$301,MATCH($A242,Policy!$A$2:$A$301,0)),"MRO không có"))</f>
        <v/>
      </c>
      <c r="D242" s="14"/>
      <c r="E242" s="15"/>
      <c r="F242" s="15"/>
      <c r="G242" s="14"/>
      <c r="H242" s="14"/>
      <c r="I242" s="14"/>
      <c r="J242" s="14"/>
      <c r="K242" s="14"/>
      <c r="L242" s="23"/>
      <c r="M242" s="23"/>
      <c r="N242" s="23"/>
      <c r="O242" s="23"/>
      <c r="P242" s="24" t="str">
        <f aca="false">IF($A242="","",L242+M242+N242+O242)</f>
        <v/>
      </c>
      <c r="Q242" s="22" t="str">
        <f aca="false">IF($A242="","",IFERROR(INDEX(Risk!$D$2:$D$301,MATCH($A242,Policy!$A$2:$A$301,0)),0))</f>
        <v/>
      </c>
      <c r="R242" s="24" t="str">
        <f aca="false">IF($A242="","",L242*Q242/100)</f>
        <v/>
      </c>
      <c r="S242" s="24" t="str">
        <f aca="false">IF($A242="","",M242*Q242/100)</f>
        <v/>
      </c>
      <c r="T242" s="24" t="str">
        <f aca="false">IF($A242="","",N242*Q242/100)</f>
        <v/>
      </c>
      <c r="U242" s="24" t="str">
        <f aca="false">IF($A242="","",O242*Q242/100)</f>
        <v/>
      </c>
      <c r="V242" s="24" t="str">
        <f aca="false">IF($A242="","",R242+S242+T242+U242)</f>
        <v/>
      </c>
      <c r="W242" s="14"/>
      <c r="X242" s="15"/>
      <c r="Y242" s="23"/>
      <c r="Z242" s="14"/>
    </row>
    <row r="243" customFormat="false" ht="15" hidden="false" customHeight="false" outlineLevel="0" collapsed="false">
      <c r="A243" s="14"/>
      <c r="B243" s="17" t="str">
        <f aca="false">IF($A243="","",IFERROR(INDEX(Policy!$B$2:$B$301,MATCH($A243,Policy!$A$2:$A$301,0)),"MRO không có"))</f>
        <v/>
      </c>
      <c r="C243" s="17" t="str">
        <f aca="false">IF($A243="","",IFERROR(INDEX(Policy!$E$2:$E$301,MATCH($A243,Policy!$A$2:$A$301,0)),"MRO không có"))</f>
        <v/>
      </c>
      <c r="D243" s="14"/>
      <c r="E243" s="15"/>
      <c r="F243" s="15"/>
      <c r="G243" s="14"/>
      <c r="H243" s="14"/>
      <c r="I243" s="14"/>
      <c r="J243" s="14"/>
      <c r="K243" s="14"/>
      <c r="L243" s="23"/>
      <c r="M243" s="23"/>
      <c r="N243" s="23"/>
      <c r="O243" s="23"/>
      <c r="P243" s="24" t="str">
        <f aca="false">IF($A243="","",L243+M243+N243+O243)</f>
        <v/>
      </c>
      <c r="Q243" s="22" t="str">
        <f aca="false">IF($A243="","",IFERROR(INDEX(Risk!$D$2:$D$301,MATCH($A243,Policy!$A$2:$A$301,0)),0))</f>
        <v/>
      </c>
      <c r="R243" s="24" t="str">
        <f aca="false">IF($A243="","",L243*Q243/100)</f>
        <v/>
      </c>
      <c r="S243" s="24" t="str">
        <f aca="false">IF($A243="","",M243*Q243/100)</f>
        <v/>
      </c>
      <c r="T243" s="24" t="str">
        <f aca="false">IF($A243="","",N243*Q243/100)</f>
        <v/>
      </c>
      <c r="U243" s="24" t="str">
        <f aca="false">IF($A243="","",O243*Q243/100)</f>
        <v/>
      </c>
      <c r="V243" s="24" t="str">
        <f aca="false">IF($A243="","",R243+S243+T243+U243)</f>
        <v/>
      </c>
      <c r="W243" s="14"/>
      <c r="X243" s="15"/>
      <c r="Y243" s="23"/>
      <c r="Z243" s="14"/>
    </row>
    <row r="244" customFormat="false" ht="15" hidden="false" customHeight="false" outlineLevel="0" collapsed="false">
      <c r="A244" s="14"/>
      <c r="B244" s="17" t="str">
        <f aca="false">IF($A244="","",IFERROR(INDEX(Policy!$B$2:$B$301,MATCH($A244,Policy!$A$2:$A$301,0)),"MRO không có"))</f>
        <v/>
      </c>
      <c r="C244" s="17" t="str">
        <f aca="false">IF($A244="","",IFERROR(INDEX(Policy!$E$2:$E$301,MATCH($A244,Policy!$A$2:$A$301,0)),"MRO không có"))</f>
        <v/>
      </c>
      <c r="D244" s="14"/>
      <c r="E244" s="15"/>
      <c r="F244" s="15"/>
      <c r="G244" s="14"/>
      <c r="H244" s="14"/>
      <c r="I244" s="14"/>
      <c r="J244" s="14"/>
      <c r="K244" s="14"/>
      <c r="L244" s="23"/>
      <c r="M244" s="23"/>
      <c r="N244" s="23"/>
      <c r="O244" s="23"/>
      <c r="P244" s="24" t="str">
        <f aca="false">IF($A244="","",L244+M244+N244+O244)</f>
        <v/>
      </c>
      <c r="Q244" s="22" t="str">
        <f aca="false">IF($A244="","",IFERROR(INDEX(Risk!$D$2:$D$301,MATCH($A244,Policy!$A$2:$A$301,0)),0))</f>
        <v/>
      </c>
      <c r="R244" s="24" t="str">
        <f aca="false">IF($A244="","",L244*Q244/100)</f>
        <v/>
      </c>
      <c r="S244" s="24" t="str">
        <f aca="false">IF($A244="","",M244*Q244/100)</f>
        <v/>
      </c>
      <c r="T244" s="24" t="str">
        <f aca="false">IF($A244="","",N244*Q244/100)</f>
        <v/>
      </c>
      <c r="U244" s="24" t="str">
        <f aca="false">IF($A244="","",O244*Q244/100)</f>
        <v/>
      </c>
      <c r="V244" s="24" t="str">
        <f aca="false">IF($A244="","",R244+S244+T244+U244)</f>
        <v/>
      </c>
      <c r="W244" s="14"/>
      <c r="X244" s="15"/>
      <c r="Y244" s="23"/>
      <c r="Z244" s="14"/>
    </row>
    <row r="245" customFormat="false" ht="15" hidden="false" customHeight="false" outlineLevel="0" collapsed="false">
      <c r="A245" s="14"/>
      <c r="B245" s="17" t="str">
        <f aca="false">IF($A245="","",IFERROR(INDEX(Policy!$B$2:$B$301,MATCH($A245,Policy!$A$2:$A$301,0)),"MRO không có"))</f>
        <v/>
      </c>
      <c r="C245" s="17" t="str">
        <f aca="false">IF($A245="","",IFERROR(INDEX(Policy!$E$2:$E$301,MATCH($A245,Policy!$A$2:$A$301,0)),"MRO không có"))</f>
        <v/>
      </c>
      <c r="D245" s="14"/>
      <c r="E245" s="15"/>
      <c r="F245" s="15"/>
      <c r="G245" s="14"/>
      <c r="H245" s="14"/>
      <c r="I245" s="14"/>
      <c r="J245" s="14"/>
      <c r="K245" s="14"/>
      <c r="L245" s="23"/>
      <c r="M245" s="23"/>
      <c r="N245" s="23"/>
      <c r="O245" s="23"/>
      <c r="P245" s="24" t="str">
        <f aca="false">IF($A245="","",L245+M245+N245+O245)</f>
        <v/>
      </c>
      <c r="Q245" s="22" t="str">
        <f aca="false">IF($A245="","",IFERROR(INDEX(Risk!$D$2:$D$301,MATCH($A245,Policy!$A$2:$A$301,0)),0))</f>
        <v/>
      </c>
      <c r="R245" s="24" t="str">
        <f aca="false">IF($A245="","",L245*Q245/100)</f>
        <v/>
      </c>
      <c r="S245" s="24" t="str">
        <f aca="false">IF($A245="","",M245*Q245/100)</f>
        <v/>
      </c>
      <c r="T245" s="24" t="str">
        <f aca="false">IF($A245="","",N245*Q245/100)</f>
        <v/>
      </c>
      <c r="U245" s="24" t="str">
        <f aca="false">IF($A245="","",O245*Q245/100)</f>
        <v/>
      </c>
      <c r="V245" s="24" t="str">
        <f aca="false">IF($A245="","",R245+S245+T245+U245)</f>
        <v/>
      </c>
      <c r="W245" s="14"/>
      <c r="X245" s="15"/>
      <c r="Y245" s="23"/>
      <c r="Z245" s="14"/>
    </row>
    <row r="246" customFormat="false" ht="15" hidden="false" customHeight="false" outlineLevel="0" collapsed="false">
      <c r="A246" s="14"/>
      <c r="B246" s="17" t="str">
        <f aca="false">IF($A246="","",IFERROR(INDEX(Policy!$B$2:$B$301,MATCH($A246,Policy!$A$2:$A$301,0)),"MRO không có"))</f>
        <v/>
      </c>
      <c r="C246" s="17" t="str">
        <f aca="false">IF($A246="","",IFERROR(INDEX(Policy!$E$2:$E$301,MATCH($A246,Policy!$A$2:$A$301,0)),"MRO không có"))</f>
        <v/>
      </c>
      <c r="D246" s="14"/>
      <c r="E246" s="15"/>
      <c r="F246" s="15"/>
      <c r="G246" s="14"/>
      <c r="H246" s="14"/>
      <c r="I246" s="14"/>
      <c r="J246" s="14"/>
      <c r="K246" s="14"/>
      <c r="L246" s="23"/>
      <c r="M246" s="23"/>
      <c r="N246" s="23"/>
      <c r="O246" s="23"/>
      <c r="P246" s="24" t="str">
        <f aca="false">IF($A246="","",L246+M246+N246+O246)</f>
        <v/>
      </c>
      <c r="Q246" s="22" t="str">
        <f aca="false">IF($A246="","",IFERROR(INDEX(Risk!$D$2:$D$301,MATCH($A246,Policy!$A$2:$A$301,0)),0))</f>
        <v/>
      </c>
      <c r="R246" s="24" t="str">
        <f aca="false">IF($A246="","",L246*Q246/100)</f>
        <v/>
      </c>
      <c r="S246" s="24" t="str">
        <f aca="false">IF($A246="","",M246*Q246/100)</f>
        <v/>
      </c>
      <c r="T246" s="24" t="str">
        <f aca="false">IF($A246="","",N246*Q246/100)</f>
        <v/>
      </c>
      <c r="U246" s="24" t="str">
        <f aca="false">IF($A246="","",O246*Q246/100)</f>
        <v/>
      </c>
      <c r="V246" s="24" t="str">
        <f aca="false">IF($A246="","",R246+S246+T246+U246)</f>
        <v/>
      </c>
      <c r="W246" s="14"/>
      <c r="X246" s="15"/>
      <c r="Y246" s="23"/>
      <c r="Z246" s="14"/>
    </row>
    <row r="247" customFormat="false" ht="15" hidden="false" customHeight="false" outlineLevel="0" collapsed="false">
      <c r="A247" s="14"/>
      <c r="B247" s="17" t="str">
        <f aca="false">IF($A247="","",IFERROR(INDEX(Policy!$B$2:$B$301,MATCH($A247,Policy!$A$2:$A$301,0)),"MRO không có"))</f>
        <v/>
      </c>
      <c r="C247" s="17" t="str">
        <f aca="false">IF($A247="","",IFERROR(INDEX(Policy!$E$2:$E$301,MATCH($A247,Policy!$A$2:$A$301,0)),"MRO không có"))</f>
        <v/>
      </c>
      <c r="D247" s="14"/>
      <c r="E247" s="15"/>
      <c r="F247" s="15"/>
      <c r="G247" s="14"/>
      <c r="H247" s="14"/>
      <c r="I247" s="14"/>
      <c r="J247" s="14"/>
      <c r="K247" s="14"/>
      <c r="L247" s="23"/>
      <c r="M247" s="23"/>
      <c r="N247" s="23"/>
      <c r="O247" s="23"/>
      <c r="P247" s="24" t="str">
        <f aca="false">IF($A247="","",L247+M247+N247+O247)</f>
        <v/>
      </c>
      <c r="Q247" s="22" t="str">
        <f aca="false">IF($A247="","",IFERROR(INDEX(Risk!$D$2:$D$301,MATCH($A247,Policy!$A$2:$A$301,0)),0))</f>
        <v/>
      </c>
      <c r="R247" s="24" t="str">
        <f aca="false">IF($A247="","",L247*Q247/100)</f>
        <v/>
      </c>
      <c r="S247" s="24" t="str">
        <f aca="false">IF($A247="","",M247*Q247/100)</f>
        <v/>
      </c>
      <c r="T247" s="24" t="str">
        <f aca="false">IF($A247="","",N247*Q247/100)</f>
        <v/>
      </c>
      <c r="U247" s="24" t="str">
        <f aca="false">IF($A247="","",O247*Q247/100)</f>
        <v/>
      </c>
      <c r="V247" s="24" t="str">
        <f aca="false">IF($A247="","",R247+S247+T247+U247)</f>
        <v/>
      </c>
      <c r="W247" s="14"/>
      <c r="X247" s="15"/>
      <c r="Y247" s="23"/>
      <c r="Z247" s="14"/>
    </row>
    <row r="248" customFormat="false" ht="15" hidden="false" customHeight="false" outlineLevel="0" collapsed="false">
      <c r="A248" s="14"/>
      <c r="B248" s="17" t="str">
        <f aca="false">IF($A248="","",IFERROR(INDEX(Policy!$B$2:$B$301,MATCH($A248,Policy!$A$2:$A$301,0)),"MRO không có"))</f>
        <v/>
      </c>
      <c r="C248" s="17" t="str">
        <f aca="false">IF($A248="","",IFERROR(INDEX(Policy!$E$2:$E$301,MATCH($A248,Policy!$A$2:$A$301,0)),"MRO không có"))</f>
        <v/>
      </c>
      <c r="D248" s="14"/>
      <c r="E248" s="15"/>
      <c r="F248" s="15"/>
      <c r="G248" s="14"/>
      <c r="H248" s="14"/>
      <c r="I248" s="14"/>
      <c r="J248" s="14"/>
      <c r="K248" s="14"/>
      <c r="L248" s="23"/>
      <c r="M248" s="23"/>
      <c r="N248" s="23"/>
      <c r="O248" s="23"/>
      <c r="P248" s="24" t="str">
        <f aca="false">IF($A248="","",L248+M248+N248+O248)</f>
        <v/>
      </c>
      <c r="Q248" s="22" t="str">
        <f aca="false">IF($A248="","",IFERROR(INDEX(Risk!$D$2:$D$301,MATCH($A248,Policy!$A$2:$A$301,0)),0))</f>
        <v/>
      </c>
      <c r="R248" s="24" t="str">
        <f aca="false">IF($A248="","",L248*Q248/100)</f>
        <v/>
      </c>
      <c r="S248" s="24" t="str">
        <f aca="false">IF($A248="","",M248*Q248/100)</f>
        <v/>
      </c>
      <c r="T248" s="24" t="str">
        <f aca="false">IF($A248="","",N248*Q248/100)</f>
        <v/>
      </c>
      <c r="U248" s="24" t="str">
        <f aca="false">IF($A248="","",O248*Q248/100)</f>
        <v/>
      </c>
      <c r="V248" s="24" t="str">
        <f aca="false">IF($A248="","",R248+S248+T248+U248)</f>
        <v/>
      </c>
      <c r="W248" s="14"/>
      <c r="X248" s="15"/>
      <c r="Y248" s="23"/>
      <c r="Z248" s="14"/>
    </row>
    <row r="249" customFormat="false" ht="15" hidden="false" customHeight="false" outlineLevel="0" collapsed="false">
      <c r="A249" s="14"/>
      <c r="B249" s="17" t="str">
        <f aca="false">IF($A249="","",IFERROR(INDEX(Policy!$B$2:$B$301,MATCH($A249,Policy!$A$2:$A$301,0)),"MRO không có"))</f>
        <v/>
      </c>
      <c r="C249" s="17" t="str">
        <f aca="false">IF($A249="","",IFERROR(INDEX(Policy!$E$2:$E$301,MATCH($A249,Policy!$A$2:$A$301,0)),"MRO không có"))</f>
        <v/>
      </c>
      <c r="D249" s="14"/>
      <c r="E249" s="15"/>
      <c r="F249" s="15"/>
      <c r="G249" s="14"/>
      <c r="H249" s="14"/>
      <c r="I249" s="14"/>
      <c r="J249" s="14"/>
      <c r="K249" s="14"/>
      <c r="L249" s="23"/>
      <c r="M249" s="23"/>
      <c r="N249" s="23"/>
      <c r="O249" s="23"/>
      <c r="P249" s="24" t="str">
        <f aca="false">IF($A249="","",L249+M249+N249+O249)</f>
        <v/>
      </c>
      <c r="Q249" s="22" t="str">
        <f aca="false">IF($A249="","",IFERROR(INDEX(Risk!$D$2:$D$301,MATCH($A249,Policy!$A$2:$A$301,0)),0))</f>
        <v/>
      </c>
      <c r="R249" s="24" t="str">
        <f aca="false">IF($A249="","",L249*Q249/100)</f>
        <v/>
      </c>
      <c r="S249" s="24" t="str">
        <f aca="false">IF($A249="","",M249*Q249/100)</f>
        <v/>
      </c>
      <c r="T249" s="24" t="str">
        <f aca="false">IF($A249="","",N249*Q249/100)</f>
        <v/>
      </c>
      <c r="U249" s="24" t="str">
        <f aca="false">IF($A249="","",O249*Q249/100)</f>
        <v/>
      </c>
      <c r="V249" s="24" t="str">
        <f aca="false">IF($A249="","",R249+S249+T249+U249)</f>
        <v/>
      </c>
      <c r="W249" s="14"/>
      <c r="X249" s="15"/>
      <c r="Y249" s="23"/>
      <c r="Z249" s="14"/>
    </row>
    <row r="250" customFormat="false" ht="15" hidden="false" customHeight="false" outlineLevel="0" collapsed="false">
      <c r="A250" s="14"/>
      <c r="B250" s="17" t="str">
        <f aca="false">IF($A250="","",IFERROR(INDEX(Policy!$B$2:$B$301,MATCH($A250,Policy!$A$2:$A$301,0)),"MRO không có"))</f>
        <v/>
      </c>
      <c r="C250" s="17" t="str">
        <f aca="false">IF($A250="","",IFERROR(INDEX(Policy!$E$2:$E$301,MATCH($A250,Policy!$A$2:$A$301,0)),"MRO không có"))</f>
        <v/>
      </c>
      <c r="D250" s="14"/>
      <c r="E250" s="15"/>
      <c r="F250" s="15"/>
      <c r="G250" s="14"/>
      <c r="H250" s="14"/>
      <c r="I250" s="14"/>
      <c r="J250" s="14"/>
      <c r="K250" s="14"/>
      <c r="L250" s="23"/>
      <c r="M250" s="23"/>
      <c r="N250" s="23"/>
      <c r="O250" s="23"/>
      <c r="P250" s="24" t="str">
        <f aca="false">IF($A250="","",L250+M250+N250+O250)</f>
        <v/>
      </c>
      <c r="Q250" s="22" t="str">
        <f aca="false">IF($A250="","",IFERROR(INDEX(Risk!$D$2:$D$301,MATCH($A250,Policy!$A$2:$A$301,0)),0))</f>
        <v/>
      </c>
      <c r="R250" s="24" t="str">
        <f aca="false">IF($A250="","",L250*Q250/100)</f>
        <v/>
      </c>
      <c r="S250" s="24" t="str">
        <f aca="false">IF($A250="","",M250*Q250/100)</f>
        <v/>
      </c>
      <c r="T250" s="24" t="str">
        <f aca="false">IF($A250="","",N250*Q250/100)</f>
        <v/>
      </c>
      <c r="U250" s="24" t="str">
        <f aca="false">IF($A250="","",O250*Q250/100)</f>
        <v/>
      </c>
      <c r="V250" s="24" t="str">
        <f aca="false">IF($A250="","",R250+S250+T250+U250)</f>
        <v/>
      </c>
      <c r="W250" s="14"/>
      <c r="X250" s="15"/>
      <c r="Y250" s="23"/>
      <c r="Z250" s="14"/>
    </row>
    <row r="251" customFormat="false" ht="15" hidden="false" customHeight="false" outlineLevel="0" collapsed="false">
      <c r="A251" s="14"/>
      <c r="B251" s="17" t="str">
        <f aca="false">IF($A251="","",IFERROR(INDEX(Policy!$B$2:$B$301,MATCH($A251,Policy!$A$2:$A$301,0)),"MRO không có"))</f>
        <v/>
      </c>
      <c r="C251" s="17" t="str">
        <f aca="false">IF($A251="","",IFERROR(INDEX(Policy!$E$2:$E$301,MATCH($A251,Policy!$A$2:$A$301,0)),"MRO không có"))</f>
        <v/>
      </c>
      <c r="D251" s="14"/>
      <c r="E251" s="15"/>
      <c r="F251" s="15"/>
      <c r="G251" s="14"/>
      <c r="H251" s="14"/>
      <c r="I251" s="14"/>
      <c r="J251" s="14"/>
      <c r="K251" s="14"/>
      <c r="L251" s="23"/>
      <c r="M251" s="23"/>
      <c r="N251" s="23"/>
      <c r="O251" s="23"/>
      <c r="P251" s="24" t="str">
        <f aca="false">IF($A251="","",L251+M251+N251+O251)</f>
        <v/>
      </c>
      <c r="Q251" s="22" t="str">
        <f aca="false">IF($A251="","",IFERROR(INDEX(Risk!$D$2:$D$301,MATCH($A251,Policy!$A$2:$A$301,0)),0))</f>
        <v/>
      </c>
      <c r="R251" s="24" t="str">
        <f aca="false">IF($A251="","",L251*Q251/100)</f>
        <v/>
      </c>
      <c r="S251" s="24" t="str">
        <f aca="false">IF($A251="","",M251*Q251/100)</f>
        <v/>
      </c>
      <c r="T251" s="24" t="str">
        <f aca="false">IF($A251="","",N251*Q251/100)</f>
        <v/>
      </c>
      <c r="U251" s="24" t="str">
        <f aca="false">IF($A251="","",O251*Q251/100)</f>
        <v/>
      </c>
      <c r="V251" s="24" t="str">
        <f aca="false">IF($A251="","",R251+S251+T251+U251)</f>
        <v/>
      </c>
      <c r="W251" s="14"/>
      <c r="X251" s="15"/>
      <c r="Y251" s="23"/>
      <c r="Z251" s="14"/>
    </row>
    <row r="252" customFormat="false" ht="15" hidden="false" customHeight="false" outlineLevel="0" collapsed="false">
      <c r="A252" s="14"/>
      <c r="B252" s="17" t="str">
        <f aca="false">IF($A252="","",IFERROR(INDEX(Policy!$B$2:$B$301,MATCH($A252,Policy!$A$2:$A$301,0)),"MRO không có"))</f>
        <v/>
      </c>
      <c r="C252" s="17" t="str">
        <f aca="false">IF($A252="","",IFERROR(INDEX(Policy!$E$2:$E$301,MATCH($A252,Policy!$A$2:$A$301,0)),"MRO không có"))</f>
        <v/>
      </c>
      <c r="D252" s="14"/>
      <c r="E252" s="15"/>
      <c r="F252" s="15"/>
      <c r="G252" s="14"/>
      <c r="H252" s="14"/>
      <c r="I252" s="14"/>
      <c r="J252" s="14"/>
      <c r="K252" s="14"/>
      <c r="L252" s="23"/>
      <c r="M252" s="23"/>
      <c r="N252" s="23"/>
      <c r="O252" s="23"/>
      <c r="P252" s="24" t="str">
        <f aca="false">IF($A252="","",L252+M252+N252+O252)</f>
        <v/>
      </c>
      <c r="Q252" s="22" t="str">
        <f aca="false">IF($A252="","",IFERROR(INDEX(Risk!$D$2:$D$301,MATCH($A252,Policy!$A$2:$A$301,0)),0))</f>
        <v/>
      </c>
      <c r="R252" s="24" t="str">
        <f aca="false">IF($A252="","",L252*Q252/100)</f>
        <v/>
      </c>
      <c r="S252" s="24" t="str">
        <f aca="false">IF($A252="","",M252*Q252/100)</f>
        <v/>
      </c>
      <c r="T252" s="24" t="str">
        <f aca="false">IF($A252="","",N252*Q252/100)</f>
        <v/>
      </c>
      <c r="U252" s="24" t="str">
        <f aca="false">IF($A252="","",O252*Q252/100)</f>
        <v/>
      </c>
      <c r="V252" s="24" t="str">
        <f aca="false">IF($A252="","",R252+S252+T252+U252)</f>
        <v/>
      </c>
      <c r="W252" s="14"/>
      <c r="X252" s="15"/>
      <c r="Y252" s="23"/>
      <c r="Z252" s="14"/>
    </row>
    <row r="253" customFormat="false" ht="15" hidden="false" customHeight="false" outlineLevel="0" collapsed="false">
      <c r="A253" s="14"/>
      <c r="B253" s="17" t="str">
        <f aca="false">IF($A253="","",IFERROR(INDEX(Policy!$B$2:$B$301,MATCH($A253,Policy!$A$2:$A$301,0)),"MRO không có"))</f>
        <v/>
      </c>
      <c r="C253" s="17" t="str">
        <f aca="false">IF($A253="","",IFERROR(INDEX(Policy!$E$2:$E$301,MATCH($A253,Policy!$A$2:$A$301,0)),"MRO không có"))</f>
        <v/>
      </c>
      <c r="D253" s="14"/>
      <c r="E253" s="15"/>
      <c r="F253" s="15"/>
      <c r="G253" s="14"/>
      <c r="H253" s="14"/>
      <c r="I253" s="14"/>
      <c r="J253" s="14"/>
      <c r="K253" s="14"/>
      <c r="L253" s="23"/>
      <c r="M253" s="23"/>
      <c r="N253" s="23"/>
      <c r="O253" s="23"/>
      <c r="P253" s="24" t="str">
        <f aca="false">IF($A253="","",L253+M253+N253+O253)</f>
        <v/>
      </c>
      <c r="Q253" s="22" t="str">
        <f aca="false">IF($A253="","",IFERROR(INDEX(Risk!$D$2:$D$301,MATCH($A253,Policy!$A$2:$A$301,0)),0))</f>
        <v/>
      </c>
      <c r="R253" s="24" t="str">
        <f aca="false">IF($A253="","",L253*Q253/100)</f>
        <v/>
      </c>
      <c r="S253" s="24" t="str">
        <f aca="false">IF($A253="","",M253*Q253/100)</f>
        <v/>
      </c>
      <c r="T253" s="24" t="str">
        <f aca="false">IF($A253="","",N253*Q253/100)</f>
        <v/>
      </c>
      <c r="U253" s="24" t="str">
        <f aca="false">IF($A253="","",O253*Q253/100)</f>
        <v/>
      </c>
      <c r="V253" s="24" t="str">
        <f aca="false">IF($A253="","",R253+S253+T253+U253)</f>
        <v/>
      </c>
      <c r="W253" s="14"/>
      <c r="X253" s="15"/>
      <c r="Y253" s="23"/>
      <c r="Z253" s="14"/>
    </row>
    <row r="254" customFormat="false" ht="15" hidden="false" customHeight="false" outlineLevel="0" collapsed="false">
      <c r="A254" s="14"/>
      <c r="B254" s="17" t="str">
        <f aca="false">IF($A254="","",IFERROR(INDEX(Policy!$B$2:$B$301,MATCH($A254,Policy!$A$2:$A$301,0)),"MRO không có"))</f>
        <v/>
      </c>
      <c r="C254" s="17" t="str">
        <f aca="false">IF($A254="","",IFERROR(INDEX(Policy!$E$2:$E$301,MATCH($A254,Policy!$A$2:$A$301,0)),"MRO không có"))</f>
        <v/>
      </c>
      <c r="D254" s="14"/>
      <c r="E254" s="15"/>
      <c r="F254" s="15"/>
      <c r="G254" s="14"/>
      <c r="H254" s="14"/>
      <c r="I254" s="14"/>
      <c r="J254" s="14"/>
      <c r="K254" s="14"/>
      <c r="L254" s="23"/>
      <c r="M254" s="23"/>
      <c r="N254" s="23"/>
      <c r="O254" s="23"/>
      <c r="P254" s="24" t="str">
        <f aca="false">IF($A254="","",L254+M254+N254+O254)</f>
        <v/>
      </c>
      <c r="Q254" s="22" t="str">
        <f aca="false">IF($A254="","",IFERROR(INDEX(Risk!$D$2:$D$301,MATCH($A254,Policy!$A$2:$A$301,0)),0))</f>
        <v/>
      </c>
      <c r="R254" s="24" t="str">
        <f aca="false">IF($A254="","",L254*Q254/100)</f>
        <v/>
      </c>
      <c r="S254" s="24" t="str">
        <f aca="false">IF($A254="","",M254*Q254/100)</f>
        <v/>
      </c>
      <c r="T254" s="24" t="str">
        <f aca="false">IF($A254="","",N254*Q254/100)</f>
        <v/>
      </c>
      <c r="U254" s="24" t="str">
        <f aca="false">IF($A254="","",O254*Q254/100)</f>
        <v/>
      </c>
      <c r="V254" s="24" t="str">
        <f aca="false">IF($A254="","",R254+S254+T254+U254)</f>
        <v/>
      </c>
      <c r="W254" s="14"/>
      <c r="X254" s="15"/>
      <c r="Y254" s="23"/>
      <c r="Z254" s="14"/>
    </row>
    <row r="255" customFormat="false" ht="15" hidden="false" customHeight="false" outlineLevel="0" collapsed="false">
      <c r="A255" s="14"/>
      <c r="B255" s="17" t="str">
        <f aca="false">IF($A255="","",IFERROR(INDEX(Policy!$B$2:$B$301,MATCH($A255,Policy!$A$2:$A$301,0)),"MRO không có"))</f>
        <v/>
      </c>
      <c r="C255" s="17" t="str">
        <f aca="false">IF($A255="","",IFERROR(INDEX(Policy!$E$2:$E$301,MATCH($A255,Policy!$A$2:$A$301,0)),"MRO không có"))</f>
        <v/>
      </c>
      <c r="D255" s="14"/>
      <c r="E255" s="15"/>
      <c r="F255" s="15"/>
      <c r="G255" s="14"/>
      <c r="H255" s="14"/>
      <c r="I255" s="14"/>
      <c r="J255" s="14"/>
      <c r="K255" s="14"/>
      <c r="L255" s="23"/>
      <c r="M255" s="23"/>
      <c r="N255" s="23"/>
      <c r="O255" s="23"/>
      <c r="P255" s="24" t="str">
        <f aca="false">IF($A255="","",L255+M255+N255+O255)</f>
        <v/>
      </c>
      <c r="Q255" s="22" t="str">
        <f aca="false">IF($A255="","",IFERROR(INDEX(Risk!$D$2:$D$301,MATCH($A255,Policy!$A$2:$A$301,0)),0))</f>
        <v/>
      </c>
      <c r="R255" s="24" t="str">
        <f aca="false">IF($A255="","",L255*Q255/100)</f>
        <v/>
      </c>
      <c r="S255" s="24" t="str">
        <f aca="false">IF($A255="","",M255*Q255/100)</f>
        <v/>
      </c>
      <c r="T255" s="24" t="str">
        <f aca="false">IF($A255="","",N255*Q255/100)</f>
        <v/>
      </c>
      <c r="U255" s="24" t="str">
        <f aca="false">IF($A255="","",O255*Q255/100)</f>
        <v/>
      </c>
      <c r="V255" s="24" t="str">
        <f aca="false">IF($A255="","",R255+S255+T255+U255)</f>
        <v/>
      </c>
      <c r="W255" s="14"/>
      <c r="X255" s="15"/>
      <c r="Y255" s="23"/>
      <c r="Z255" s="14"/>
    </row>
    <row r="256" customFormat="false" ht="15" hidden="false" customHeight="false" outlineLevel="0" collapsed="false">
      <c r="A256" s="14"/>
      <c r="B256" s="17" t="str">
        <f aca="false">IF($A256="","",IFERROR(INDEX(Policy!$B$2:$B$301,MATCH($A256,Policy!$A$2:$A$301,0)),"MRO không có"))</f>
        <v/>
      </c>
      <c r="C256" s="17" t="str">
        <f aca="false">IF($A256="","",IFERROR(INDEX(Policy!$E$2:$E$301,MATCH($A256,Policy!$A$2:$A$301,0)),"MRO không có"))</f>
        <v/>
      </c>
      <c r="D256" s="14"/>
      <c r="E256" s="15"/>
      <c r="F256" s="15"/>
      <c r="G256" s="14"/>
      <c r="H256" s="14"/>
      <c r="I256" s="14"/>
      <c r="J256" s="14"/>
      <c r="K256" s="14"/>
      <c r="L256" s="23"/>
      <c r="M256" s="23"/>
      <c r="N256" s="23"/>
      <c r="O256" s="23"/>
      <c r="P256" s="24" t="str">
        <f aca="false">IF($A256="","",L256+M256+N256+O256)</f>
        <v/>
      </c>
      <c r="Q256" s="22" t="str">
        <f aca="false">IF($A256="","",IFERROR(INDEX(Risk!$D$2:$D$301,MATCH($A256,Policy!$A$2:$A$301,0)),0))</f>
        <v/>
      </c>
      <c r="R256" s="24" t="str">
        <f aca="false">IF($A256="","",L256*Q256/100)</f>
        <v/>
      </c>
      <c r="S256" s="24" t="str">
        <f aca="false">IF($A256="","",M256*Q256/100)</f>
        <v/>
      </c>
      <c r="T256" s="24" t="str">
        <f aca="false">IF($A256="","",N256*Q256/100)</f>
        <v/>
      </c>
      <c r="U256" s="24" t="str">
        <f aca="false">IF($A256="","",O256*Q256/100)</f>
        <v/>
      </c>
      <c r="V256" s="24" t="str">
        <f aca="false">IF($A256="","",R256+S256+T256+U256)</f>
        <v/>
      </c>
      <c r="W256" s="14"/>
      <c r="X256" s="15"/>
      <c r="Y256" s="23"/>
      <c r="Z256" s="14"/>
    </row>
    <row r="257" customFormat="false" ht="15" hidden="false" customHeight="false" outlineLevel="0" collapsed="false">
      <c r="A257" s="14"/>
      <c r="B257" s="17" t="str">
        <f aca="false">IF($A257="","",IFERROR(INDEX(Policy!$B$2:$B$301,MATCH($A257,Policy!$A$2:$A$301,0)),"MRO không có"))</f>
        <v/>
      </c>
      <c r="C257" s="17" t="str">
        <f aca="false">IF($A257="","",IFERROR(INDEX(Policy!$E$2:$E$301,MATCH($A257,Policy!$A$2:$A$301,0)),"MRO không có"))</f>
        <v/>
      </c>
      <c r="D257" s="14"/>
      <c r="E257" s="15"/>
      <c r="F257" s="15"/>
      <c r="G257" s="14"/>
      <c r="H257" s="14"/>
      <c r="I257" s="14"/>
      <c r="J257" s="14"/>
      <c r="K257" s="14"/>
      <c r="L257" s="23"/>
      <c r="M257" s="23"/>
      <c r="N257" s="23"/>
      <c r="O257" s="23"/>
      <c r="P257" s="24" t="str">
        <f aca="false">IF($A257="","",L257+M257+N257+O257)</f>
        <v/>
      </c>
      <c r="Q257" s="22" t="str">
        <f aca="false">IF($A257="","",IFERROR(INDEX(Risk!$D$2:$D$301,MATCH($A257,Policy!$A$2:$A$301,0)),0))</f>
        <v/>
      </c>
      <c r="R257" s="24" t="str">
        <f aca="false">IF($A257="","",L257*Q257/100)</f>
        <v/>
      </c>
      <c r="S257" s="24" t="str">
        <f aca="false">IF($A257="","",M257*Q257/100)</f>
        <v/>
      </c>
      <c r="T257" s="24" t="str">
        <f aca="false">IF($A257="","",N257*Q257/100)</f>
        <v/>
      </c>
      <c r="U257" s="24" t="str">
        <f aca="false">IF($A257="","",O257*Q257/100)</f>
        <v/>
      </c>
      <c r="V257" s="24" t="str">
        <f aca="false">IF($A257="","",R257+S257+T257+U257)</f>
        <v/>
      </c>
      <c r="W257" s="14"/>
      <c r="X257" s="15"/>
      <c r="Y257" s="23"/>
      <c r="Z257" s="14"/>
    </row>
    <row r="258" customFormat="false" ht="15" hidden="false" customHeight="false" outlineLevel="0" collapsed="false">
      <c r="A258" s="14"/>
      <c r="B258" s="17" t="str">
        <f aca="false">IF($A258="","",IFERROR(INDEX(Policy!$B$2:$B$301,MATCH($A258,Policy!$A$2:$A$301,0)),"MRO không có"))</f>
        <v/>
      </c>
      <c r="C258" s="17" t="str">
        <f aca="false">IF($A258="","",IFERROR(INDEX(Policy!$E$2:$E$301,MATCH($A258,Policy!$A$2:$A$301,0)),"MRO không có"))</f>
        <v/>
      </c>
      <c r="D258" s="14"/>
      <c r="E258" s="15"/>
      <c r="F258" s="15"/>
      <c r="G258" s="14"/>
      <c r="H258" s="14"/>
      <c r="I258" s="14"/>
      <c r="J258" s="14"/>
      <c r="K258" s="14"/>
      <c r="L258" s="23"/>
      <c r="M258" s="23"/>
      <c r="N258" s="23"/>
      <c r="O258" s="23"/>
      <c r="P258" s="24" t="str">
        <f aca="false">IF($A258="","",L258+M258+N258+O258)</f>
        <v/>
      </c>
      <c r="Q258" s="22" t="str">
        <f aca="false">IF($A258="","",IFERROR(INDEX(Risk!$D$2:$D$301,MATCH($A258,Policy!$A$2:$A$301,0)),0))</f>
        <v/>
      </c>
      <c r="R258" s="24" t="str">
        <f aca="false">IF($A258="","",L258*Q258/100)</f>
        <v/>
      </c>
      <c r="S258" s="24" t="str">
        <f aca="false">IF($A258="","",M258*Q258/100)</f>
        <v/>
      </c>
      <c r="T258" s="24" t="str">
        <f aca="false">IF($A258="","",N258*Q258/100)</f>
        <v/>
      </c>
      <c r="U258" s="24" t="str">
        <f aca="false">IF($A258="","",O258*Q258/100)</f>
        <v/>
      </c>
      <c r="V258" s="24" t="str">
        <f aca="false">IF($A258="","",R258+S258+T258+U258)</f>
        <v/>
      </c>
      <c r="W258" s="14"/>
      <c r="X258" s="15"/>
      <c r="Y258" s="23"/>
      <c r="Z258" s="14"/>
    </row>
    <row r="259" customFormat="false" ht="15" hidden="false" customHeight="false" outlineLevel="0" collapsed="false">
      <c r="A259" s="14"/>
      <c r="B259" s="17" t="str">
        <f aca="false">IF($A259="","",IFERROR(INDEX(Policy!$B$2:$B$301,MATCH($A259,Policy!$A$2:$A$301,0)),"MRO không có"))</f>
        <v/>
      </c>
      <c r="C259" s="17" t="str">
        <f aca="false">IF($A259="","",IFERROR(INDEX(Policy!$E$2:$E$301,MATCH($A259,Policy!$A$2:$A$301,0)),"MRO không có"))</f>
        <v/>
      </c>
      <c r="D259" s="14"/>
      <c r="E259" s="15"/>
      <c r="F259" s="15"/>
      <c r="G259" s="14"/>
      <c r="H259" s="14"/>
      <c r="I259" s="14"/>
      <c r="J259" s="14"/>
      <c r="K259" s="14"/>
      <c r="L259" s="23"/>
      <c r="M259" s="23"/>
      <c r="N259" s="23"/>
      <c r="O259" s="23"/>
      <c r="P259" s="24" t="str">
        <f aca="false">IF($A259="","",L259+M259+N259+O259)</f>
        <v/>
      </c>
      <c r="Q259" s="22" t="str">
        <f aca="false">IF($A259="","",IFERROR(INDEX(Risk!$D$2:$D$301,MATCH($A259,Policy!$A$2:$A$301,0)),0))</f>
        <v/>
      </c>
      <c r="R259" s="24" t="str">
        <f aca="false">IF($A259="","",L259*Q259/100)</f>
        <v/>
      </c>
      <c r="S259" s="24" t="str">
        <f aca="false">IF($A259="","",M259*Q259/100)</f>
        <v/>
      </c>
      <c r="T259" s="24" t="str">
        <f aca="false">IF($A259="","",N259*Q259/100)</f>
        <v/>
      </c>
      <c r="U259" s="24" t="str">
        <f aca="false">IF($A259="","",O259*Q259/100)</f>
        <v/>
      </c>
      <c r="V259" s="24" t="str">
        <f aca="false">IF($A259="","",R259+S259+T259+U259)</f>
        <v/>
      </c>
      <c r="W259" s="14"/>
      <c r="X259" s="15"/>
      <c r="Y259" s="23"/>
      <c r="Z259" s="14"/>
    </row>
    <row r="260" customFormat="false" ht="15" hidden="false" customHeight="false" outlineLevel="0" collapsed="false">
      <c r="A260" s="14"/>
      <c r="B260" s="17" t="str">
        <f aca="false">IF($A260="","",IFERROR(INDEX(Policy!$B$2:$B$301,MATCH($A260,Policy!$A$2:$A$301,0)),"MRO không có"))</f>
        <v/>
      </c>
      <c r="C260" s="17" t="str">
        <f aca="false">IF($A260="","",IFERROR(INDEX(Policy!$E$2:$E$301,MATCH($A260,Policy!$A$2:$A$301,0)),"MRO không có"))</f>
        <v/>
      </c>
      <c r="D260" s="14"/>
      <c r="E260" s="15"/>
      <c r="F260" s="15"/>
      <c r="G260" s="14"/>
      <c r="H260" s="14"/>
      <c r="I260" s="14"/>
      <c r="J260" s="14"/>
      <c r="K260" s="14"/>
      <c r="L260" s="23"/>
      <c r="M260" s="23"/>
      <c r="N260" s="23"/>
      <c r="O260" s="23"/>
      <c r="P260" s="24" t="str">
        <f aca="false">IF($A260="","",L260+M260+N260+O260)</f>
        <v/>
      </c>
      <c r="Q260" s="22" t="str">
        <f aca="false">IF($A260="","",IFERROR(INDEX(Risk!$D$2:$D$301,MATCH($A260,Policy!$A$2:$A$301,0)),0))</f>
        <v/>
      </c>
      <c r="R260" s="24" t="str">
        <f aca="false">IF($A260="","",L260*Q260/100)</f>
        <v/>
      </c>
      <c r="S260" s="24" t="str">
        <f aca="false">IF($A260="","",M260*Q260/100)</f>
        <v/>
      </c>
      <c r="T260" s="24" t="str">
        <f aca="false">IF($A260="","",N260*Q260/100)</f>
        <v/>
      </c>
      <c r="U260" s="24" t="str">
        <f aca="false">IF($A260="","",O260*Q260/100)</f>
        <v/>
      </c>
      <c r="V260" s="24" t="str">
        <f aca="false">IF($A260="","",R260+S260+T260+U260)</f>
        <v/>
      </c>
      <c r="W260" s="14"/>
      <c r="X260" s="15"/>
      <c r="Y260" s="23"/>
      <c r="Z260" s="14"/>
    </row>
    <row r="261" customFormat="false" ht="15" hidden="false" customHeight="false" outlineLevel="0" collapsed="false">
      <c r="A261" s="14"/>
      <c r="B261" s="17" t="str">
        <f aca="false">IF($A261="","",IFERROR(INDEX(Policy!$B$2:$B$301,MATCH($A261,Policy!$A$2:$A$301,0)),"MRO không có"))</f>
        <v/>
      </c>
      <c r="C261" s="17" t="str">
        <f aca="false">IF($A261="","",IFERROR(INDEX(Policy!$E$2:$E$301,MATCH($A261,Policy!$A$2:$A$301,0)),"MRO không có"))</f>
        <v/>
      </c>
      <c r="D261" s="14"/>
      <c r="E261" s="15"/>
      <c r="F261" s="15"/>
      <c r="G261" s="14"/>
      <c r="H261" s="14"/>
      <c r="I261" s="14"/>
      <c r="J261" s="14"/>
      <c r="K261" s="14"/>
      <c r="L261" s="23"/>
      <c r="M261" s="23"/>
      <c r="N261" s="23"/>
      <c r="O261" s="23"/>
      <c r="P261" s="24" t="str">
        <f aca="false">IF($A261="","",L261+M261+N261+O261)</f>
        <v/>
      </c>
      <c r="Q261" s="22" t="str">
        <f aca="false">IF($A261="","",IFERROR(INDEX(Risk!$D$2:$D$301,MATCH($A261,Policy!$A$2:$A$301,0)),0))</f>
        <v/>
      </c>
      <c r="R261" s="24" t="str">
        <f aca="false">IF($A261="","",L261*Q261/100)</f>
        <v/>
      </c>
      <c r="S261" s="24" t="str">
        <f aca="false">IF($A261="","",M261*Q261/100)</f>
        <v/>
      </c>
      <c r="T261" s="24" t="str">
        <f aca="false">IF($A261="","",N261*Q261/100)</f>
        <v/>
      </c>
      <c r="U261" s="24" t="str">
        <f aca="false">IF($A261="","",O261*Q261/100)</f>
        <v/>
      </c>
      <c r="V261" s="24" t="str">
        <f aca="false">IF($A261="","",R261+S261+T261+U261)</f>
        <v/>
      </c>
      <c r="W261" s="14"/>
      <c r="X261" s="15"/>
      <c r="Y261" s="23"/>
      <c r="Z261" s="14"/>
    </row>
    <row r="262" customFormat="false" ht="15" hidden="false" customHeight="false" outlineLevel="0" collapsed="false">
      <c r="A262" s="14"/>
      <c r="B262" s="17" t="str">
        <f aca="false">IF($A262="","",IFERROR(INDEX(Policy!$B$2:$B$301,MATCH($A262,Policy!$A$2:$A$301,0)),"MRO không có"))</f>
        <v/>
      </c>
      <c r="C262" s="17" t="str">
        <f aca="false">IF($A262="","",IFERROR(INDEX(Policy!$E$2:$E$301,MATCH($A262,Policy!$A$2:$A$301,0)),"MRO không có"))</f>
        <v/>
      </c>
      <c r="D262" s="14"/>
      <c r="E262" s="15"/>
      <c r="F262" s="15"/>
      <c r="G262" s="14"/>
      <c r="H262" s="14"/>
      <c r="I262" s="14"/>
      <c r="J262" s="14"/>
      <c r="K262" s="14"/>
      <c r="L262" s="23"/>
      <c r="M262" s="23"/>
      <c r="N262" s="23"/>
      <c r="O262" s="23"/>
      <c r="P262" s="24" t="str">
        <f aca="false">IF($A262="","",L262+M262+N262+O262)</f>
        <v/>
      </c>
      <c r="Q262" s="22" t="str">
        <f aca="false">IF($A262="","",IFERROR(INDEX(Risk!$D$2:$D$301,MATCH($A262,Policy!$A$2:$A$301,0)),0))</f>
        <v/>
      </c>
      <c r="R262" s="24" t="str">
        <f aca="false">IF($A262="","",L262*Q262/100)</f>
        <v/>
      </c>
      <c r="S262" s="24" t="str">
        <f aca="false">IF($A262="","",M262*Q262/100)</f>
        <v/>
      </c>
      <c r="T262" s="24" t="str">
        <f aca="false">IF($A262="","",N262*Q262/100)</f>
        <v/>
      </c>
      <c r="U262" s="24" t="str">
        <f aca="false">IF($A262="","",O262*Q262/100)</f>
        <v/>
      </c>
      <c r="V262" s="24" t="str">
        <f aca="false">IF($A262="","",R262+S262+T262+U262)</f>
        <v/>
      </c>
      <c r="W262" s="14"/>
      <c r="X262" s="15"/>
      <c r="Y262" s="23"/>
      <c r="Z262" s="14"/>
    </row>
    <row r="263" customFormat="false" ht="15" hidden="false" customHeight="false" outlineLevel="0" collapsed="false">
      <c r="A263" s="14"/>
      <c r="B263" s="17" t="str">
        <f aca="false">IF($A263="","",IFERROR(INDEX(Policy!$B$2:$B$301,MATCH($A263,Policy!$A$2:$A$301,0)),"MRO không có"))</f>
        <v/>
      </c>
      <c r="C263" s="17" t="str">
        <f aca="false">IF($A263="","",IFERROR(INDEX(Policy!$E$2:$E$301,MATCH($A263,Policy!$A$2:$A$301,0)),"MRO không có"))</f>
        <v/>
      </c>
      <c r="D263" s="14"/>
      <c r="E263" s="15"/>
      <c r="F263" s="15"/>
      <c r="G263" s="14"/>
      <c r="H263" s="14"/>
      <c r="I263" s="14"/>
      <c r="J263" s="14"/>
      <c r="K263" s="14"/>
      <c r="L263" s="23"/>
      <c r="M263" s="23"/>
      <c r="N263" s="23"/>
      <c r="O263" s="23"/>
      <c r="P263" s="24" t="str">
        <f aca="false">IF($A263="","",L263+M263+N263+O263)</f>
        <v/>
      </c>
      <c r="Q263" s="22" t="str">
        <f aca="false">IF($A263="","",IFERROR(INDEX(Risk!$D$2:$D$301,MATCH($A263,Policy!$A$2:$A$301,0)),0))</f>
        <v/>
      </c>
      <c r="R263" s="24" t="str">
        <f aca="false">IF($A263="","",L263*Q263/100)</f>
        <v/>
      </c>
      <c r="S263" s="24" t="str">
        <f aca="false">IF($A263="","",M263*Q263/100)</f>
        <v/>
      </c>
      <c r="T263" s="24" t="str">
        <f aca="false">IF($A263="","",N263*Q263/100)</f>
        <v/>
      </c>
      <c r="U263" s="24" t="str">
        <f aca="false">IF($A263="","",O263*Q263/100)</f>
        <v/>
      </c>
      <c r="V263" s="24" t="str">
        <f aca="false">IF($A263="","",R263+S263+T263+U263)</f>
        <v/>
      </c>
      <c r="W263" s="14"/>
      <c r="X263" s="15"/>
      <c r="Y263" s="23"/>
      <c r="Z263" s="14"/>
    </row>
    <row r="264" customFormat="false" ht="15" hidden="false" customHeight="false" outlineLevel="0" collapsed="false">
      <c r="A264" s="14"/>
      <c r="B264" s="17" t="str">
        <f aca="false">IF($A264="","",IFERROR(INDEX(Policy!$B$2:$B$301,MATCH($A264,Policy!$A$2:$A$301,0)),"MRO không có"))</f>
        <v/>
      </c>
      <c r="C264" s="17" t="str">
        <f aca="false">IF($A264="","",IFERROR(INDEX(Policy!$E$2:$E$301,MATCH($A264,Policy!$A$2:$A$301,0)),"MRO không có"))</f>
        <v/>
      </c>
      <c r="D264" s="14"/>
      <c r="E264" s="15"/>
      <c r="F264" s="15"/>
      <c r="G264" s="14"/>
      <c r="H264" s="14"/>
      <c r="I264" s="14"/>
      <c r="J264" s="14"/>
      <c r="K264" s="14"/>
      <c r="L264" s="23"/>
      <c r="M264" s="23"/>
      <c r="N264" s="23"/>
      <c r="O264" s="23"/>
      <c r="P264" s="24" t="str">
        <f aca="false">IF($A264="","",L264+M264+N264+O264)</f>
        <v/>
      </c>
      <c r="Q264" s="22" t="str">
        <f aca="false">IF($A264="","",IFERROR(INDEX(Risk!$D$2:$D$301,MATCH($A264,Policy!$A$2:$A$301,0)),0))</f>
        <v/>
      </c>
      <c r="R264" s="24" t="str">
        <f aca="false">IF($A264="","",L264*Q264/100)</f>
        <v/>
      </c>
      <c r="S264" s="24" t="str">
        <f aca="false">IF($A264="","",M264*Q264/100)</f>
        <v/>
      </c>
      <c r="T264" s="24" t="str">
        <f aca="false">IF($A264="","",N264*Q264/100)</f>
        <v/>
      </c>
      <c r="U264" s="24" t="str">
        <f aca="false">IF($A264="","",O264*Q264/100)</f>
        <v/>
      </c>
      <c r="V264" s="24" t="str">
        <f aca="false">IF($A264="","",R264+S264+T264+U264)</f>
        <v/>
      </c>
      <c r="W264" s="14"/>
      <c r="X264" s="15"/>
      <c r="Y264" s="23"/>
      <c r="Z264" s="14"/>
    </row>
    <row r="265" customFormat="false" ht="15" hidden="false" customHeight="false" outlineLevel="0" collapsed="false">
      <c r="A265" s="14"/>
      <c r="B265" s="17" t="str">
        <f aca="false">IF($A265="","",IFERROR(INDEX(Policy!$B$2:$B$301,MATCH($A265,Policy!$A$2:$A$301,0)),"MRO không có"))</f>
        <v/>
      </c>
      <c r="C265" s="17" t="str">
        <f aca="false">IF($A265="","",IFERROR(INDEX(Policy!$E$2:$E$301,MATCH($A265,Policy!$A$2:$A$301,0)),"MRO không có"))</f>
        <v/>
      </c>
      <c r="D265" s="14"/>
      <c r="E265" s="15"/>
      <c r="F265" s="15"/>
      <c r="G265" s="14"/>
      <c r="H265" s="14"/>
      <c r="I265" s="14"/>
      <c r="J265" s="14"/>
      <c r="K265" s="14"/>
      <c r="L265" s="23"/>
      <c r="M265" s="23"/>
      <c r="N265" s="23"/>
      <c r="O265" s="23"/>
      <c r="P265" s="24" t="str">
        <f aca="false">IF($A265="","",L265+M265+N265+O265)</f>
        <v/>
      </c>
      <c r="Q265" s="22" t="str">
        <f aca="false">IF($A265="","",IFERROR(INDEX(Risk!$D$2:$D$301,MATCH($A265,Policy!$A$2:$A$301,0)),0))</f>
        <v/>
      </c>
      <c r="R265" s="24" t="str">
        <f aca="false">IF($A265="","",L265*Q265/100)</f>
        <v/>
      </c>
      <c r="S265" s="24" t="str">
        <f aca="false">IF($A265="","",M265*Q265/100)</f>
        <v/>
      </c>
      <c r="T265" s="24" t="str">
        <f aca="false">IF($A265="","",N265*Q265/100)</f>
        <v/>
      </c>
      <c r="U265" s="24" t="str">
        <f aca="false">IF($A265="","",O265*Q265/100)</f>
        <v/>
      </c>
      <c r="V265" s="24" t="str">
        <f aca="false">IF($A265="","",R265+S265+T265+U265)</f>
        <v/>
      </c>
      <c r="W265" s="14"/>
      <c r="X265" s="15"/>
      <c r="Y265" s="23"/>
      <c r="Z265" s="14"/>
    </row>
    <row r="266" customFormat="false" ht="15" hidden="false" customHeight="false" outlineLevel="0" collapsed="false">
      <c r="A266" s="14"/>
      <c r="B266" s="17" t="str">
        <f aca="false">IF($A266="","",IFERROR(INDEX(Policy!$B$2:$B$301,MATCH($A266,Policy!$A$2:$A$301,0)),"MRO không có"))</f>
        <v/>
      </c>
      <c r="C266" s="17" t="str">
        <f aca="false">IF($A266="","",IFERROR(INDEX(Policy!$E$2:$E$301,MATCH($A266,Policy!$A$2:$A$301,0)),"MRO không có"))</f>
        <v/>
      </c>
      <c r="D266" s="14"/>
      <c r="E266" s="15"/>
      <c r="F266" s="15"/>
      <c r="G266" s="14"/>
      <c r="H266" s="14"/>
      <c r="I266" s="14"/>
      <c r="J266" s="14"/>
      <c r="K266" s="14"/>
      <c r="L266" s="23"/>
      <c r="M266" s="23"/>
      <c r="N266" s="23"/>
      <c r="O266" s="23"/>
      <c r="P266" s="24" t="str">
        <f aca="false">IF($A266="","",L266+M266+N266+O266)</f>
        <v/>
      </c>
      <c r="Q266" s="22" t="str">
        <f aca="false">IF($A266="","",IFERROR(INDEX(Risk!$D$2:$D$301,MATCH($A266,Policy!$A$2:$A$301,0)),0))</f>
        <v/>
      </c>
      <c r="R266" s="24" t="str">
        <f aca="false">IF($A266="","",L266*Q266/100)</f>
        <v/>
      </c>
      <c r="S266" s="24" t="str">
        <f aca="false">IF($A266="","",M266*Q266/100)</f>
        <v/>
      </c>
      <c r="T266" s="24" t="str">
        <f aca="false">IF($A266="","",N266*Q266/100)</f>
        <v/>
      </c>
      <c r="U266" s="24" t="str">
        <f aca="false">IF($A266="","",O266*Q266/100)</f>
        <v/>
      </c>
      <c r="V266" s="24" t="str">
        <f aca="false">IF($A266="","",R266+S266+T266+U266)</f>
        <v/>
      </c>
      <c r="W266" s="14"/>
      <c r="X266" s="15"/>
      <c r="Y266" s="23"/>
      <c r="Z266" s="14"/>
    </row>
    <row r="267" customFormat="false" ht="15" hidden="false" customHeight="false" outlineLevel="0" collapsed="false">
      <c r="A267" s="14"/>
      <c r="B267" s="17" t="str">
        <f aca="false">IF($A267="","",IFERROR(INDEX(Policy!$B$2:$B$301,MATCH($A267,Policy!$A$2:$A$301,0)),"MRO không có"))</f>
        <v/>
      </c>
      <c r="C267" s="17" t="str">
        <f aca="false">IF($A267="","",IFERROR(INDEX(Policy!$E$2:$E$301,MATCH($A267,Policy!$A$2:$A$301,0)),"MRO không có"))</f>
        <v/>
      </c>
      <c r="D267" s="14"/>
      <c r="E267" s="15"/>
      <c r="F267" s="15"/>
      <c r="G267" s="14"/>
      <c r="H267" s="14"/>
      <c r="I267" s="14"/>
      <c r="J267" s="14"/>
      <c r="K267" s="14"/>
      <c r="L267" s="23"/>
      <c r="M267" s="23"/>
      <c r="N267" s="23"/>
      <c r="O267" s="23"/>
      <c r="P267" s="24" t="str">
        <f aca="false">IF($A267="","",L267+M267+N267+O267)</f>
        <v/>
      </c>
      <c r="Q267" s="22" t="str">
        <f aca="false">IF($A267="","",IFERROR(INDEX(Risk!$D$2:$D$301,MATCH($A267,Policy!$A$2:$A$301,0)),0))</f>
        <v/>
      </c>
      <c r="R267" s="24" t="str">
        <f aca="false">IF($A267="","",L267*Q267/100)</f>
        <v/>
      </c>
      <c r="S267" s="24" t="str">
        <f aca="false">IF($A267="","",M267*Q267/100)</f>
        <v/>
      </c>
      <c r="T267" s="24" t="str">
        <f aca="false">IF($A267="","",N267*Q267/100)</f>
        <v/>
      </c>
      <c r="U267" s="24" t="str">
        <f aca="false">IF($A267="","",O267*Q267/100)</f>
        <v/>
      </c>
      <c r="V267" s="24" t="str">
        <f aca="false">IF($A267="","",R267+S267+T267+U267)</f>
        <v/>
      </c>
      <c r="W267" s="14"/>
      <c r="X267" s="15"/>
      <c r="Y267" s="23"/>
      <c r="Z267" s="14"/>
    </row>
    <row r="268" customFormat="false" ht="15" hidden="false" customHeight="false" outlineLevel="0" collapsed="false">
      <c r="A268" s="14"/>
      <c r="B268" s="17" t="str">
        <f aca="false">IF($A268="","",IFERROR(INDEX(Policy!$B$2:$B$301,MATCH($A268,Policy!$A$2:$A$301,0)),"MRO không có"))</f>
        <v/>
      </c>
      <c r="C268" s="17" t="str">
        <f aca="false">IF($A268="","",IFERROR(INDEX(Policy!$E$2:$E$301,MATCH($A268,Policy!$A$2:$A$301,0)),"MRO không có"))</f>
        <v/>
      </c>
      <c r="D268" s="14"/>
      <c r="E268" s="15"/>
      <c r="F268" s="15"/>
      <c r="G268" s="14"/>
      <c r="H268" s="14"/>
      <c r="I268" s="14"/>
      <c r="J268" s="14"/>
      <c r="K268" s="14"/>
      <c r="L268" s="23"/>
      <c r="M268" s="23"/>
      <c r="N268" s="23"/>
      <c r="O268" s="23"/>
      <c r="P268" s="24" t="str">
        <f aca="false">IF($A268="","",L268+M268+N268+O268)</f>
        <v/>
      </c>
      <c r="Q268" s="22" t="str">
        <f aca="false">IF($A268="","",IFERROR(INDEX(Risk!$D$2:$D$301,MATCH($A268,Policy!$A$2:$A$301,0)),0))</f>
        <v/>
      </c>
      <c r="R268" s="24" t="str">
        <f aca="false">IF($A268="","",L268*Q268/100)</f>
        <v/>
      </c>
      <c r="S268" s="24" t="str">
        <f aca="false">IF($A268="","",M268*Q268/100)</f>
        <v/>
      </c>
      <c r="T268" s="24" t="str">
        <f aca="false">IF($A268="","",N268*Q268/100)</f>
        <v/>
      </c>
      <c r="U268" s="24" t="str">
        <f aca="false">IF($A268="","",O268*Q268/100)</f>
        <v/>
      </c>
      <c r="V268" s="24" t="str">
        <f aca="false">IF($A268="","",R268+S268+T268+U268)</f>
        <v/>
      </c>
      <c r="W268" s="14"/>
      <c r="X268" s="15"/>
      <c r="Y268" s="23"/>
      <c r="Z268" s="14"/>
    </row>
    <row r="269" customFormat="false" ht="15" hidden="false" customHeight="false" outlineLevel="0" collapsed="false">
      <c r="A269" s="14"/>
      <c r="B269" s="17" t="str">
        <f aca="false">IF($A269="","",IFERROR(INDEX(Policy!$B$2:$B$301,MATCH($A269,Policy!$A$2:$A$301,0)),"MRO không có"))</f>
        <v/>
      </c>
      <c r="C269" s="17" t="str">
        <f aca="false">IF($A269="","",IFERROR(INDEX(Policy!$E$2:$E$301,MATCH($A269,Policy!$A$2:$A$301,0)),"MRO không có"))</f>
        <v/>
      </c>
      <c r="D269" s="14"/>
      <c r="E269" s="15"/>
      <c r="F269" s="15"/>
      <c r="G269" s="14"/>
      <c r="H269" s="14"/>
      <c r="I269" s="14"/>
      <c r="J269" s="14"/>
      <c r="K269" s="14"/>
      <c r="L269" s="23"/>
      <c r="M269" s="23"/>
      <c r="N269" s="23"/>
      <c r="O269" s="23"/>
      <c r="P269" s="24" t="str">
        <f aca="false">IF($A269="","",L269+M269+N269+O269)</f>
        <v/>
      </c>
      <c r="Q269" s="22" t="str">
        <f aca="false">IF($A269="","",IFERROR(INDEX(Risk!$D$2:$D$301,MATCH($A269,Policy!$A$2:$A$301,0)),0))</f>
        <v/>
      </c>
      <c r="R269" s="24" t="str">
        <f aca="false">IF($A269="","",L269*Q269/100)</f>
        <v/>
      </c>
      <c r="S269" s="24" t="str">
        <f aca="false">IF($A269="","",M269*Q269/100)</f>
        <v/>
      </c>
      <c r="T269" s="24" t="str">
        <f aca="false">IF($A269="","",N269*Q269/100)</f>
        <v/>
      </c>
      <c r="U269" s="24" t="str">
        <f aca="false">IF($A269="","",O269*Q269/100)</f>
        <v/>
      </c>
      <c r="V269" s="24" t="str">
        <f aca="false">IF($A269="","",R269+S269+T269+U269)</f>
        <v/>
      </c>
      <c r="W269" s="14"/>
      <c r="X269" s="15"/>
      <c r="Y269" s="23"/>
      <c r="Z269" s="14"/>
    </row>
    <row r="270" customFormat="false" ht="15" hidden="false" customHeight="false" outlineLevel="0" collapsed="false">
      <c r="A270" s="14"/>
      <c r="B270" s="17" t="str">
        <f aca="false">IF($A270="","",IFERROR(INDEX(Policy!$B$2:$B$301,MATCH($A270,Policy!$A$2:$A$301,0)),"MRO không có"))</f>
        <v/>
      </c>
      <c r="C270" s="17" t="str">
        <f aca="false">IF($A270="","",IFERROR(INDEX(Policy!$E$2:$E$301,MATCH($A270,Policy!$A$2:$A$301,0)),"MRO không có"))</f>
        <v/>
      </c>
      <c r="D270" s="14"/>
      <c r="E270" s="15"/>
      <c r="F270" s="15"/>
      <c r="G270" s="14"/>
      <c r="H270" s="14"/>
      <c r="I270" s="14"/>
      <c r="J270" s="14"/>
      <c r="K270" s="14"/>
      <c r="L270" s="23"/>
      <c r="M270" s="23"/>
      <c r="N270" s="23"/>
      <c r="O270" s="23"/>
      <c r="P270" s="24" t="str">
        <f aca="false">IF($A270="","",L270+M270+N270+O270)</f>
        <v/>
      </c>
      <c r="Q270" s="22" t="str">
        <f aca="false">IF($A270="","",IFERROR(INDEX(Risk!$D$2:$D$301,MATCH($A270,Policy!$A$2:$A$301,0)),0))</f>
        <v/>
      </c>
      <c r="R270" s="24" t="str">
        <f aca="false">IF($A270="","",L270*Q270/100)</f>
        <v/>
      </c>
      <c r="S270" s="24" t="str">
        <f aca="false">IF($A270="","",M270*Q270/100)</f>
        <v/>
      </c>
      <c r="T270" s="24" t="str">
        <f aca="false">IF($A270="","",N270*Q270/100)</f>
        <v/>
      </c>
      <c r="U270" s="24" t="str">
        <f aca="false">IF($A270="","",O270*Q270/100)</f>
        <v/>
      </c>
      <c r="V270" s="24" t="str">
        <f aca="false">IF($A270="","",R270+S270+T270+U270)</f>
        <v/>
      </c>
      <c r="W270" s="14"/>
      <c r="X270" s="15"/>
      <c r="Y270" s="23"/>
      <c r="Z270" s="14"/>
    </row>
    <row r="271" customFormat="false" ht="15" hidden="false" customHeight="false" outlineLevel="0" collapsed="false">
      <c r="A271" s="14"/>
      <c r="B271" s="17" t="str">
        <f aca="false">IF($A271="","",IFERROR(INDEX(Policy!$B$2:$B$301,MATCH($A271,Policy!$A$2:$A$301,0)),"MRO không có"))</f>
        <v/>
      </c>
      <c r="C271" s="17" t="str">
        <f aca="false">IF($A271="","",IFERROR(INDEX(Policy!$E$2:$E$301,MATCH($A271,Policy!$A$2:$A$301,0)),"MRO không có"))</f>
        <v/>
      </c>
      <c r="D271" s="14"/>
      <c r="E271" s="15"/>
      <c r="F271" s="15"/>
      <c r="G271" s="14"/>
      <c r="H271" s="14"/>
      <c r="I271" s="14"/>
      <c r="J271" s="14"/>
      <c r="K271" s="14"/>
      <c r="L271" s="23"/>
      <c r="M271" s="23"/>
      <c r="N271" s="23"/>
      <c r="O271" s="23"/>
      <c r="P271" s="24" t="str">
        <f aca="false">IF($A271="","",L271+M271+N271+O271)</f>
        <v/>
      </c>
      <c r="Q271" s="22" t="str">
        <f aca="false">IF($A271="","",IFERROR(INDEX(Risk!$D$2:$D$301,MATCH($A271,Policy!$A$2:$A$301,0)),0))</f>
        <v/>
      </c>
      <c r="R271" s="24" t="str">
        <f aca="false">IF($A271="","",L271*Q271/100)</f>
        <v/>
      </c>
      <c r="S271" s="24" t="str">
        <f aca="false">IF($A271="","",M271*Q271/100)</f>
        <v/>
      </c>
      <c r="T271" s="24" t="str">
        <f aca="false">IF($A271="","",N271*Q271/100)</f>
        <v/>
      </c>
      <c r="U271" s="24" t="str">
        <f aca="false">IF($A271="","",O271*Q271/100)</f>
        <v/>
      </c>
      <c r="V271" s="24" t="str">
        <f aca="false">IF($A271="","",R271+S271+T271+U271)</f>
        <v/>
      </c>
      <c r="W271" s="14"/>
      <c r="X271" s="15"/>
      <c r="Y271" s="23"/>
      <c r="Z271" s="14"/>
    </row>
    <row r="272" customFormat="false" ht="15" hidden="false" customHeight="false" outlineLevel="0" collapsed="false">
      <c r="A272" s="14"/>
      <c r="B272" s="17" t="str">
        <f aca="false">IF($A272="","",IFERROR(INDEX(Policy!$B$2:$B$301,MATCH($A272,Policy!$A$2:$A$301,0)),"MRO không có"))</f>
        <v/>
      </c>
      <c r="C272" s="17" t="str">
        <f aca="false">IF($A272="","",IFERROR(INDEX(Policy!$E$2:$E$301,MATCH($A272,Policy!$A$2:$A$301,0)),"MRO không có"))</f>
        <v/>
      </c>
      <c r="D272" s="14"/>
      <c r="E272" s="15"/>
      <c r="F272" s="15"/>
      <c r="G272" s="14"/>
      <c r="H272" s="14"/>
      <c r="I272" s="14"/>
      <c r="J272" s="14"/>
      <c r="K272" s="14"/>
      <c r="L272" s="23"/>
      <c r="M272" s="23"/>
      <c r="N272" s="23"/>
      <c r="O272" s="23"/>
      <c r="P272" s="24" t="str">
        <f aca="false">IF($A272="","",L272+M272+N272+O272)</f>
        <v/>
      </c>
      <c r="Q272" s="22" t="str">
        <f aca="false">IF($A272="","",IFERROR(INDEX(Risk!$D$2:$D$301,MATCH($A272,Policy!$A$2:$A$301,0)),0))</f>
        <v/>
      </c>
      <c r="R272" s="24" t="str">
        <f aca="false">IF($A272="","",L272*Q272/100)</f>
        <v/>
      </c>
      <c r="S272" s="24" t="str">
        <f aca="false">IF($A272="","",M272*Q272/100)</f>
        <v/>
      </c>
      <c r="T272" s="24" t="str">
        <f aca="false">IF($A272="","",N272*Q272/100)</f>
        <v/>
      </c>
      <c r="U272" s="24" t="str">
        <f aca="false">IF($A272="","",O272*Q272/100)</f>
        <v/>
      </c>
      <c r="V272" s="24" t="str">
        <f aca="false">IF($A272="","",R272+S272+T272+U272)</f>
        <v/>
      </c>
      <c r="W272" s="14"/>
      <c r="X272" s="15"/>
      <c r="Y272" s="23"/>
      <c r="Z272" s="14"/>
    </row>
    <row r="273" customFormat="false" ht="15" hidden="false" customHeight="false" outlineLevel="0" collapsed="false">
      <c r="A273" s="14"/>
      <c r="B273" s="17" t="str">
        <f aca="false">IF($A273="","",IFERROR(INDEX(Policy!$B$2:$B$301,MATCH($A273,Policy!$A$2:$A$301,0)),"MRO không có"))</f>
        <v/>
      </c>
      <c r="C273" s="17" t="str">
        <f aca="false">IF($A273="","",IFERROR(INDEX(Policy!$E$2:$E$301,MATCH($A273,Policy!$A$2:$A$301,0)),"MRO không có"))</f>
        <v/>
      </c>
      <c r="D273" s="14"/>
      <c r="E273" s="15"/>
      <c r="F273" s="15"/>
      <c r="G273" s="14"/>
      <c r="H273" s="14"/>
      <c r="I273" s="14"/>
      <c r="J273" s="14"/>
      <c r="K273" s="14"/>
      <c r="L273" s="23"/>
      <c r="M273" s="23"/>
      <c r="N273" s="23"/>
      <c r="O273" s="23"/>
      <c r="P273" s="24" t="str">
        <f aca="false">IF($A273="","",L273+M273+N273+O273)</f>
        <v/>
      </c>
      <c r="Q273" s="22" t="str">
        <f aca="false">IF($A273="","",IFERROR(INDEX(Risk!$D$2:$D$301,MATCH($A273,Policy!$A$2:$A$301,0)),0))</f>
        <v/>
      </c>
      <c r="R273" s="24" t="str">
        <f aca="false">IF($A273="","",L273*Q273/100)</f>
        <v/>
      </c>
      <c r="S273" s="24" t="str">
        <f aca="false">IF($A273="","",M273*Q273/100)</f>
        <v/>
      </c>
      <c r="T273" s="24" t="str">
        <f aca="false">IF($A273="","",N273*Q273/100)</f>
        <v/>
      </c>
      <c r="U273" s="24" t="str">
        <f aca="false">IF($A273="","",O273*Q273/100)</f>
        <v/>
      </c>
      <c r="V273" s="24" t="str">
        <f aca="false">IF($A273="","",R273+S273+T273+U273)</f>
        <v/>
      </c>
      <c r="W273" s="14"/>
      <c r="X273" s="15"/>
      <c r="Y273" s="23"/>
      <c r="Z273" s="14"/>
    </row>
    <row r="274" customFormat="false" ht="15" hidden="false" customHeight="false" outlineLevel="0" collapsed="false">
      <c r="A274" s="14"/>
      <c r="B274" s="17" t="str">
        <f aca="false">IF($A274="","",IFERROR(INDEX(Policy!$B$2:$B$301,MATCH($A274,Policy!$A$2:$A$301,0)),"MRO không có"))</f>
        <v/>
      </c>
      <c r="C274" s="17" t="str">
        <f aca="false">IF($A274="","",IFERROR(INDEX(Policy!$E$2:$E$301,MATCH($A274,Policy!$A$2:$A$301,0)),"MRO không có"))</f>
        <v/>
      </c>
      <c r="D274" s="14"/>
      <c r="E274" s="15"/>
      <c r="F274" s="15"/>
      <c r="G274" s="14"/>
      <c r="H274" s="14"/>
      <c r="I274" s="14"/>
      <c r="J274" s="14"/>
      <c r="K274" s="14"/>
      <c r="L274" s="23"/>
      <c r="M274" s="23"/>
      <c r="N274" s="23"/>
      <c r="O274" s="23"/>
      <c r="P274" s="24" t="str">
        <f aca="false">IF($A274="","",L274+M274+N274+O274)</f>
        <v/>
      </c>
      <c r="Q274" s="22" t="str">
        <f aca="false">IF($A274="","",IFERROR(INDEX(Risk!$D$2:$D$301,MATCH($A274,Policy!$A$2:$A$301,0)),0))</f>
        <v/>
      </c>
      <c r="R274" s="24" t="str">
        <f aca="false">IF($A274="","",L274*Q274/100)</f>
        <v/>
      </c>
      <c r="S274" s="24" t="str">
        <f aca="false">IF($A274="","",M274*Q274/100)</f>
        <v/>
      </c>
      <c r="T274" s="24" t="str">
        <f aca="false">IF($A274="","",N274*Q274/100)</f>
        <v/>
      </c>
      <c r="U274" s="24" t="str">
        <f aca="false">IF($A274="","",O274*Q274/100)</f>
        <v/>
      </c>
      <c r="V274" s="24" t="str">
        <f aca="false">IF($A274="","",R274+S274+T274+U274)</f>
        <v/>
      </c>
      <c r="W274" s="14"/>
      <c r="X274" s="15"/>
      <c r="Y274" s="23"/>
      <c r="Z274" s="14"/>
    </row>
    <row r="275" customFormat="false" ht="15" hidden="false" customHeight="false" outlineLevel="0" collapsed="false">
      <c r="A275" s="14"/>
      <c r="B275" s="17" t="str">
        <f aca="false">IF($A275="","",IFERROR(INDEX(Policy!$B$2:$B$301,MATCH($A275,Policy!$A$2:$A$301,0)),"MRO không có"))</f>
        <v/>
      </c>
      <c r="C275" s="17" t="str">
        <f aca="false">IF($A275="","",IFERROR(INDEX(Policy!$E$2:$E$301,MATCH($A275,Policy!$A$2:$A$301,0)),"MRO không có"))</f>
        <v/>
      </c>
      <c r="D275" s="14"/>
      <c r="E275" s="15"/>
      <c r="F275" s="15"/>
      <c r="G275" s="14"/>
      <c r="H275" s="14"/>
      <c r="I275" s="14"/>
      <c r="J275" s="14"/>
      <c r="K275" s="14"/>
      <c r="L275" s="23"/>
      <c r="M275" s="23"/>
      <c r="N275" s="23"/>
      <c r="O275" s="23"/>
      <c r="P275" s="24" t="str">
        <f aca="false">IF($A275="","",L275+M275+N275+O275)</f>
        <v/>
      </c>
      <c r="Q275" s="22" t="str">
        <f aca="false">IF($A275="","",IFERROR(INDEX(Risk!$D$2:$D$301,MATCH($A275,Policy!$A$2:$A$301,0)),0))</f>
        <v/>
      </c>
      <c r="R275" s="24" t="str">
        <f aca="false">IF($A275="","",L275*Q275/100)</f>
        <v/>
      </c>
      <c r="S275" s="24" t="str">
        <f aca="false">IF($A275="","",M275*Q275/100)</f>
        <v/>
      </c>
      <c r="T275" s="24" t="str">
        <f aca="false">IF($A275="","",N275*Q275/100)</f>
        <v/>
      </c>
      <c r="U275" s="24" t="str">
        <f aca="false">IF($A275="","",O275*Q275/100)</f>
        <v/>
      </c>
      <c r="V275" s="24" t="str">
        <f aca="false">IF($A275="","",R275+S275+T275+U275)</f>
        <v/>
      </c>
      <c r="W275" s="14"/>
      <c r="X275" s="15"/>
      <c r="Y275" s="23"/>
      <c r="Z275" s="14"/>
    </row>
    <row r="276" customFormat="false" ht="15" hidden="false" customHeight="false" outlineLevel="0" collapsed="false">
      <c r="A276" s="14"/>
      <c r="B276" s="17" t="str">
        <f aca="false">IF($A276="","",IFERROR(INDEX(Policy!$B$2:$B$301,MATCH($A276,Policy!$A$2:$A$301,0)),"MRO không có"))</f>
        <v/>
      </c>
      <c r="C276" s="17" t="str">
        <f aca="false">IF($A276="","",IFERROR(INDEX(Policy!$E$2:$E$301,MATCH($A276,Policy!$A$2:$A$301,0)),"MRO không có"))</f>
        <v/>
      </c>
      <c r="D276" s="14"/>
      <c r="E276" s="15"/>
      <c r="F276" s="15"/>
      <c r="G276" s="14"/>
      <c r="H276" s="14"/>
      <c r="I276" s="14"/>
      <c r="J276" s="14"/>
      <c r="K276" s="14"/>
      <c r="L276" s="23"/>
      <c r="M276" s="23"/>
      <c r="N276" s="23"/>
      <c r="O276" s="23"/>
      <c r="P276" s="24" t="str">
        <f aca="false">IF($A276="","",L276+M276+N276+O276)</f>
        <v/>
      </c>
      <c r="Q276" s="22" t="str">
        <f aca="false">IF($A276="","",IFERROR(INDEX(Risk!$D$2:$D$301,MATCH($A276,Policy!$A$2:$A$301,0)),0))</f>
        <v/>
      </c>
      <c r="R276" s="24" t="str">
        <f aca="false">IF($A276="","",L276*Q276/100)</f>
        <v/>
      </c>
      <c r="S276" s="24" t="str">
        <f aca="false">IF($A276="","",M276*Q276/100)</f>
        <v/>
      </c>
      <c r="T276" s="24" t="str">
        <f aca="false">IF($A276="","",N276*Q276/100)</f>
        <v/>
      </c>
      <c r="U276" s="24" t="str">
        <f aca="false">IF($A276="","",O276*Q276/100)</f>
        <v/>
      </c>
      <c r="V276" s="24" t="str">
        <f aca="false">IF($A276="","",R276+S276+T276+U276)</f>
        <v/>
      </c>
      <c r="W276" s="14"/>
      <c r="X276" s="15"/>
      <c r="Y276" s="23"/>
      <c r="Z276" s="14"/>
    </row>
    <row r="277" customFormat="false" ht="15" hidden="false" customHeight="false" outlineLevel="0" collapsed="false">
      <c r="A277" s="14"/>
      <c r="B277" s="17" t="str">
        <f aca="false">IF($A277="","",IFERROR(INDEX(Policy!$B$2:$B$301,MATCH($A277,Policy!$A$2:$A$301,0)),"MRO không có"))</f>
        <v/>
      </c>
      <c r="C277" s="17" t="str">
        <f aca="false">IF($A277="","",IFERROR(INDEX(Policy!$E$2:$E$301,MATCH($A277,Policy!$A$2:$A$301,0)),"MRO không có"))</f>
        <v/>
      </c>
      <c r="D277" s="14"/>
      <c r="E277" s="15"/>
      <c r="F277" s="15"/>
      <c r="G277" s="14"/>
      <c r="H277" s="14"/>
      <c r="I277" s="14"/>
      <c r="J277" s="14"/>
      <c r="K277" s="14"/>
      <c r="L277" s="23"/>
      <c r="M277" s="23"/>
      <c r="N277" s="23"/>
      <c r="O277" s="23"/>
      <c r="P277" s="24" t="str">
        <f aca="false">IF($A277="","",L277+M277+N277+O277)</f>
        <v/>
      </c>
      <c r="Q277" s="22" t="str">
        <f aca="false">IF($A277="","",IFERROR(INDEX(Risk!$D$2:$D$301,MATCH($A277,Policy!$A$2:$A$301,0)),0))</f>
        <v/>
      </c>
      <c r="R277" s="24" t="str">
        <f aca="false">IF($A277="","",L277*Q277/100)</f>
        <v/>
      </c>
      <c r="S277" s="24" t="str">
        <f aca="false">IF($A277="","",M277*Q277/100)</f>
        <v/>
      </c>
      <c r="T277" s="24" t="str">
        <f aca="false">IF($A277="","",N277*Q277/100)</f>
        <v/>
      </c>
      <c r="U277" s="24" t="str">
        <f aca="false">IF($A277="","",O277*Q277/100)</f>
        <v/>
      </c>
      <c r="V277" s="24" t="str">
        <f aca="false">IF($A277="","",R277+S277+T277+U277)</f>
        <v/>
      </c>
      <c r="W277" s="14"/>
      <c r="X277" s="15"/>
      <c r="Y277" s="23"/>
      <c r="Z277" s="14"/>
    </row>
    <row r="278" customFormat="false" ht="15" hidden="false" customHeight="false" outlineLevel="0" collapsed="false">
      <c r="A278" s="14"/>
      <c r="B278" s="17" t="str">
        <f aca="false">IF($A278="","",IFERROR(INDEX(Policy!$B$2:$B$301,MATCH($A278,Policy!$A$2:$A$301,0)),"MRO không có"))</f>
        <v/>
      </c>
      <c r="C278" s="17" t="str">
        <f aca="false">IF($A278="","",IFERROR(INDEX(Policy!$E$2:$E$301,MATCH($A278,Policy!$A$2:$A$301,0)),"MRO không có"))</f>
        <v/>
      </c>
      <c r="D278" s="14"/>
      <c r="E278" s="15"/>
      <c r="F278" s="15"/>
      <c r="G278" s="14"/>
      <c r="H278" s="14"/>
      <c r="I278" s="14"/>
      <c r="J278" s="14"/>
      <c r="K278" s="14"/>
      <c r="L278" s="23"/>
      <c r="M278" s="23"/>
      <c r="N278" s="23"/>
      <c r="O278" s="23"/>
      <c r="P278" s="24" t="str">
        <f aca="false">IF($A278="","",L278+M278+N278+O278)</f>
        <v/>
      </c>
      <c r="Q278" s="22" t="str">
        <f aca="false">IF($A278="","",IFERROR(INDEX(Risk!$D$2:$D$301,MATCH($A278,Policy!$A$2:$A$301,0)),0))</f>
        <v/>
      </c>
      <c r="R278" s="24" t="str">
        <f aca="false">IF($A278="","",L278*Q278/100)</f>
        <v/>
      </c>
      <c r="S278" s="24" t="str">
        <f aca="false">IF($A278="","",M278*Q278/100)</f>
        <v/>
      </c>
      <c r="T278" s="24" t="str">
        <f aca="false">IF($A278="","",N278*Q278/100)</f>
        <v/>
      </c>
      <c r="U278" s="24" t="str">
        <f aca="false">IF($A278="","",O278*Q278/100)</f>
        <v/>
      </c>
      <c r="V278" s="24" t="str">
        <f aca="false">IF($A278="","",R278+S278+T278+U278)</f>
        <v/>
      </c>
      <c r="W278" s="14"/>
      <c r="X278" s="15"/>
      <c r="Y278" s="23"/>
      <c r="Z278" s="14"/>
    </row>
    <row r="279" customFormat="false" ht="15" hidden="false" customHeight="false" outlineLevel="0" collapsed="false">
      <c r="A279" s="14"/>
      <c r="B279" s="17" t="str">
        <f aca="false">IF($A279="","",IFERROR(INDEX(Policy!$B$2:$B$301,MATCH($A279,Policy!$A$2:$A$301,0)),"MRO không có"))</f>
        <v/>
      </c>
      <c r="C279" s="17" t="str">
        <f aca="false">IF($A279="","",IFERROR(INDEX(Policy!$E$2:$E$301,MATCH($A279,Policy!$A$2:$A$301,0)),"MRO không có"))</f>
        <v/>
      </c>
      <c r="D279" s="14"/>
      <c r="E279" s="15"/>
      <c r="F279" s="15"/>
      <c r="G279" s="14"/>
      <c r="H279" s="14"/>
      <c r="I279" s="14"/>
      <c r="J279" s="14"/>
      <c r="K279" s="14"/>
      <c r="L279" s="23"/>
      <c r="M279" s="23"/>
      <c r="N279" s="23"/>
      <c r="O279" s="23"/>
      <c r="P279" s="24" t="str">
        <f aca="false">IF($A279="","",L279+M279+N279+O279)</f>
        <v/>
      </c>
      <c r="Q279" s="22" t="str">
        <f aca="false">IF($A279="","",IFERROR(INDEX(Risk!$D$2:$D$301,MATCH($A279,Policy!$A$2:$A$301,0)),0))</f>
        <v/>
      </c>
      <c r="R279" s="24" t="str">
        <f aca="false">IF($A279="","",L279*Q279/100)</f>
        <v/>
      </c>
      <c r="S279" s="24" t="str">
        <f aca="false">IF($A279="","",M279*Q279/100)</f>
        <v/>
      </c>
      <c r="T279" s="24" t="str">
        <f aca="false">IF($A279="","",N279*Q279/100)</f>
        <v/>
      </c>
      <c r="U279" s="24" t="str">
        <f aca="false">IF($A279="","",O279*Q279/100)</f>
        <v/>
      </c>
      <c r="V279" s="24" t="str">
        <f aca="false">IF($A279="","",R279+S279+T279+U279)</f>
        <v/>
      </c>
      <c r="W279" s="14"/>
      <c r="X279" s="15"/>
      <c r="Y279" s="23"/>
      <c r="Z279" s="14"/>
    </row>
    <row r="280" customFormat="false" ht="15" hidden="false" customHeight="false" outlineLevel="0" collapsed="false">
      <c r="A280" s="14"/>
      <c r="B280" s="17" t="str">
        <f aca="false">IF($A280="","",IFERROR(INDEX(Policy!$B$2:$B$301,MATCH($A280,Policy!$A$2:$A$301,0)),"MRO không có"))</f>
        <v/>
      </c>
      <c r="C280" s="17" t="str">
        <f aca="false">IF($A280="","",IFERROR(INDEX(Policy!$E$2:$E$301,MATCH($A280,Policy!$A$2:$A$301,0)),"MRO không có"))</f>
        <v/>
      </c>
      <c r="D280" s="14"/>
      <c r="E280" s="15"/>
      <c r="F280" s="15"/>
      <c r="G280" s="14"/>
      <c r="H280" s="14"/>
      <c r="I280" s="14"/>
      <c r="J280" s="14"/>
      <c r="K280" s="14"/>
      <c r="L280" s="23"/>
      <c r="M280" s="23"/>
      <c r="N280" s="23"/>
      <c r="O280" s="23"/>
      <c r="P280" s="24" t="str">
        <f aca="false">IF($A280="","",L280+M280+N280+O280)</f>
        <v/>
      </c>
      <c r="Q280" s="22" t="str">
        <f aca="false">IF($A280="","",IFERROR(INDEX(Risk!$D$2:$D$301,MATCH($A280,Policy!$A$2:$A$301,0)),0))</f>
        <v/>
      </c>
      <c r="R280" s="24" t="str">
        <f aca="false">IF($A280="","",L280*Q280/100)</f>
        <v/>
      </c>
      <c r="S280" s="24" t="str">
        <f aca="false">IF($A280="","",M280*Q280/100)</f>
        <v/>
      </c>
      <c r="T280" s="24" t="str">
        <f aca="false">IF($A280="","",N280*Q280/100)</f>
        <v/>
      </c>
      <c r="U280" s="24" t="str">
        <f aca="false">IF($A280="","",O280*Q280/100)</f>
        <v/>
      </c>
      <c r="V280" s="24" t="str">
        <f aca="false">IF($A280="","",R280+S280+T280+U280)</f>
        <v/>
      </c>
      <c r="W280" s="14"/>
      <c r="X280" s="15"/>
      <c r="Y280" s="23"/>
      <c r="Z280" s="14"/>
    </row>
    <row r="281" customFormat="false" ht="15" hidden="false" customHeight="false" outlineLevel="0" collapsed="false">
      <c r="A281" s="14"/>
      <c r="B281" s="17" t="str">
        <f aca="false">IF($A281="","",IFERROR(INDEX(Policy!$B$2:$B$301,MATCH($A281,Policy!$A$2:$A$301,0)),"MRO không có"))</f>
        <v/>
      </c>
      <c r="C281" s="17" t="str">
        <f aca="false">IF($A281="","",IFERROR(INDEX(Policy!$E$2:$E$301,MATCH($A281,Policy!$A$2:$A$301,0)),"MRO không có"))</f>
        <v/>
      </c>
      <c r="D281" s="14"/>
      <c r="E281" s="15"/>
      <c r="F281" s="15"/>
      <c r="G281" s="14"/>
      <c r="H281" s="14"/>
      <c r="I281" s="14"/>
      <c r="J281" s="14"/>
      <c r="K281" s="14"/>
      <c r="L281" s="23"/>
      <c r="M281" s="23"/>
      <c r="N281" s="23"/>
      <c r="O281" s="23"/>
      <c r="P281" s="24" t="str">
        <f aca="false">IF($A281="","",L281+M281+N281+O281)</f>
        <v/>
      </c>
      <c r="Q281" s="22" t="str">
        <f aca="false">IF($A281="","",IFERROR(INDEX(Risk!$D$2:$D$301,MATCH($A281,Policy!$A$2:$A$301,0)),0))</f>
        <v/>
      </c>
      <c r="R281" s="24" t="str">
        <f aca="false">IF($A281="","",L281*Q281/100)</f>
        <v/>
      </c>
      <c r="S281" s="24" t="str">
        <f aca="false">IF($A281="","",M281*Q281/100)</f>
        <v/>
      </c>
      <c r="T281" s="24" t="str">
        <f aca="false">IF($A281="","",N281*Q281/100)</f>
        <v/>
      </c>
      <c r="U281" s="24" t="str">
        <f aca="false">IF($A281="","",O281*Q281/100)</f>
        <v/>
      </c>
      <c r="V281" s="24" t="str">
        <f aca="false">IF($A281="","",R281+S281+T281+U281)</f>
        <v/>
      </c>
      <c r="W281" s="14"/>
      <c r="X281" s="15"/>
      <c r="Y281" s="23"/>
      <c r="Z281" s="14"/>
    </row>
    <row r="282" customFormat="false" ht="15" hidden="false" customHeight="false" outlineLevel="0" collapsed="false">
      <c r="A282" s="14"/>
      <c r="B282" s="17" t="str">
        <f aca="false">IF($A282="","",IFERROR(INDEX(Policy!$B$2:$B$301,MATCH($A282,Policy!$A$2:$A$301,0)),"MRO không có"))</f>
        <v/>
      </c>
      <c r="C282" s="17" t="str">
        <f aca="false">IF($A282="","",IFERROR(INDEX(Policy!$E$2:$E$301,MATCH($A282,Policy!$A$2:$A$301,0)),"MRO không có"))</f>
        <v/>
      </c>
      <c r="D282" s="14"/>
      <c r="E282" s="15"/>
      <c r="F282" s="15"/>
      <c r="G282" s="14"/>
      <c r="H282" s="14"/>
      <c r="I282" s="14"/>
      <c r="J282" s="14"/>
      <c r="K282" s="14"/>
      <c r="L282" s="23"/>
      <c r="M282" s="23"/>
      <c r="N282" s="23"/>
      <c r="O282" s="23"/>
      <c r="P282" s="24" t="str">
        <f aca="false">IF($A282="","",L282+M282+N282+O282)</f>
        <v/>
      </c>
      <c r="Q282" s="22" t="str">
        <f aca="false">IF($A282="","",IFERROR(INDEX(Risk!$D$2:$D$301,MATCH($A282,Policy!$A$2:$A$301,0)),0))</f>
        <v/>
      </c>
      <c r="R282" s="24" t="str">
        <f aca="false">IF($A282="","",L282*Q282/100)</f>
        <v/>
      </c>
      <c r="S282" s="24" t="str">
        <f aca="false">IF($A282="","",M282*Q282/100)</f>
        <v/>
      </c>
      <c r="T282" s="24" t="str">
        <f aca="false">IF($A282="","",N282*Q282/100)</f>
        <v/>
      </c>
      <c r="U282" s="24" t="str">
        <f aca="false">IF($A282="","",O282*Q282/100)</f>
        <v/>
      </c>
      <c r="V282" s="24" t="str">
        <f aca="false">IF($A282="","",R282+S282+T282+U282)</f>
        <v/>
      </c>
      <c r="W282" s="14"/>
      <c r="X282" s="15"/>
      <c r="Y282" s="23"/>
      <c r="Z282" s="14"/>
    </row>
    <row r="283" customFormat="false" ht="15" hidden="false" customHeight="false" outlineLevel="0" collapsed="false">
      <c r="A283" s="14"/>
      <c r="B283" s="17" t="str">
        <f aca="false">IF($A283="","",IFERROR(INDEX(Policy!$B$2:$B$301,MATCH($A283,Policy!$A$2:$A$301,0)),"MRO không có"))</f>
        <v/>
      </c>
      <c r="C283" s="17" t="str">
        <f aca="false">IF($A283="","",IFERROR(INDEX(Policy!$E$2:$E$301,MATCH($A283,Policy!$A$2:$A$301,0)),"MRO không có"))</f>
        <v/>
      </c>
      <c r="D283" s="14"/>
      <c r="E283" s="15"/>
      <c r="F283" s="15"/>
      <c r="G283" s="14"/>
      <c r="H283" s="14"/>
      <c r="I283" s="14"/>
      <c r="J283" s="14"/>
      <c r="K283" s="14"/>
      <c r="L283" s="23"/>
      <c r="M283" s="23"/>
      <c r="N283" s="23"/>
      <c r="O283" s="23"/>
      <c r="P283" s="24" t="str">
        <f aca="false">IF($A283="","",L283+M283+N283+O283)</f>
        <v/>
      </c>
      <c r="Q283" s="22" t="str">
        <f aca="false">IF($A283="","",IFERROR(INDEX(Risk!$D$2:$D$301,MATCH($A283,Policy!$A$2:$A$301,0)),0))</f>
        <v/>
      </c>
      <c r="R283" s="24" t="str">
        <f aca="false">IF($A283="","",L283*Q283/100)</f>
        <v/>
      </c>
      <c r="S283" s="24" t="str">
        <f aca="false">IF($A283="","",M283*Q283/100)</f>
        <v/>
      </c>
      <c r="T283" s="24" t="str">
        <f aca="false">IF($A283="","",N283*Q283/100)</f>
        <v/>
      </c>
      <c r="U283" s="24" t="str">
        <f aca="false">IF($A283="","",O283*Q283/100)</f>
        <v/>
      </c>
      <c r="V283" s="24" t="str">
        <f aca="false">IF($A283="","",R283+S283+T283+U283)</f>
        <v/>
      </c>
      <c r="W283" s="14"/>
      <c r="X283" s="15"/>
      <c r="Y283" s="23"/>
      <c r="Z283" s="14"/>
    </row>
    <row r="284" customFormat="false" ht="15" hidden="false" customHeight="false" outlineLevel="0" collapsed="false">
      <c r="A284" s="14"/>
      <c r="B284" s="17" t="str">
        <f aca="false">IF($A284="","",IFERROR(INDEX(Policy!$B$2:$B$301,MATCH($A284,Policy!$A$2:$A$301,0)),"MRO không có"))</f>
        <v/>
      </c>
      <c r="C284" s="17" t="str">
        <f aca="false">IF($A284="","",IFERROR(INDEX(Policy!$E$2:$E$301,MATCH($A284,Policy!$A$2:$A$301,0)),"MRO không có"))</f>
        <v/>
      </c>
      <c r="D284" s="14"/>
      <c r="E284" s="15"/>
      <c r="F284" s="15"/>
      <c r="G284" s="14"/>
      <c r="H284" s="14"/>
      <c r="I284" s="14"/>
      <c r="J284" s="14"/>
      <c r="K284" s="14"/>
      <c r="L284" s="23"/>
      <c r="M284" s="23"/>
      <c r="N284" s="23"/>
      <c r="O284" s="23"/>
      <c r="P284" s="24" t="str">
        <f aca="false">IF($A284="","",L284+M284+N284+O284)</f>
        <v/>
      </c>
      <c r="Q284" s="22" t="str">
        <f aca="false">IF($A284="","",IFERROR(INDEX(Risk!$D$2:$D$301,MATCH($A284,Policy!$A$2:$A$301,0)),0))</f>
        <v/>
      </c>
      <c r="R284" s="24" t="str">
        <f aca="false">IF($A284="","",L284*Q284/100)</f>
        <v/>
      </c>
      <c r="S284" s="24" t="str">
        <f aca="false">IF($A284="","",M284*Q284/100)</f>
        <v/>
      </c>
      <c r="T284" s="24" t="str">
        <f aca="false">IF($A284="","",N284*Q284/100)</f>
        <v/>
      </c>
      <c r="U284" s="24" t="str">
        <f aca="false">IF($A284="","",O284*Q284/100)</f>
        <v/>
      </c>
      <c r="V284" s="24" t="str">
        <f aca="false">IF($A284="","",R284+S284+T284+U284)</f>
        <v/>
      </c>
      <c r="W284" s="14"/>
      <c r="X284" s="15"/>
      <c r="Y284" s="23"/>
      <c r="Z284" s="14"/>
    </row>
    <row r="285" customFormat="false" ht="15" hidden="false" customHeight="false" outlineLevel="0" collapsed="false">
      <c r="A285" s="14"/>
      <c r="B285" s="17" t="str">
        <f aca="false">IF($A285="","",IFERROR(INDEX(Policy!$B$2:$B$301,MATCH($A285,Policy!$A$2:$A$301,0)),"MRO không có"))</f>
        <v/>
      </c>
      <c r="C285" s="17" t="str">
        <f aca="false">IF($A285="","",IFERROR(INDEX(Policy!$E$2:$E$301,MATCH($A285,Policy!$A$2:$A$301,0)),"MRO không có"))</f>
        <v/>
      </c>
      <c r="D285" s="14"/>
      <c r="E285" s="15"/>
      <c r="F285" s="15"/>
      <c r="G285" s="14"/>
      <c r="H285" s="14"/>
      <c r="I285" s="14"/>
      <c r="J285" s="14"/>
      <c r="K285" s="14"/>
      <c r="L285" s="23"/>
      <c r="M285" s="23"/>
      <c r="N285" s="23"/>
      <c r="O285" s="23"/>
      <c r="P285" s="24" t="str">
        <f aca="false">IF($A285="","",L285+M285+N285+O285)</f>
        <v/>
      </c>
      <c r="Q285" s="22" t="str">
        <f aca="false">IF($A285="","",IFERROR(INDEX(Risk!$D$2:$D$301,MATCH($A285,Policy!$A$2:$A$301,0)),0))</f>
        <v/>
      </c>
      <c r="R285" s="24" t="str">
        <f aca="false">IF($A285="","",L285*Q285/100)</f>
        <v/>
      </c>
      <c r="S285" s="24" t="str">
        <f aca="false">IF($A285="","",M285*Q285/100)</f>
        <v/>
      </c>
      <c r="T285" s="24" t="str">
        <f aca="false">IF($A285="","",N285*Q285/100)</f>
        <v/>
      </c>
      <c r="U285" s="24" t="str">
        <f aca="false">IF($A285="","",O285*Q285/100)</f>
        <v/>
      </c>
      <c r="V285" s="24" t="str">
        <f aca="false">IF($A285="","",R285+S285+T285+U285)</f>
        <v/>
      </c>
      <c r="W285" s="14"/>
      <c r="X285" s="15"/>
      <c r="Y285" s="23"/>
      <c r="Z285" s="14"/>
    </row>
    <row r="286" customFormat="false" ht="15" hidden="false" customHeight="false" outlineLevel="0" collapsed="false">
      <c r="A286" s="14"/>
      <c r="B286" s="17" t="str">
        <f aca="false">IF($A286="","",IFERROR(INDEX(Policy!$B$2:$B$301,MATCH($A286,Policy!$A$2:$A$301,0)),"MRO không có"))</f>
        <v/>
      </c>
      <c r="C286" s="17" t="str">
        <f aca="false">IF($A286="","",IFERROR(INDEX(Policy!$E$2:$E$301,MATCH($A286,Policy!$A$2:$A$301,0)),"MRO không có"))</f>
        <v/>
      </c>
      <c r="D286" s="14"/>
      <c r="E286" s="15"/>
      <c r="F286" s="15"/>
      <c r="G286" s="14"/>
      <c r="H286" s="14"/>
      <c r="I286" s="14"/>
      <c r="J286" s="14"/>
      <c r="K286" s="14"/>
      <c r="L286" s="23"/>
      <c r="M286" s="23"/>
      <c r="N286" s="23"/>
      <c r="O286" s="23"/>
      <c r="P286" s="24" t="str">
        <f aca="false">IF($A286="","",L286+M286+N286+O286)</f>
        <v/>
      </c>
      <c r="Q286" s="22" t="str">
        <f aca="false">IF($A286="","",IFERROR(INDEX(Risk!$D$2:$D$301,MATCH($A286,Policy!$A$2:$A$301,0)),0))</f>
        <v/>
      </c>
      <c r="R286" s="24" t="str">
        <f aca="false">IF($A286="","",L286*Q286/100)</f>
        <v/>
      </c>
      <c r="S286" s="24" t="str">
        <f aca="false">IF($A286="","",M286*Q286/100)</f>
        <v/>
      </c>
      <c r="T286" s="24" t="str">
        <f aca="false">IF($A286="","",N286*Q286/100)</f>
        <v/>
      </c>
      <c r="U286" s="24" t="str">
        <f aca="false">IF($A286="","",O286*Q286/100)</f>
        <v/>
      </c>
      <c r="V286" s="24" t="str">
        <f aca="false">IF($A286="","",R286+S286+T286+U286)</f>
        <v/>
      </c>
      <c r="W286" s="14"/>
      <c r="X286" s="15"/>
      <c r="Y286" s="23"/>
      <c r="Z286" s="14"/>
    </row>
    <row r="287" customFormat="false" ht="15" hidden="false" customHeight="false" outlineLevel="0" collapsed="false">
      <c r="A287" s="14"/>
      <c r="B287" s="17" t="str">
        <f aca="false">IF($A287="","",IFERROR(INDEX(Policy!$B$2:$B$301,MATCH($A287,Policy!$A$2:$A$301,0)),"MRO không có"))</f>
        <v/>
      </c>
      <c r="C287" s="17" t="str">
        <f aca="false">IF($A287="","",IFERROR(INDEX(Policy!$E$2:$E$301,MATCH($A287,Policy!$A$2:$A$301,0)),"MRO không có"))</f>
        <v/>
      </c>
      <c r="D287" s="14"/>
      <c r="E287" s="15"/>
      <c r="F287" s="15"/>
      <c r="G287" s="14"/>
      <c r="H287" s="14"/>
      <c r="I287" s="14"/>
      <c r="J287" s="14"/>
      <c r="K287" s="14"/>
      <c r="L287" s="23"/>
      <c r="M287" s="23"/>
      <c r="N287" s="23"/>
      <c r="O287" s="23"/>
      <c r="P287" s="24" t="str">
        <f aca="false">IF($A287="","",L287+M287+N287+O287)</f>
        <v/>
      </c>
      <c r="Q287" s="22" t="str">
        <f aca="false">IF($A287="","",IFERROR(INDEX(Risk!$D$2:$D$301,MATCH($A287,Policy!$A$2:$A$301,0)),0))</f>
        <v/>
      </c>
      <c r="R287" s="24" t="str">
        <f aca="false">IF($A287="","",L287*Q287/100)</f>
        <v/>
      </c>
      <c r="S287" s="24" t="str">
        <f aca="false">IF($A287="","",M287*Q287/100)</f>
        <v/>
      </c>
      <c r="T287" s="24" t="str">
        <f aca="false">IF($A287="","",N287*Q287/100)</f>
        <v/>
      </c>
      <c r="U287" s="24" t="str">
        <f aca="false">IF($A287="","",O287*Q287/100)</f>
        <v/>
      </c>
      <c r="V287" s="24" t="str">
        <f aca="false">IF($A287="","",R287+S287+T287+U287)</f>
        <v/>
      </c>
      <c r="W287" s="14"/>
      <c r="X287" s="15"/>
      <c r="Y287" s="23"/>
      <c r="Z287" s="14"/>
    </row>
    <row r="288" customFormat="false" ht="15" hidden="false" customHeight="false" outlineLevel="0" collapsed="false">
      <c r="A288" s="14"/>
      <c r="B288" s="17" t="str">
        <f aca="false">IF($A288="","",IFERROR(INDEX(Policy!$B$2:$B$301,MATCH($A288,Policy!$A$2:$A$301,0)),"MRO không có"))</f>
        <v/>
      </c>
      <c r="C288" s="17" t="str">
        <f aca="false">IF($A288="","",IFERROR(INDEX(Policy!$E$2:$E$301,MATCH($A288,Policy!$A$2:$A$301,0)),"MRO không có"))</f>
        <v/>
      </c>
      <c r="D288" s="14"/>
      <c r="E288" s="15"/>
      <c r="F288" s="15"/>
      <c r="G288" s="14"/>
      <c r="H288" s="14"/>
      <c r="I288" s="14"/>
      <c r="J288" s="14"/>
      <c r="K288" s="14"/>
      <c r="L288" s="23"/>
      <c r="M288" s="23"/>
      <c r="N288" s="23"/>
      <c r="O288" s="23"/>
      <c r="P288" s="24" t="str">
        <f aca="false">IF($A288="","",L288+M288+N288+O288)</f>
        <v/>
      </c>
      <c r="Q288" s="22" t="str">
        <f aca="false">IF($A288="","",IFERROR(INDEX(Risk!$D$2:$D$301,MATCH($A288,Policy!$A$2:$A$301,0)),0))</f>
        <v/>
      </c>
      <c r="R288" s="24" t="str">
        <f aca="false">IF($A288="","",L288*Q288/100)</f>
        <v/>
      </c>
      <c r="S288" s="24" t="str">
        <f aca="false">IF($A288="","",M288*Q288/100)</f>
        <v/>
      </c>
      <c r="T288" s="24" t="str">
        <f aca="false">IF($A288="","",N288*Q288/100)</f>
        <v/>
      </c>
      <c r="U288" s="24" t="str">
        <f aca="false">IF($A288="","",O288*Q288/100)</f>
        <v/>
      </c>
      <c r="V288" s="24" t="str">
        <f aca="false">IF($A288="","",R288+S288+T288+U288)</f>
        <v/>
      </c>
      <c r="W288" s="14"/>
      <c r="X288" s="15"/>
      <c r="Y288" s="23"/>
      <c r="Z288" s="14"/>
    </row>
    <row r="289" customFormat="false" ht="15" hidden="false" customHeight="false" outlineLevel="0" collapsed="false">
      <c r="A289" s="14"/>
      <c r="B289" s="17" t="str">
        <f aca="false">IF($A289="","",IFERROR(INDEX(Policy!$B$2:$B$301,MATCH($A289,Policy!$A$2:$A$301,0)),"MRO không có"))</f>
        <v/>
      </c>
      <c r="C289" s="17" t="str">
        <f aca="false">IF($A289="","",IFERROR(INDEX(Policy!$E$2:$E$301,MATCH($A289,Policy!$A$2:$A$301,0)),"MRO không có"))</f>
        <v/>
      </c>
      <c r="D289" s="14"/>
      <c r="E289" s="15"/>
      <c r="F289" s="15"/>
      <c r="G289" s="14"/>
      <c r="H289" s="14"/>
      <c r="I289" s="14"/>
      <c r="J289" s="14"/>
      <c r="K289" s="14"/>
      <c r="L289" s="23"/>
      <c r="M289" s="23"/>
      <c r="N289" s="23"/>
      <c r="O289" s="23"/>
      <c r="P289" s="24" t="str">
        <f aca="false">IF($A289="","",L289+M289+N289+O289)</f>
        <v/>
      </c>
      <c r="Q289" s="22" t="str">
        <f aca="false">IF($A289="","",IFERROR(INDEX(Risk!$D$2:$D$301,MATCH($A289,Policy!$A$2:$A$301,0)),0))</f>
        <v/>
      </c>
      <c r="R289" s="24" t="str">
        <f aca="false">IF($A289="","",L289*Q289/100)</f>
        <v/>
      </c>
      <c r="S289" s="24" t="str">
        <f aca="false">IF($A289="","",M289*Q289/100)</f>
        <v/>
      </c>
      <c r="T289" s="24" t="str">
        <f aca="false">IF($A289="","",N289*Q289/100)</f>
        <v/>
      </c>
      <c r="U289" s="24" t="str">
        <f aca="false">IF($A289="","",O289*Q289/100)</f>
        <v/>
      </c>
      <c r="V289" s="24" t="str">
        <f aca="false">IF($A289="","",R289+S289+T289+U289)</f>
        <v/>
      </c>
      <c r="W289" s="14"/>
      <c r="X289" s="15"/>
      <c r="Y289" s="23"/>
      <c r="Z289" s="14"/>
    </row>
    <row r="290" customFormat="false" ht="15" hidden="false" customHeight="false" outlineLevel="0" collapsed="false">
      <c r="A290" s="14"/>
      <c r="B290" s="17" t="str">
        <f aca="false">IF($A290="","",IFERROR(INDEX(Policy!$B$2:$B$301,MATCH($A290,Policy!$A$2:$A$301,0)),"MRO không có"))</f>
        <v/>
      </c>
      <c r="C290" s="17" t="str">
        <f aca="false">IF($A290="","",IFERROR(INDEX(Policy!$E$2:$E$301,MATCH($A290,Policy!$A$2:$A$301,0)),"MRO không có"))</f>
        <v/>
      </c>
      <c r="D290" s="14"/>
      <c r="E290" s="15"/>
      <c r="F290" s="15"/>
      <c r="G290" s="14"/>
      <c r="H290" s="14"/>
      <c r="I290" s="14"/>
      <c r="J290" s="14"/>
      <c r="K290" s="14"/>
      <c r="L290" s="23"/>
      <c r="M290" s="23"/>
      <c r="N290" s="23"/>
      <c r="O290" s="23"/>
      <c r="P290" s="24" t="str">
        <f aca="false">IF($A290="","",L290+M290+N290+O290)</f>
        <v/>
      </c>
      <c r="Q290" s="22" t="str">
        <f aca="false">IF($A290="","",IFERROR(INDEX(Risk!$D$2:$D$301,MATCH($A290,Policy!$A$2:$A$301,0)),0))</f>
        <v/>
      </c>
      <c r="R290" s="24" t="str">
        <f aca="false">IF($A290="","",L290*Q290/100)</f>
        <v/>
      </c>
      <c r="S290" s="24" t="str">
        <f aca="false">IF($A290="","",M290*Q290/100)</f>
        <v/>
      </c>
      <c r="T290" s="24" t="str">
        <f aca="false">IF($A290="","",N290*Q290/100)</f>
        <v/>
      </c>
      <c r="U290" s="24" t="str">
        <f aca="false">IF($A290="","",O290*Q290/100)</f>
        <v/>
      </c>
      <c r="V290" s="24" t="str">
        <f aca="false">IF($A290="","",R290+S290+T290+U290)</f>
        <v/>
      </c>
      <c r="W290" s="14"/>
      <c r="X290" s="15"/>
      <c r="Y290" s="23"/>
      <c r="Z290" s="14"/>
    </row>
    <row r="291" customFormat="false" ht="15" hidden="false" customHeight="false" outlineLevel="0" collapsed="false">
      <c r="A291" s="14"/>
      <c r="B291" s="17" t="str">
        <f aca="false">IF($A291="","",IFERROR(INDEX(Policy!$B$2:$B$301,MATCH($A291,Policy!$A$2:$A$301,0)),"MRO không có"))</f>
        <v/>
      </c>
      <c r="C291" s="17" t="str">
        <f aca="false">IF($A291="","",IFERROR(INDEX(Policy!$E$2:$E$301,MATCH($A291,Policy!$A$2:$A$301,0)),"MRO không có"))</f>
        <v/>
      </c>
      <c r="D291" s="14"/>
      <c r="E291" s="15"/>
      <c r="F291" s="15"/>
      <c r="G291" s="14"/>
      <c r="H291" s="14"/>
      <c r="I291" s="14"/>
      <c r="J291" s="14"/>
      <c r="K291" s="14"/>
      <c r="L291" s="23"/>
      <c r="M291" s="23"/>
      <c r="N291" s="23"/>
      <c r="O291" s="23"/>
      <c r="P291" s="24" t="str">
        <f aca="false">IF($A291="","",L291+M291+N291+O291)</f>
        <v/>
      </c>
      <c r="Q291" s="22" t="str">
        <f aca="false">IF($A291="","",IFERROR(INDEX(Risk!$D$2:$D$301,MATCH($A291,Policy!$A$2:$A$301,0)),0))</f>
        <v/>
      </c>
      <c r="R291" s="24" t="str">
        <f aca="false">IF($A291="","",L291*Q291/100)</f>
        <v/>
      </c>
      <c r="S291" s="24" t="str">
        <f aca="false">IF($A291="","",M291*Q291/100)</f>
        <v/>
      </c>
      <c r="T291" s="24" t="str">
        <f aca="false">IF($A291="","",N291*Q291/100)</f>
        <v/>
      </c>
      <c r="U291" s="24" t="str">
        <f aca="false">IF($A291="","",O291*Q291/100)</f>
        <v/>
      </c>
      <c r="V291" s="24" t="str">
        <f aca="false">IF($A291="","",R291+S291+T291+U291)</f>
        <v/>
      </c>
      <c r="W291" s="14"/>
      <c r="X291" s="15"/>
      <c r="Y291" s="23"/>
      <c r="Z291" s="14"/>
    </row>
    <row r="292" customFormat="false" ht="15" hidden="false" customHeight="false" outlineLevel="0" collapsed="false">
      <c r="A292" s="14"/>
      <c r="B292" s="17" t="str">
        <f aca="false">IF($A292="","",IFERROR(INDEX(Policy!$B$2:$B$301,MATCH($A292,Policy!$A$2:$A$301,0)),"MRO không có"))</f>
        <v/>
      </c>
      <c r="C292" s="17" t="str">
        <f aca="false">IF($A292="","",IFERROR(INDEX(Policy!$E$2:$E$301,MATCH($A292,Policy!$A$2:$A$301,0)),"MRO không có"))</f>
        <v/>
      </c>
      <c r="D292" s="14"/>
      <c r="E292" s="15"/>
      <c r="F292" s="15"/>
      <c r="G292" s="14"/>
      <c r="H292" s="14"/>
      <c r="I292" s="14"/>
      <c r="J292" s="14"/>
      <c r="K292" s="14"/>
      <c r="L292" s="23"/>
      <c r="M292" s="23"/>
      <c r="N292" s="23"/>
      <c r="O292" s="23"/>
      <c r="P292" s="24" t="str">
        <f aca="false">IF($A292="","",L292+M292+N292+O292)</f>
        <v/>
      </c>
      <c r="Q292" s="22" t="str">
        <f aca="false">IF($A292="","",IFERROR(INDEX(Risk!$D$2:$D$301,MATCH($A292,Policy!$A$2:$A$301,0)),0))</f>
        <v/>
      </c>
      <c r="R292" s="24" t="str">
        <f aca="false">IF($A292="","",L292*Q292/100)</f>
        <v/>
      </c>
      <c r="S292" s="24" t="str">
        <f aca="false">IF($A292="","",M292*Q292/100)</f>
        <v/>
      </c>
      <c r="T292" s="24" t="str">
        <f aca="false">IF($A292="","",N292*Q292/100)</f>
        <v/>
      </c>
      <c r="U292" s="24" t="str">
        <f aca="false">IF($A292="","",O292*Q292/100)</f>
        <v/>
      </c>
      <c r="V292" s="24" t="str">
        <f aca="false">IF($A292="","",R292+S292+T292+U292)</f>
        <v/>
      </c>
      <c r="W292" s="14"/>
      <c r="X292" s="15"/>
      <c r="Y292" s="23"/>
      <c r="Z292" s="14"/>
    </row>
    <row r="293" customFormat="false" ht="15" hidden="false" customHeight="false" outlineLevel="0" collapsed="false">
      <c r="A293" s="14"/>
      <c r="B293" s="17" t="str">
        <f aca="false">IF($A293="","",IFERROR(INDEX(Policy!$B$2:$B$301,MATCH($A293,Policy!$A$2:$A$301,0)),"MRO không có"))</f>
        <v/>
      </c>
      <c r="C293" s="17" t="str">
        <f aca="false">IF($A293="","",IFERROR(INDEX(Policy!$E$2:$E$301,MATCH($A293,Policy!$A$2:$A$301,0)),"MRO không có"))</f>
        <v/>
      </c>
      <c r="D293" s="14"/>
      <c r="E293" s="15"/>
      <c r="F293" s="15"/>
      <c r="G293" s="14"/>
      <c r="H293" s="14"/>
      <c r="I293" s="14"/>
      <c r="J293" s="14"/>
      <c r="K293" s="14"/>
      <c r="L293" s="23"/>
      <c r="M293" s="23"/>
      <c r="N293" s="23"/>
      <c r="O293" s="23"/>
      <c r="P293" s="24" t="str">
        <f aca="false">IF($A293="","",L293+M293+N293+O293)</f>
        <v/>
      </c>
      <c r="Q293" s="22" t="str">
        <f aca="false">IF($A293="","",IFERROR(INDEX(Risk!$D$2:$D$301,MATCH($A293,Policy!$A$2:$A$301,0)),0))</f>
        <v/>
      </c>
      <c r="R293" s="24" t="str">
        <f aca="false">IF($A293="","",L293*Q293/100)</f>
        <v/>
      </c>
      <c r="S293" s="24" t="str">
        <f aca="false">IF($A293="","",M293*Q293/100)</f>
        <v/>
      </c>
      <c r="T293" s="24" t="str">
        <f aca="false">IF($A293="","",N293*Q293/100)</f>
        <v/>
      </c>
      <c r="U293" s="24" t="str">
        <f aca="false">IF($A293="","",O293*Q293/100)</f>
        <v/>
      </c>
      <c r="V293" s="24" t="str">
        <f aca="false">IF($A293="","",R293+S293+T293+U293)</f>
        <v/>
      </c>
      <c r="W293" s="14"/>
      <c r="X293" s="15"/>
      <c r="Y293" s="23"/>
      <c r="Z293" s="14"/>
    </row>
    <row r="294" customFormat="false" ht="15" hidden="false" customHeight="false" outlineLevel="0" collapsed="false">
      <c r="A294" s="14"/>
      <c r="B294" s="17" t="str">
        <f aca="false">IF($A294="","",IFERROR(INDEX(Policy!$B$2:$B$301,MATCH($A294,Policy!$A$2:$A$301,0)),"MRO không có"))</f>
        <v/>
      </c>
      <c r="C294" s="17" t="str">
        <f aca="false">IF($A294="","",IFERROR(INDEX(Policy!$E$2:$E$301,MATCH($A294,Policy!$A$2:$A$301,0)),"MRO không có"))</f>
        <v/>
      </c>
      <c r="D294" s="14"/>
      <c r="E294" s="15"/>
      <c r="F294" s="15"/>
      <c r="G294" s="14"/>
      <c r="H294" s="14"/>
      <c r="I294" s="14"/>
      <c r="J294" s="14"/>
      <c r="K294" s="14"/>
      <c r="L294" s="23"/>
      <c r="M294" s="23"/>
      <c r="N294" s="23"/>
      <c r="O294" s="23"/>
      <c r="P294" s="24" t="str">
        <f aca="false">IF($A294="","",L294+M294+N294+O294)</f>
        <v/>
      </c>
      <c r="Q294" s="22" t="str">
        <f aca="false">IF($A294="","",IFERROR(INDEX(Risk!$D$2:$D$301,MATCH($A294,Policy!$A$2:$A$301,0)),0))</f>
        <v/>
      </c>
      <c r="R294" s="24" t="str">
        <f aca="false">IF($A294="","",L294*Q294/100)</f>
        <v/>
      </c>
      <c r="S294" s="24" t="str">
        <f aca="false">IF($A294="","",M294*Q294/100)</f>
        <v/>
      </c>
      <c r="T294" s="24" t="str">
        <f aca="false">IF($A294="","",N294*Q294/100)</f>
        <v/>
      </c>
      <c r="U294" s="24" t="str">
        <f aca="false">IF($A294="","",O294*Q294/100)</f>
        <v/>
      </c>
      <c r="V294" s="24" t="str">
        <f aca="false">IF($A294="","",R294+S294+T294+U294)</f>
        <v/>
      </c>
      <c r="W294" s="14"/>
      <c r="X294" s="15"/>
      <c r="Y294" s="23"/>
      <c r="Z294" s="14"/>
    </row>
    <row r="295" customFormat="false" ht="15" hidden="false" customHeight="false" outlineLevel="0" collapsed="false">
      <c r="A295" s="14"/>
      <c r="B295" s="17" t="str">
        <f aca="false">IF($A295="","",IFERROR(INDEX(Policy!$B$2:$B$301,MATCH($A295,Policy!$A$2:$A$301,0)),"MRO không có"))</f>
        <v/>
      </c>
      <c r="C295" s="17" t="str">
        <f aca="false">IF($A295="","",IFERROR(INDEX(Policy!$E$2:$E$301,MATCH($A295,Policy!$A$2:$A$301,0)),"MRO không có"))</f>
        <v/>
      </c>
      <c r="D295" s="14"/>
      <c r="E295" s="15"/>
      <c r="F295" s="15"/>
      <c r="G295" s="14"/>
      <c r="H295" s="14"/>
      <c r="I295" s="14"/>
      <c r="J295" s="14"/>
      <c r="K295" s="14"/>
      <c r="L295" s="23"/>
      <c r="M295" s="23"/>
      <c r="N295" s="23"/>
      <c r="O295" s="23"/>
      <c r="P295" s="24" t="str">
        <f aca="false">IF($A295="","",L295+M295+N295+O295)</f>
        <v/>
      </c>
      <c r="Q295" s="22" t="str">
        <f aca="false">IF($A295="","",IFERROR(INDEX(Risk!$D$2:$D$301,MATCH($A295,Policy!$A$2:$A$301,0)),0))</f>
        <v/>
      </c>
      <c r="R295" s="24" t="str">
        <f aca="false">IF($A295="","",L295*Q295/100)</f>
        <v/>
      </c>
      <c r="S295" s="24" t="str">
        <f aca="false">IF($A295="","",M295*Q295/100)</f>
        <v/>
      </c>
      <c r="T295" s="24" t="str">
        <f aca="false">IF($A295="","",N295*Q295/100)</f>
        <v/>
      </c>
      <c r="U295" s="24" t="str">
        <f aca="false">IF($A295="","",O295*Q295/100)</f>
        <v/>
      </c>
      <c r="V295" s="24" t="str">
        <f aca="false">IF($A295="","",R295+S295+T295+U295)</f>
        <v/>
      </c>
      <c r="W295" s="14"/>
      <c r="X295" s="15"/>
      <c r="Y295" s="23"/>
      <c r="Z295" s="14"/>
    </row>
    <row r="296" customFormat="false" ht="15" hidden="false" customHeight="false" outlineLevel="0" collapsed="false">
      <c r="A296" s="14"/>
      <c r="B296" s="17" t="str">
        <f aca="false">IF($A296="","",IFERROR(INDEX(Policy!$B$2:$B$301,MATCH($A296,Policy!$A$2:$A$301,0)),"MRO không có"))</f>
        <v/>
      </c>
      <c r="C296" s="17" t="str">
        <f aca="false">IF($A296="","",IFERROR(INDEX(Policy!$E$2:$E$301,MATCH($A296,Policy!$A$2:$A$301,0)),"MRO không có"))</f>
        <v/>
      </c>
      <c r="D296" s="14"/>
      <c r="E296" s="15"/>
      <c r="F296" s="15"/>
      <c r="G296" s="14"/>
      <c r="H296" s="14"/>
      <c r="I296" s="14"/>
      <c r="J296" s="14"/>
      <c r="K296" s="14"/>
      <c r="L296" s="23"/>
      <c r="M296" s="23"/>
      <c r="N296" s="23"/>
      <c r="O296" s="23"/>
      <c r="P296" s="24" t="str">
        <f aca="false">IF($A296="","",L296+M296+N296+O296)</f>
        <v/>
      </c>
      <c r="Q296" s="22" t="str">
        <f aca="false">IF($A296="","",IFERROR(INDEX(Risk!$D$2:$D$301,MATCH($A296,Policy!$A$2:$A$301,0)),0))</f>
        <v/>
      </c>
      <c r="R296" s="24" t="str">
        <f aca="false">IF($A296="","",L296*Q296/100)</f>
        <v/>
      </c>
      <c r="S296" s="24" t="str">
        <f aca="false">IF($A296="","",M296*Q296/100)</f>
        <v/>
      </c>
      <c r="T296" s="24" t="str">
        <f aca="false">IF($A296="","",N296*Q296/100)</f>
        <v/>
      </c>
      <c r="U296" s="24" t="str">
        <f aca="false">IF($A296="","",O296*Q296/100)</f>
        <v/>
      </c>
      <c r="V296" s="24" t="str">
        <f aca="false">IF($A296="","",R296+S296+T296+U296)</f>
        <v/>
      </c>
      <c r="W296" s="14"/>
      <c r="X296" s="15"/>
      <c r="Y296" s="23"/>
      <c r="Z296" s="14"/>
    </row>
    <row r="297" customFormat="false" ht="15" hidden="false" customHeight="false" outlineLevel="0" collapsed="false">
      <c r="A297" s="14"/>
      <c r="B297" s="17" t="str">
        <f aca="false">IF($A297="","",IFERROR(INDEX(Policy!$B$2:$B$301,MATCH($A297,Policy!$A$2:$A$301,0)),"MRO không có"))</f>
        <v/>
      </c>
      <c r="C297" s="17" t="str">
        <f aca="false">IF($A297="","",IFERROR(INDEX(Policy!$E$2:$E$301,MATCH($A297,Policy!$A$2:$A$301,0)),"MRO không có"))</f>
        <v/>
      </c>
      <c r="D297" s="14"/>
      <c r="E297" s="15"/>
      <c r="F297" s="15"/>
      <c r="G297" s="14"/>
      <c r="H297" s="14"/>
      <c r="I297" s="14"/>
      <c r="J297" s="14"/>
      <c r="K297" s="14"/>
      <c r="L297" s="23"/>
      <c r="M297" s="23"/>
      <c r="N297" s="23"/>
      <c r="O297" s="23"/>
      <c r="P297" s="24" t="str">
        <f aca="false">IF($A297="","",L297+M297+N297+O297)</f>
        <v/>
      </c>
      <c r="Q297" s="22" t="str">
        <f aca="false">IF($A297="","",IFERROR(INDEX(Risk!$D$2:$D$301,MATCH($A297,Policy!$A$2:$A$301,0)),0))</f>
        <v/>
      </c>
      <c r="R297" s="24" t="str">
        <f aca="false">IF($A297="","",L297*Q297/100)</f>
        <v/>
      </c>
      <c r="S297" s="24" t="str">
        <f aca="false">IF($A297="","",M297*Q297/100)</f>
        <v/>
      </c>
      <c r="T297" s="24" t="str">
        <f aca="false">IF($A297="","",N297*Q297/100)</f>
        <v/>
      </c>
      <c r="U297" s="24" t="str">
        <f aca="false">IF($A297="","",O297*Q297/100)</f>
        <v/>
      </c>
      <c r="V297" s="24" t="str">
        <f aca="false">IF($A297="","",R297+S297+T297+U297)</f>
        <v/>
      </c>
      <c r="W297" s="14"/>
      <c r="X297" s="15"/>
      <c r="Y297" s="23"/>
      <c r="Z297" s="14"/>
    </row>
    <row r="298" customFormat="false" ht="15" hidden="false" customHeight="false" outlineLevel="0" collapsed="false">
      <c r="A298" s="14"/>
      <c r="B298" s="17" t="str">
        <f aca="false">IF($A298="","",IFERROR(INDEX(Policy!$B$2:$B$301,MATCH($A298,Policy!$A$2:$A$301,0)),"MRO không có"))</f>
        <v/>
      </c>
      <c r="C298" s="17" t="str">
        <f aca="false">IF($A298="","",IFERROR(INDEX(Policy!$E$2:$E$301,MATCH($A298,Policy!$A$2:$A$301,0)),"MRO không có"))</f>
        <v/>
      </c>
      <c r="D298" s="14"/>
      <c r="E298" s="15"/>
      <c r="F298" s="15"/>
      <c r="G298" s="14"/>
      <c r="H298" s="14"/>
      <c r="I298" s="14"/>
      <c r="J298" s="14"/>
      <c r="K298" s="14"/>
      <c r="L298" s="23"/>
      <c r="M298" s="23"/>
      <c r="N298" s="23"/>
      <c r="O298" s="23"/>
      <c r="P298" s="24" t="str">
        <f aca="false">IF($A298="","",L298+M298+N298+O298)</f>
        <v/>
      </c>
      <c r="Q298" s="22" t="str">
        <f aca="false">IF($A298="","",IFERROR(INDEX(Risk!$D$2:$D$301,MATCH($A298,Policy!$A$2:$A$301,0)),0))</f>
        <v/>
      </c>
      <c r="R298" s="24" t="str">
        <f aca="false">IF($A298="","",L298*Q298/100)</f>
        <v/>
      </c>
      <c r="S298" s="24" t="str">
        <f aca="false">IF($A298="","",M298*Q298/100)</f>
        <v/>
      </c>
      <c r="T298" s="24" t="str">
        <f aca="false">IF($A298="","",N298*Q298/100)</f>
        <v/>
      </c>
      <c r="U298" s="24" t="str">
        <f aca="false">IF($A298="","",O298*Q298/100)</f>
        <v/>
      </c>
      <c r="V298" s="24" t="str">
        <f aca="false">IF($A298="","",R298+S298+T298+U298)</f>
        <v/>
      </c>
      <c r="W298" s="14"/>
      <c r="X298" s="15"/>
      <c r="Y298" s="23"/>
      <c r="Z298" s="14"/>
    </row>
    <row r="299" customFormat="false" ht="15" hidden="false" customHeight="false" outlineLevel="0" collapsed="false">
      <c r="A299" s="14"/>
      <c r="B299" s="17" t="str">
        <f aca="false">IF($A299="","",IFERROR(INDEX(Policy!$B$2:$B$301,MATCH($A299,Policy!$A$2:$A$301,0)),"MRO không có"))</f>
        <v/>
      </c>
      <c r="C299" s="17" t="str">
        <f aca="false">IF($A299="","",IFERROR(INDEX(Policy!$E$2:$E$301,MATCH($A299,Policy!$A$2:$A$301,0)),"MRO không có"))</f>
        <v/>
      </c>
      <c r="D299" s="14"/>
      <c r="E299" s="15"/>
      <c r="F299" s="15"/>
      <c r="G299" s="14"/>
      <c r="H299" s="14"/>
      <c r="I299" s="14"/>
      <c r="J299" s="14"/>
      <c r="K299" s="14"/>
      <c r="L299" s="23"/>
      <c r="M299" s="23"/>
      <c r="N299" s="23"/>
      <c r="O299" s="23"/>
      <c r="P299" s="24" t="str">
        <f aca="false">IF($A299="","",L299+M299+N299+O299)</f>
        <v/>
      </c>
      <c r="Q299" s="22" t="str">
        <f aca="false">IF($A299="","",IFERROR(INDEX(Risk!$D$2:$D$301,MATCH($A299,Policy!$A$2:$A$301,0)),0))</f>
        <v/>
      </c>
      <c r="R299" s="24" t="str">
        <f aca="false">IF($A299="","",L299*Q299/100)</f>
        <v/>
      </c>
      <c r="S299" s="24" t="str">
        <f aca="false">IF($A299="","",M299*Q299/100)</f>
        <v/>
      </c>
      <c r="T299" s="24" t="str">
        <f aca="false">IF($A299="","",N299*Q299/100)</f>
        <v/>
      </c>
      <c r="U299" s="24" t="str">
        <f aca="false">IF($A299="","",O299*Q299/100)</f>
        <v/>
      </c>
      <c r="V299" s="24" t="str">
        <f aca="false">IF($A299="","",R299+S299+T299+U299)</f>
        <v/>
      </c>
      <c r="W299" s="14"/>
      <c r="X299" s="15"/>
      <c r="Y299" s="23"/>
      <c r="Z299" s="14"/>
    </row>
    <row r="300" customFormat="false" ht="15" hidden="false" customHeight="false" outlineLevel="0" collapsed="false">
      <c r="A300" s="14"/>
      <c r="B300" s="17" t="str">
        <f aca="false">IF($A300="","",IFERROR(INDEX(Policy!$B$2:$B$301,MATCH($A300,Policy!$A$2:$A$301,0)),"MRO không có"))</f>
        <v/>
      </c>
      <c r="C300" s="17" t="str">
        <f aca="false">IF($A300="","",IFERROR(INDEX(Policy!$E$2:$E$301,MATCH($A300,Policy!$A$2:$A$301,0)),"MRO không có"))</f>
        <v/>
      </c>
      <c r="D300" s="14"/>
      <c r="E300" s="15"/>
      <c r="F300" s="15"/>
      <c r="G300" s="14"/>
      <c r="H300" s="14"/>
      <c r="I300" s="14"/>
      <c r="J300" s="14"/>
      <c r="K300" s="14"/>
      <c r="L300" s="23"/>
      <c r="M300" s="23"/>
      <c r="N300" s="23"/>
      <c r="O300" s="23"/>
      <c r="P300" s="24" t="str">
        <f aca="false">IF($A300="","",L300+M300+N300+O300)</f>
        <v/>
      </c>
      <c r="Q300" s="22" t="str">
        <f aca="false">IF($A300="","",IFERROR(INDEX(Risk!$D$2:$D$301,MATCH($A300,Policy!$A$2:$A$301,0)),0))</f>
        <v/>
      </c>
      <c r="R300" s="24" t="str">
        <f aca="false">IF($A300="","",L300*Q300/100)</f>
        <v/>
      </c>
      <c r="S300" s="24" t="str">
        <f aca="false">IF($A300="","",M300*Q300/100)</f>
        <v/>
      </c>
      <c r="T300" s="24" t="str">
        <f aca="false">IF($A300="","",N300*Q300/100)</f>
        <v/>
      </c>
      <c r="U300" s="24" t="str">
        <f aca="false">IF($A300="","",O300*Q300/100)</f>
        <v/>
      </c>
      <c r="V300" s="24" t="str">
        <f aca="false">IF($A300="","",R300+S300+T300+U300)</f>
        <v/>
      </c>
      <c r="W300" s="14"/>
      <c r="X300" s="15"/>
      <c r="Y300" s="23"/>
      <c r="Z300" s="14"/>
    </row>
    <row r="301" customFormat="false" ht="15" hidden="false" customHeight="false" outlineLevel="0" collapsed="false">
      <c r="A301" s="14"/>
      <c r="B301" s="17" t="str">
        <f aca="false">IF($A301="","",IFERROR(INDEX(Policy!$B$2:$B$301,MATCH($A301,Policy!$A$2:$A$301,0)),"MRO không có"))</f>
        <v/>
      </c>
      <c r="C301" s="17" t="str">
        <f aca="false">IF($A301="","",IFERROR(INDEX(Policy!$E$2:$E$301,MATCH($A301,Policy!$A$2:$A$301,0)),"MRO không có"))</f>
        <v/>
      </c>
      <c r="D301" s="14"/>
      <c r="E301" s="15"/>
      <c r="F301" s="15"/>
      <c r="G301" s="14"/>
      <c r="H301" s="14"/>
      <c r="I301" s="14"/>
      <c r="J301" s="14"/>
      <c r="K301" s="14"/>
      <c r="L301" s="23"/>
      <c r="M301" s="23"/>
      <c r="N301" s="23"/>
      <c r="O301" s="23"/>
      <c r="P301" s="24" t="str">
        <f aca="false">IF($A301="","",L301+M301+N301+O301)</f>
        <v/>
      </c>
      <c r="Q301" s="22" t="str">
        <f aca="false">IF($A301="","",IFERROR(INDEX(Risk!$D$2:$D$301,MATCH($A301,Policy!$A$2:$A$301,0)),0))</f>
        <v/>
      </c>
      <c r="R301" s="24" t="str">
        <f aca="false">IF($A301="","",L301*Q301/100)</f>
        <v/>
      </c>
      <c r="S301" s="24" t="str">
        <f aca="false">IF($A301="","",M301*Q301/100)</f>
        <v/>
      </c>
      <c r="T301" s="24" t="str">
        <f aca="false">IF($A301="","",N301*Q301/100)</f>
        <v/>
      </c>
      <c r="U301" s="24" t="str">
        <f aca="false">IF($A301="","",O301*Q301/100)</f>
        <v/>
      </c>
      <c r="V301" s="24" t="str">
        <f aca="false">IF($A301="","",R301+S301+T301+U301)</f>
        <v/>
      </c>
      <c r="W301" s="14"/>
      <c r="X301" s="15"/>
      <c r="Y301" s="23"/>
      <c r="Z301" s="14"/>
    </row>
  </sheetData>
  <autoFilter ref="A1:Z301"/>
  <conditionalFormatting sqref="F2:F301">
    <cfRule type="expression" priority="2" aboveAverage="0" equalAverage="0" bottom="0" percent="0" rank="0" text="" dxfId="7">
      <formula>AND(F2&lt;&gt;"",IFERROR(OR(F2&lt;INDEX(Policy!$L$2:$L$301,MATCH($A2,Policy!$A$2:$A$301,0)),F2&gt;INDEX(Policy!$M$2:$M$301,MATCH($A2,Policy!$A$2:$A$301,0))),0))</formula>
    </cfRule>
    <cfRule type="expression" priority="3" aboveAverage="0" equalAverage="0" bottom="0" percent="0" rank="0" text="" dxfId="8">
      <formula>AND($A2&lt;&gt;"",F2="")</formula>
    </cfRule>
  </conditionalFormatting>
  <conditionalFormatting sqref="E2:E301">
    <cfRule type="expression" priority="4" aboveAverage="0" equalAverage="0" bottom="0" percent="0" rank="0" text="" dxfId="9">
      <formula>AND(E2&lt;&gt;"",F2&lt;&gt;"",E2&lt;F2)</formula>
    </cfRule>
  </conditionalFormatting>
  <conditionalFormatting sqref="N2:N301">
    <cfRule type="expression" priority="5" aboveAverage="0" equalAverage="0" bottom="0" percent="0" rank="0" text="" dxfId="8">
      <formula>AND($A2&lt;&gt;"",$W2="Open",$P2=0)</formula>
    </cfRule>
  </conditionalFormatting>
  <conditionalFormatting sqref="Z2:Z301">
    <cfRule type="expression" priority="6" aboveAverage="0" equalAverage="0" bottom="0" percent="0" rank="0" text="" dxfId="9">
      <formula>AND(Z2="Paid",R2+S2=0)</formula>
    </cfRule>
  </conditionalFormatting>
  <conditionalFormatting sqref="D2:D301">
    <cfRule type="expression" priority="7" aboveAverage="0" equalAverage="0" bottom="0" percent="0" rank="0" text="" dxfId="8">
      <formula>AND($A2&lt;&gt;"",D2="")</formula>
    </cfRule>
  </conditionalFormatting>
  <conditionalFormatting sqref="I2:I301">
    <cfRule type="expression" priority="8" aboveAverage="0" equalAverage="0" bottom="0" percent="0" rank="0" text="" dxfId="8">
      <formula>AND($A2&lt;&gt;"",I2="")</formula>
    </cfRule>
  </conditionalFormatting>
  <conditionalFormatting sqref="W2:W301">
    <cfRule type="expression" priority="9" aboveAverage="0" equalAverage="0" bottom="0" percent="0" rank="0" text="" dxfId="8">
      <formula>AND($A2&lt;&gt;"",W2="")</formula>
    </cfRule>
  </conditionalFormatting>
  <dataValidations count="14">
    <dataValidation allowBlank="true" error="Chọn MRO đã nhập ở sheet Policy." errorStyle="stop" errorTitle="MRO không có trong Policy" operator="between" showDropDown="false" showErrorMessage="true" showInputMessage="false" sqref="A2:A301" type="list">
      <formula1>Policy!$A$2:$A$301</formula1>
      <formula2>0</formula2>
    </dataValidation>
    <dataValidation allowBlank="true" error="Mỗi hồ sơ bồi thường có một số riêng." errorStyle="stop" errorTitle="Số hồ sơ bị trùng" operator="between" showDropDown="false" showErrorMessage="true" showInputMessage="false" sqref="D2:D301" type="custom">
      <formula1>COUNTIF($D$2:$D$301,D2)=1</formula1>
      <formula2>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E2:E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F2:F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X2:X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I2:I301" type="list">
      <formula1>L_Coverage</formula1>
      <formula2>0</formula2>
    </dataValidation>
    <dataValidation allowBlank="true" error="Chọn Coverage trước; loại tổn thất phải thuộc danh sách của Coverage đó." errorStyle="stop" errorTitle="Loại tổn thất không phù hợp" operator="between" showDropDown="false" showErrorMessage="true" showInputMessage="false" sqref="J2:J301" type="list">
      <formula1>INDIRECT($I2)</formula1>
      <formula2>0</formula2>
    </dataValidation>
    <dataValidation allowBlank="true" error="Nhập số tiền USD." errorStyle="stop" errorTitle="Số không hợp lệ" operator="between" showDropDown="false" showErrorMessage="true" showInputMessage="false" sqref="L2:L301" type="decimal">
      <formula1>-10000000000</formula1>
      <formula2>10000000000</formula2>
    </dataValidation>
    <dataValidation allowBlank="true" error="Nhập số tiền USD." errorStyle="stop" errorTitle="Số không hợp lệ" operator="between" showDropDown="false" showErrorMessage="true" showInputMessage="false" sqref="M2:M301" type="decimal">
      <formula1>-10000000000</formula1>
      <formula2>10000000000</formula2>
    </dataValidation>
    <dataValidation allowBlank="true" error="Nhập số tiền USD." errorStyle="stop" errorTitle="Số không hợp lệ" operator="between" showDropDown="false" showErrorMessage="true" showInputMessage="false" sqref="N2:N301" type="decimal">
      <formula1>-10000000000</formula1>
      <formula2>10000000000</formula2>
    </dataValidation>
    <dataValidation allowBlank="true" error="Nhập số tiền USD." errorStyle="stop" errorTitle="Số không hợp lệ" operator="between" showDropDown="false" showErrorMessage="true" showInputMessage="false" sqref="O2:O301" type="decimal">
      <formula1>-10000000000</formula1>
      <formula2>10000000000</formula2>
    </dataValidation>
    <dataValidation allowBlank="true" error="Nhập số tiền USD." errorStyle="stop" errorTitle="Số không hợp lệ" operator="between" showDropDown="false" showErrorMessage="true" showInputMessage="false" sqref="Y2:Y301" type="decimal">
      <formula1>-10000000000</formula1>
      <formula2>10000000000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W2:W301" type="list">
      <formula1>L_ClaimStatus</formula1>
      <formula2>0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Z2:Z301" type="list">
      <formula1>L_PaidStatus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78" min="4" style="0" width="14"/>
  </cols>
  <sheetData>
    <row r="1" customFormat="false" ht="36" hidden="false" customHeight="true" outlineLevel="0" collapsed="false">
      <c r="A1" s="12" t="s">
        <v>40</v>
      </c>
      <c r="B1" s="13" t="s">
        <v>41</v>
      </c>
      <c r="C1" s="13" t="s">
        <v>44</v>
      </c>
      <c r="D1" s="12" t="s">
        <v>137</v>
      </c>
      <c r="E1" s="12" t="s">
        <v>138</v>
      </c>
      <c r="F1" s="12" t="s">
        <v>139</v>
      </c>
      <c r="G1" s="12" t="s">
        <v>140</v>
      </c>
      <c r="H1" s="12" t="s">
        <v>141</v>
      </c>
      <c r="I1" s="12" t="s">
        <v>142</v>
      </c>
      <c r="J1" s="12" t="s">
        <v>143</v>
      </c>
      <c r="K1" s="12" t="s">
        <v>144</v>
      </c>
      <c r="L1" s="12" t="s">
        <v>145</v>
      </c>
      <c r="M1" s="12" t="s">
        <v>146</v>
      </c>
      <c r="N1" s="12" t="s">
        <v>147</v>
      </c>
      <c r="O1" s="12" t="s">
        <v>148</v>
      </c>
      <c r="P1" s="12" t="s">
        <v>149</v>
      </c>
      <c r="Q1" s="12" t="s">
        <v>150</v>
      </c>
      <c r="R1" s="12" t="s">
        <v>151</v>
      </c>
      <c r="S1" s="12" t="s">
        <v>152</v>
      </c>
      <c r="T1" s="12" t="s">
        <v>153</v>
      </c>
      <c r="U1" s="12" t="s">
        <v>154</v>
      </c>
      <c r="V1" s="12" t="s">
        <v>155</v>
      </c>
      <c r="W1" s="12" t="s">
        <v>156</v>
      </c>
      <c r="X1" s="12" t="s">
        <v>157</v>
      </c>
      <c r="Y1" s="12" t="s">
        <v>158</v>
      </c>
      <c r="Z1" s="12" t="s">
        <v>159</v>
      </c>
      <c r="AA1" s="12" t="s">
        <v>160</v>
      </c>
      <c r="AB1" s="12" t="s">
        <v>161</v>
      </c>
      <c r="AC1" s="12" t="s">
        <v>162</v>
      </c>
      <c r="AD1" s="12" t="s">
        <v>163</v>
      </c>
      <c r="AE1" s="12" t="s">
        <v>164</v>
      </c>
      <c r="AF1" s="12" t="s">
        <v>165</v>
      </c>
      <c r="AG1" s="12" t="s">
        <v>166</v>
      </c>
      <c r="AH1" s="12" t="s">
        <v>167</v>
      </c>
      <c r="AI1" s="12" t="s">
        <v>168</v>
      </c>
      <c r="AJ1" s="12" t="s">
        <v>169</v>
      </c>
      <c r="AK1" s="12" t="s">
        <v>170</v>
      </c>
      <c r="AL1" s="12" t="s">
        <v>171</v>
      </c>
      <c r="AM1" s="12" t="s">
        <v>172</v>
      </c>
      <c r="AN1" s="12" t="s">
        <v>173</v>
      </c>
      <c r="AO1" s="12" t="s">
        <v>174</v>
      </c>
      <c r="AP1" s="12" t="s">
        <v>175</v>
      </c>
      <c r="AQ1" s="12" t="s">
        <v>176</v>
      </c>
      <c r="AR1" s="12" t="s">
        <v>177</v>
      </c>
      <c r="AS1" s="12" t="s">
        <v>178</v>
      </c>
      <c r="AT1" s="12" t="s">
        <v>179</v>
      </c>
      <c r="AU1" s="12" t="s">
        <v>180</v>
      </c>
      <c r="AV1" s="12" t="s">
        <v>181</v>
      </c>
      <c r="AW1" s="12" t="s">
        <v>182</v>
      </c>
      <c r="AX1" s="12" t="s">
        <v>183</v>
      </c>
      <c r="AY1" s="12" t="s">
        <v>184</v>
      </c>
      <c r="AZ1" s="12" t="s">
        <v>185</v>
      </c>
      <c r="BA1" s="12" t="s">
        <v>186</v>
      </c>
      <c r="BB1" s="12" t="s">
        <v>187</v>
      </c>
      <c r="BC1" s="12" t="s">
        <v>188</v>
      </c>
      <c r="BD1" s="12" t="s">
        <v>189</v>
      </c>
      <c r="BE1" s="12" t="s">
        <v>190</v>
      </c>
      <c r="BF1" s="12" t="s">
        <v>191</v>
      </c>
      <c r="BG1" s="12" t="s">
        <v>192</v>
      </c>
      <c r="BH1" s="12" t="s">
        <v>193</v>
      </c>
      <c r="BI1" s="12" t="s">
        <v>194</v>
      </c>
      <c r="BJ1" s="12" t="s">
        <v>195</v>
      </c>
      <c r="BK1" s="12" t="s">
        <v>196</v>
      </c>
      <c r="BL1" s="12" t="s">
        <v>197</v>
      </c>
      <c r="BM1" s="12" t="s">
        <v>198</v>
      </c>
      <c r="BN1" s="12" t="s">
        <v>199</v>
      </c>
      <c r="BO1" s="12" t="s">
        <v>200</v>
      </c>
      <c r="BP1" s="12" t="s">
        <v>201</v>
      </c>
      <c r="BQ1" s="12" t="s">
        <v>202</v>
      </c>
      <c r="BR1" s="12" t="s">
        <v>203</v>
      </c>
      <c r="BS1" s="12" t="s">
        <v>204</v>
      </c>
      <c r="BT1" s="12" t="s">
        <v>205</v>
      </c>
      <c r="BU1" s="12" t="s">
        <v>206</v>
      </c>
      <c r="BV1" s="12" t="s">
        <v>207</v>
      </c>
      <c r="BW1" s="12" t="s">
        <v>208</v>
      </c>
      <c r="BX1" s="12" t="s">
        <v>209</v>
      </c>
      <c r="BY1" s="12" t="s">
        <v>210</v>
      </c>
      <c r="BZ1" s="12" t="s">
        <v>211</v>
      </c>
    </row>
    <row r="2" customFormat="false" ht="15" hidden="false" customHeight="false" outlineLevel="0" collapsed="false">
      <c r="A2" s="14" t="s">
        <v>65</v>
      </c>
      <c r="B2" s="17" t="str">
        <f aca="false">IF($A2="","",IFERROR(INDEX(Policy!$B$2:$B$301,MATCH($A2,Policy!$A$2:$A$301,0)),"MRO không có"))</f>
        <v>AJG</v>
      </c>
      <c r="C2" s="17" t="str">
        <f aca="false">IF($A2="","",IFERROR(INDEX(Policy!$E$2:$E$301,MATCH($A2,Policy!$A$2:$A$301,0)),"MRO không có"))</f>
        <v>VÍ DỤ – xoá dòng này</v>
      </c>
      <c r="D2" s="14"/>
      <c r="E2" s="15"/>
      <c r="F2" s="15" t="n">
        <v>46296</v>
      </c>
      <c r="G2" s="25"/>
      <c r="H2" s="23" t="n">
        <v>3750</v>
      </c>
      <c r="I2" s="15" t="n">
        <v>46327</v>
      </c>
      <c r="J2" s="14" t="s">
        <v>212</v>
      </c>
      <c r="K2" s="23" t="n">
        <v>3750</v>
      </c>
      <c r="L2" s="15" t="n">
        <v>46478</v>
      </c>
      <c r="M2" s="25"/>
      <c r="N2" s="23" t="n">
        <v>3750</v>
      </c>
      <c r="O2" s="15" t="n">
        <v>46508</v>
      </c>
      <c r="P2" s="14" t="s">
        <v>213</v>
      </c>
      <c r="Q2" s="23"/>
      <c r="R2" s="15"/>
      <c r="S2" s="25"/>
      <c r="T2" s="23"/>
      <c r="U2" s="15"/>
      <c r="V2" s="14"/>
      <c r="W2" s="23"/>
      <c r="X2" s="15"/>
      <c r="Y2" s="25"/>
      <c r="Z2" s="23"/>
      <c r="AA2" s="15"/>
      <c r="AB2" s="14"/>
      <c r="AC2" s="23"/>
      <c r="AD2" s="15"/>
      <c r="AE2" s="25"/>
      <c r="AF2" s="23"/>
      <c r="AG2" s="15"/>
      <c r="AH2" s="14"/>
      <c r="AI2" s="23"/>
      <c r="AJ2" s="15"/>
      <c r="AK2" s="25"/>
      <c r="AL2" s="23"/>
      <c r="AM2" s="15"/>
      <c r="AN2" s="14"/>
      <c r="AO2" s="23"/>
      <c r="AP2" s="15"/>
      <c r="AQ2" s="25"/>
      <c r="AR2" s="23"/>
      <c r="AS2" s="15"/>
      <c r="AT2" s="14"/>
      <c r="AU2" s="23"/>
      <c r="AV2" s="15"/>
      <c r="AW2" s="25"/>
      <c r="AX2" s="23"/>
      <c r="AY2" s="15"/>
      <c r="AZ2" s="14"/>
      <c r="BA2" s="23"/>
      <c r="BB2" s="15"/>
      <c r="BC2" s="25"/>
      <c r="BD2" s="23"/>
      <c r="BE2" s="15"/>
      <c r="BF2" s="14"/>
      <c r="BG2" s="23"/>
      <c r="BH2" s="15"/>
      <c r="BI2" s="25"/>
      <c r="BJ2" s="23"/>
      <c r="BK2" s="15"/>
      <c r="BL2" s="14"/>
      <c r="BM2" s="23"/>
      <c r="BN2" s="15"/>
      <c r="BO2" s="25"/>
      <c r="BP2" s="23"/>
      <c r="BQ2" s="15"/>
      <c r="BR2" s="14"/>
      <c r="BS2" s="23"/>
      <c r="BT2" s="15"/>
      <c r="BU2" s="25"/>
      <c r="BV2" s="23"/>
      <c r="BW2" s="15"/>
      <c r="BX2" s="14"/>
      <c r="BY2" s="23"/>
      <c r="BZ2" s="15"/>
    </row>
    <row r="3" customFormat="false" ht="15" hidden="false" customHeight="false" outlineLevel="0" collapsed="false">
      <c r="A3" s="14"/>
      <c r="B3" s="17" t="str">
        <f aca="false">IF($A3="","",IFERROR(INDEX(Policy!$B$2:$B$301,MATCH($A3,Policy!$A$2:$A$301,0)),"MRO không có"))</f>
        <v/>
      </c>
      <c r="C3" s="17" t="str">
        <f aca="false">IF($A3="","",IFERROR(INDEX(Policy!$E$2:$E$301,MATCH($A3,Policy!$A$2:$A$301,0)),"MRO không có"))</f>
        <v/>
      </c>
      <c r="D3" s="14"/>
      <c r="E3" s="15"/>
      <c r="F3" s="15"/>
      <c r="G3" s="25"/>
      <c r="H3" s="23"/>
      <c r="I3" s="15"/>
      <c r="J3" s="14"/>
      <c r="K3" s="23"/>
      <c r="L3" s="15"/>
      <c r="M3" s="25"/>
      <c r="N3" s="23"/>
      <c r="O3" s="15"/>
      <c r="P3" s="14"/>
      <c r="Q3" s="23"/>
      <c r="R3" s="15"/>
      <c r="S3" s="25"/>
      <c r="T3" s="23"/>
      <c r="U3" s="15"/>
      <c r="V3" s="14"/>
      <c r="W3" s="23"/>
      <c r="X3" s="15"/>
      <c r="Y3" s="25"/>
      <c r="Z3" s="23"/>
      <c r="AA3" s="15"/>
      <c r="AB3" s="14"/>
      <c r="AC3" s="23"/>
      <c r="AD3" s="15"/>
      <c r="AE3" s="25"/>
      <c r="AF3" s="23"/>
      <c r="AG3" s="15"/>
      <c r="AH3" s="14"/>
      <c r="AI3" s="23"/>
      <c r="AJ3" s="15"/>
      <c r="AK3" s="25"/>
      <c r="AL3" s="23"/>
      <c r="AM3" s="15"/>
      <c r="AN3" s="14"/>
      <c r="AO3" s="23"/>
      <c r="AP3" s="15"/>
      <c r="AQ3" s="25"/>
      <c r="AR3" s="23"/>
      <c r="AS3" s="15"/>
      <c r="AT3" s="14"/>
      <c r="AU3" s="23"/>
      <c r="AV3" s="15"/>
      <c r="AW3" s="25"/>
      <c r="AX3" s="23"/>
      <c r="AY3" s="15"/>
      <c r="AZ3" s="14"/>
      <c r="BA3" s="23"/>
      <c r="BB3" s="15"/>
      <c r="BC3" s="25"/>
      <c r="BD3" s="23"/>
      <c r="BE3" s="15"/>
      <c r="BF3" s="14"/>
      <c r="BG3" s="23"/>
      <c r="BH3" s="15"/>
      <c r="BI3" s="25"/>
      <c r="BJ3" s="23"/>
      <c r="BK3" s="15"/>
      <c r="BL3" s="14"/>
      <c r="BM3" s="23"/>
      <c r="BN3" s="15"/>
      <c r="BO3" s="25"/>
      <c r="BP3" s="23"/>
      <c r="BQ3" s="15"/>
      <c r="BR3" s="14"/>
      <c r="BS3" s="23"/>
      <c r="BT3" s="15"/>
      <c r="BU3" s="25"/>
      <c r="BV3" s="23"/>
      <c r="BW3" s="15"/>
      <c r="BX3" s="14"/>
      <c r="BY3" s="23"/>
      <c r="BZ3" s="15"/>
    </row>
    <row r="4" customFormat="false" ht="15" hidden="false" customHeight="false" outlineLevel="0" collapsed="false">
      <c r="A4" s="14"/>
      <c r="B4" s="17" t="str">
        <f aca="false">IF($A4="","",IFERROR(INDEX(Policy!$B$2:$B$301,MATCH($A4,Policy!$A$2:$A$301,0)),"MRO không có"))</f>
        <v/>
      </c>
      <c r="C4" s="17" t="str">
        <f aca="false">IF($A4="","",IFERROR(INDEX(Policy!$E$2:$E$301,MATCH($A4,Policy!$A$2:$A$301,0)),"MRO không có"))</f>
        <v/>
      </c>
      <c r="D4" s="14"/>
      <c r="E4" s="15"/>
      <c r="F4" s="15"/>
      <c r="G4" s="25"/>
      <c r="H4" s="23"/>
      <c r="I4" s="15"/>
      <c r="J4" s="14"/>
      <c r="K4" s="23"/>
      <c r="L4" s="15"/>
      <c r="M4" s="25"/>
      <c r="N4" s="23"/>
      <c r="O4" s="15"/>
      <c r="P4" s="14"/>
      <c r="Q4" s="23"/>
      <c r="R4" s="15"/>
      <c r="S4" s="25"/>
      <c r="T4" s="23"/>
      <c r="U4" s="15"/>
      <c r="V4" s="14"/>
      <c r="W4" s="23"/>
      <c r="X4" s="15"/>
      <c r="Y4" s="25"/>
      <c r="Z4" s="23"/>
      <c r="AA4" s="15"/>
      <c r="AB4" s="14"/>
      <c r="AC4" s="23"/>
      <c r="AD4" s="15"/>
      <c r="AE4" s="25"/>
      <c r="AF4" s="23"/>
      <c r="AG4" s="15"/>
      <c r="AH4" s="14"/>
      <c r="AI4" s="23"/>
      <c r="AJ4" s="15"/>
      <c r="AK4" s="25"/>
      <c r="AL4" s="23"/>
      <c r="AM4" s="15"/>
      <c r="AN4" s="14"/>
      <c r="AO4" s="23"/>
      <c r="AP4" s="15"/>
      <c r="AQ4" s="25"/>
      <c r="AR4" s="23"/>
      <c r="AS4" s="15"/>
      <c r="AT4" s="14"/>
      <c r="AU4" s="23"/>
      <c r="AV4" s="15"/>
      <c r="AW4" s="25"/>
      <c r="AX4" s="23"/>
      <c r="AY4" s="15"/>
      <c r="AZ4" s="14"/>
      <c r="BA4" s="23"/>
      <c r="BB4" s="15"/>
      <c r="BC4" s="25"/>
      <c r="BD4" s="23"/>
      <c r="BE4" s="15"/>
      <c r="BF4" s="14"/>
      <c r="BG4" s="23"/>
      <c r="BH4" s="15"/>
      <c r="BI4" s="25"/>
      <c r="BJ4" s="23"/>
      <c r="BK4" s="15"/>
      <c r="BL4" s="14"/>
      <c r="BM4" s="23"/>
      <c r="BN4" s="15"/>
      <c r="BO4" s="25"/>
      <c r="BP4" s="23"/>
      <c r="BQ4" s="15"/>
      <c r="BR4" s="14"/>
      <c r="BS4" s="23"/>
      <c r="BT4" s="15"/>
      <c r="BU4" s="25"/>
      <c r="BV4" s="23"/>
      <c r="BW4" s="15"/>
      <c r="BX4" s="14"/>
      <c r="BY4" s="23"/>
      <c r="BZ4" s="15"/>
    </row>
    <row r="5" customFormat="false" ht="15" hidden="false" customHeight="false" outlineLevel="0" collapsed="false">
      <c r="A5" s="14"/>
      <c r="B5" s="17" t="str">
        <f aca="false">IF($A5="","",IFERROR(INDEX(Policy!$B$2:$B$301,MATCH($A5,Policy!$A$2:$A$301,0)),"MRO không có"))</f>
        <v/>
      </c>
      <c r="C5" s="17" t="str">
        <f aca="false">IF($A5="","",IFERROR(INDEX(Policy!$E$2:$E$301,MATCH($A5,Policy!$A$2:$A$301,0)),"MRO không có"))</f>
        <v/>
      </c>
      <c r="D5" s="14"/>
      <c r="E5" s="15"/>
      <c r="F5" s="15"/>
      <c r="G5" s="25"/>
      <c r="H5" s="23"/>
      <c r="I5" s="15"/>
      <c r="J5" s="14"/>
      <c r="K5" s="23"/>
      <c r="L5" s="15"/>
      <c r="M5" s="25"/>
      <c r="N5" s="23"/>
      <c r="O5" s="15"/>
      <c r="P5" s="14"/>
      <c r="Q5" s="23"/>
      <c r="R5" s="15"/>
      <c r="S5" s="25"/>
      <c r="T5" s="23"/>
      <c r="U5" s="15"/>
      <c r="V5" s="14"/>
      <c r="W5" s="23"/>
      <c r="X5" s="15"/>
      <c r="Y5" s="25"/>
      <c r="Z5" s="23"/>
      <c r="AA5" s="15"/>
      <c r="AB5" s="14"/>
      <c r="AC5" s="23"/>
      <c r="AD5" s="15"/>
      <c r="AE5" s="25"/>
      <c r="AF5" s="23"/>
      <c r="AG5" s="15"/>
      <c r="AH5" s="14"/>
      <c r="AI5" s="23"/>
      <c r="AJ5" s="15"/>
      <c r="AK5" s="25"/>
      <c r="AL5" s="23"/>
      <c r="AM5" s="15"/>
      <c r="AN5" s="14"/>
      <c r="AO5" s="23"/>
      <c r="AP5" s="15"/>
      <c r="AQ5" s="25"/>
      <c r="AR5" s="23"/>
      <c r="AS5" s="15"/>
      <c r="AT5" s="14"/>
      <c r="AU5" s="23"/>
      <c r="AV5" s="15"/>
      <c r="AW5" s="25"/>
      <c r="AX5" s="23"/>
      <c r="AY5" s="15"/>
      <c r="AZ5" s="14"/>
      <c r="BA5" s="23"/>
      <c r="BB5" s="15"/>
      <c r="BC5" s="25"/>
      <c r="BD5" s="23"/>
      <c r="BE5" s="15"/>
      <c r="BF5" s="14"/>
      <c r="BG5" s="23"/>
      <c r="BH5" s="15"/>
      <c r="BI5" s="25"/>
      <c r="BJ5" s="23"/>
      <c r="BK5" s="15"/>
      <c r="BL5" s="14"/>
      <c r="BM5" s="23"/>
      <c r="BN5" s="15"/>
      <c r="BO5" s="25"/>
      <c r="BP5" s="23"/>
      <c r="BQ5" s="15"/>
      <c r="BR5" s="14"/>
      <c r="BS5" s="23"/>
      <c r="BT5" s="15"/>
      <c r="BU5" s="25"/>
      <c r="BV5" s="23"/>
      <c r="BW5" s="15"/>
      <c r="BX5" s="14"/>
      <c r="BY5" s="23"/>
      <c r="BZ5" s="15"/>
    </row>
    <row r="6" customFormat="false" ht="15" hidden="false" customHeight="false" outlineLevel="0" collapsed="false">
      <c r="A6" s="14"/>
      <c r="B6" s="17" t="str">
        <f aca="false">IF($A6="","",IFERROR(INDEX(Policy!$B$2:$B$301,MATCH($A6,Policy!$A$2:$A$301,0)),"MRO không có"))</f>
        <v/>
      </c>
      <c r="C6" s="17" t="str">
        <f aca="false">IF($A6="","",IFERROR(INDEX(Policy!$E$2:$E$301,MATCH($A6,Policy!$A$2:$A$301,0)),"MRO không có"))</f>
        <v/>
      </c>
      <c r="D6" s="14"/>
      <c r="E6" s="15"/>
      <c r="F6" s="15"/>
      <c r="G6" s="25"/>
      <c r="H6" s="23"/>
      <c r="I6" s="15"/>
      <c r="J6" s="14"/>
      <c r="K6" s="23"/>
      <c r="L6" s="15"/>
      <c r="M6" s="25"/>
      <c r="N6" s="23"/>
      <c r="O6" s="15"/>
      <c r="P6" s="14"/>
      <c r="Q6" s="23"/>
      <c r="R6" s="15"/>
      <c r="S6" s="25"/>
      <c r="T6" s="23"/>
      <c r="U6" s="15"/>
      <c r="V6" s="14"/>
      <c r="W6" s="23"/>
      <c r="X6" s="15"/>
      <c r="Y6" s="25"/>
      <c r="Z6" s="23"/>
      <c r="AA6" s="15"/>
      <c r="AB6" s="14"/>
      <c r="AC6" s="23"/>
      <c r="AD6" s="15"/>
      <c r="AE6" s="25"/>
      <c r="AF6" s="23"/>
      <c r="AG6" s="15"/>
      <c r="AH6" s="14"/>
      <c r="AI6" s="23"/>
      <c r="AJ6" s="15"/>
      <c r="AK6" s="25"/>
      <c r="AL6" s="23"/>
      <c r="AM6" s="15"/>
      <c r="AN6" s="14"/>
      <c r="AO6" s="23"/>
      <c r="AP6" s="15"/>
      <c r="AQ6" s="25"/>
      <c r="AR6" s="23"/>
      <c r="AS6" s="15"/>
      <c r="AT6" s="14"/>
      <c r="AU6" s="23"/>
      <c r="AV6" s="15"/>
      <c r="AW6" s="25"/>
      <c r="AX6" s="23"/>
      <c r="AY6" s="15"/>
      <c r="AZ6" s="14"/>
      <c r="BA6" s="23"/>
      <c r="BB6" s="15"/>
      <c r="BC6" s="25"/>
      <c r="BD6" s="23"/>
      <c r="BE6" s="15"/>
      <c r="BF6" s="14"/>
      <c r="BG6" s="23"/>
      <c r="BH6" s="15"/>
      <c r="BI6" s="25"/>
      <c r="BJ6" s="23"/>
      <c r="BK6" s="15"/>
      <c r="BL6" s="14"/>
      <c r="BM6" s="23"/>
      <c r="BN6" s="15"/>
      <c r="BO6" s="25"/>
      <c r="BP6" s="23"/>
      <c r="BQ6" s="15"/>
      <c r="BR6" s="14"/>
      <c r="BS6" s="23"/>
      <c r="BT6" s="15"/>
      <c r="BU6" s="25"/>
      <c r="BV6" s="23"/>
      <c r="BW6" s="15"/>
      <c r="BX6" s="14"/>
      <c r="BY6" s="23"/>
      <c r="BZ6" s="15"/>
    </row>
    <row r="7" customFormat="false" ht="15" hidden="false" customHeight="false" outlineLevel="0" collapsed="false">
      <c r="A7" s="14"/>
      <c r="B7" s="17" t="str">
        <f aca="false">IF($A7="","",IFERROR(INDEX(Policy!$B$2:$B$301,MATCH($A7,Policy!$A$2:$A$301,0)),"MRO không có"))</f>
        <v/>
      </c>
      <c r="C7" s="17" t="str">
        <f aca="false">IF($A7="","",IFERROR(INDEX(Policy!$E$2:$E$301,MATCH($A7,Policy!$A$2:$A$301,0)),"MRO không có"))</f>
        <v/>
      </c>
      <c r="D7" s="14"/>
      <c r="E7" s="15"/>
      <c r="F7" s="15"/>
      <c r="G7" s="25"/>
      <c r="H7" s="23"/>
      <c r="I7" s="15"/>
      <c r="J7" s="14"/>
      <c r="K7" s="23"/>
      <c r="L7" s="15"/>
      <c r="M7" s="25"/>
      <c r="N7" s="23"/>
      <c r="O7" s="15"/>
      <c r="P7" s="14"/>
      <c r="Q7" s="23"/>
      <c r="R7" s="15"/>
      <c r="S7" s="25"/>
      <c r="T7" s="23"/>
      <c r="U7" s="15"/>
      <c r="V7" s="14"/>
      <c r="W7" s="23"/>
      <c r="X7" s="15"/>
      <c r="Y7" s="25"/>
      <c r="Z7" s="23"/>
      <c r="AA7" s="15"/>
      <c r="AB7" s="14"/>
      <c r="AC7" s="23"/>
      <c r="AD7" s="15"/>
      <c r="AE7" s="25"/>
      <c r="AF7" s="23"/>
      <c r="AG7" s="15"/>
      <c r="AH7" s="14"/>
      <c r="AI7" s="23"/>
      <c r="AJ7" s="15"/>
      <c r="AK7" s="25"/>
      <c r="AL7" s="23"/>
      <c r="AM7" s="15"/>
      <c r="AN7" s="14"/>
      <c r="AO7" s="23"/>
      <c r="AP7" s="15"/>
      <c r="AQ7" s="25"/>
      <c r="AR7" s="23"/>
      <c r="AS7" s="15"/>
      <c r="AT7" s="14"/>
      <c r="AU7" s="23"/>
      <c r="AV7" s="15"/>
      <c r="AW7" s="25"/>
      <c r="AX7" s="23"/>
      <c r="AY7" s="15"/>
      <c r="AZ7" s="14"/>
      <c r="BA7" s="23"/>
      <c r="BB7" s="15"/>
      <c r="BC7" s="25"/>
      <c r="BD7" s="23"/>
      <c r="BE7" s="15"/>
      <c r="BF7" s="14"/>
      <c r="BG7" s="23"/>
      <c r="BH7" s="15"/>
      <c r="BI7" s="25"/>
      <c r="BJ7" s="23"/>
      <c r="BK7" s="15"/>
      <c r="BL7" s="14"/>
      <c r="BM7" s="23"/>
      <c r="BN7" s="15"/>
      <c r="BO7" s="25"/>
      <c r="BP7" s="23"/>
      <c r="BQ7" s="15"/>
      <c r="BR7" s="14"/>
      <c r="BS7" s="23"/>
      <c r="BT7" s="15"/>
      <c r="BU7" s="25"/>
      <c r="BV7" s="23"/>
      <c r="BW7" s="15"/>
      <c r="BX7" s="14"/>
      <c r="BY7" s="23"/>
      <c r="BZ7" s="15"/>
    </row>
    <row r="8" customFormat="false" ht="15" hidden="false" customHeight="false" outlineLevel="0" collapsed="false">
      <c r="A8" s="14"/>
      <c r="B8" s="17" t="str">
        <f aca="false">IF($A8="","",IFERROR(INDEX(Policy!$B$2:$B$301,MATCH($A8,Policy!$A$2:$A$301,0)),"MRO không có"))</f>
        <v/>
      </c>
      <c r="C8" s="17" t="str">
        <f aca="false">IF($A8="","",IFERROR(INDEX(Policy!$E$2:$E$301,MATCH($A8,Policy!$A$2:$A$301,0)),"MRO không có"))</f>
        <v/>
      </c>
      <c r="D8" s="14"/>
      <c r="E8" s="15"/>
      <c r="F8" s="15"/>
      <c r="G8" s="25"/>
      <c r="H8" s="23"/>
      <c r="I8" s="15"/>
      <c r="J8" s="14"/>
      <c r="K8" s="23"/>
      <c r="L8" s="15"/>
      <c r="M8" s="25"/>
      <c r="N8" s="23"/>
      <c r="O8" s="15"/>
      <c r="P8" s="14"/>
      <c r="Q8" s="23"/>
      <c r="R8" s="15"/>
      <c r="S8" s="25"/>
      <c r="T8" s="23"/>
      <c r="U8" s="15"/>
      <c r="V8" s="14"/>
      <c r="W8" s="23"/>
      <c r="X8" s="15"/>
      <c r="Y8" s="25"/>
      <c r="Z8" s="23"/>
      <c r="AA8" s="15"/>
      <c r="AB8" s="14"/>
      <c r="AC8" s="23"/>
      <c r="AD8" s="15"/>
      <c r="AE8" s="25"/>
      <c r="AF8" s="23"/>
      <c r="AG8" s="15"/>
      <c r="AH8" s="14"/>
      <c r="AI8" s="23"/>
      <c r="AJ8" s="15"/>
      <c r="AK8" s="25"/>
      <c r="AL8" s="23"/>
      <c r="AM8" s="15"/>
      <c r="AN8" s="14"/>
      <c r="AO8" s="23"/>
      <c r="AP8" s="15"/>
      <c r="AQ8" s="25"/>
      <c r="AR8" s="23"/>
      <c r="AS8" s="15"/>
      <c r="AT8" s="14"/>
      <c r="AU8" s="23"/>
      <c r="AV8" s="15"/>
      <c r="AW8" s="25"/>
      <c r="AX8" s="23"/>
      <c r="AY8" s="15"/>
      <c r="AZ8" s="14"/>
      <c r="BA8" s="23"/>
      <c r="BB8" s="15"/>
      <c r="BC8" s="25"/>
      <c r="BD8" s="23"/>
      <c r="BE8" s="15"/>
      <c r="BF8" s="14"/>
      <c r="BG8" s="23"/>
      <c r="BH8" s="15"/>
      <c r="BI8" s="25"/>
      <c r="BJ8" s="23"/>
      <c r="BK8" s="15"/>
      <c r="BL8" s="14"/>
      <c r="BM8" s="23"/>
      <c r="BN8" s="15"/>
      <c r="BO8" s="25"/>
      <c r="BP8" s="23"/>
      <c r="BQ8" s="15"/>
      <c r="BR8" s="14"/>
      <c r="BS8" s="23"/>
      <c r="BT8" s="15"/>
      <c r="BU8" s="25"/>
      <c r="BV8" s="23"/>
      <c r="BW8" s="15"/>
      <c r="BX8" s="14"/>
      <c r="BY8" s="23"/>
      <c r="BZ8" s="15"/>
    </row>
    <row r="9" customFormat="false" ht="15" hidden="false" customHeight="false" outlineLevel="0" collapsed="false">
      <c r="A9" s="14"/>
      <c r="B9" s="17" t="str">
        <f aca="false">IF($A9="","",IFERROR(INDEX(Policy!$B$2:$B$301,MATCH($A9,Policy!$A$2:$A$301,0)),"MRO không có"))</f>
        <v/>
      </c>
      <c r="C9" s="17" t="str">
        <f aca="false">IF($A9="","",IFERROR(INDEX(Policy!$E$2:$E$301,MATCH($A9,Policy!$A$2:$A$301,0)),"MRO không có"))</f>
        <v/>
      </c>
      <c r="D9" s="14"/>
      <c r="E9" s="15"/>
      <c r="F9" s="15"/>
      <c r="G9" s="25"/>
      <c r="H9" s="23"/>
      <c r="I9" s="15"/>
      <c r="J9" s="14"/>
      <c r="K9" s="23"/>
      <c r="L9" s="15"/>
      <c r="M9" s="25"/>
      <c r="N9" s="23"/>
      <c r="O9" s="15"/>
      <c r="P9" s="14"/>
      <c r="Q9" s="23"/>
      <c r="R9" s="15"/>
      <c r="S9" s="25"/>
      <c r="T9" s="23"/>
      <c r="U9" s="15"/>
      <c r="V9" s="14"/>
      <c r="W9" s="23"/>
      <c r="X9" s="15"/>
      <c r="Y9" s="25"/>
      <c r="Z9" s="23"/>
      <c r="AA9" s="15"/>
      <c r="AB9" s="14"/>
      <c r="AC9" s="23"/>
      <c r="AD9" s="15"/>
      <c r="AE9" s="25"/>
      <c r="AF9" s="23"/>
      <c r="AG9" s="15"/>
      <c r="AH9" s="14"/>
      <c r="AI9" s="23"/>
      <c r="AJ9" s="15"/>
      <c r="AK9" s="25"/>
      <c r="AL9" s="23"/>
      <c r="AM9" s="15"/>
      <c r="AN9" s="14"/>
      <c r="AO9" s="23"/>
      <c r="AP9" s="15"/>
      <c r="AQ9" s="25"/>
      <c r="AR9" s="23"/>
      <c r="AS9" s="15"/>
      <c r="AT9" s="14"/>
      <c r="AU9" s="23"/>
      <c r="AV9" s="15"/>
      <c r="AW9" s="25"/>
      <c r="AX9" s="23"/>
      <c r="AY9" s="15"/>
      <c r="AZ9" s="14"/>
      <c r="BA9" s="23"/>
      <c r="BB9" s="15"/>
      <c r="BC9" s="25"/>
      <c r="BD9" s="23"/>
      <c r="BE9" s="15"/>
      <c r="BF9" s="14"/>
      <c r="BG9" s="23"/>
      <c r="BH9" s="15"/>
      <c r="BI9" s="25"/>
      <c r="BJ9" s="23"/>
      <c r="BK9" s="15"/>
      <c r="BL9" s="14"/>
      <c r="BM9" s="23"/>
      <c r="BN9" s="15"/>
      <c r="BO9" s="25"/>
      <c r="BP9" s="23"/>
      <c r="BQ9" s="15"/>
      <c r="BR9" s="14"/>
      <c r="BS9" s="23"/>
      <c r="BT9" s="15"/>
      <c r="BU9" s="25"/>
      <c r="BV9" s="23"/>
      <c r="BW9" s="15"/>
      <c r="BX9" s="14"/>
      <c r="BY9" s="23"/>
      <c r="BZ9" s="15"/>
    </row>
    <row r="10" customFormat="false" ht="15" hidden="false" customHeight="false" outlineLevel="0" collapsed="false">
      <c r="A10" s="14"/>
      <c r="B10" s="17" t="str">
        <f aca="false">IF($A10="","",IFERROR(INDEX(Policy!$B$2:$B$301,MATCH($A10,Policy!$A$2:$A$301,0)),"MRO không có"))</f>
        <v/>
      </c>
      <c r="C10" s="17" t="str">
        <f aca="false">IF($A10="","",IFERROR(INDEX(Policy!$E$2:$E$301,MATCH($A10,Policy!$A$2:$A$301,0)),"MRO không có"))</f>
        <v/>
      </c>
      <c r="D10" s="14"/>
      <c r="E10" s="15"/>
      <c r="F10" s="15"/>
      <c r="G10" s="25"/>
      <c r="H10" s="23"/>
      <c r="I10" s="15"/>
      <c r="J10" s="14"/>
      <c r="K10" s="23"/>
      <c r="L10" s="15"/>
      <c r="M10" s="25"/>
      <c r="N10" s="23"/>
      <c r="O10" s="15"/>
      <c r="P10" s="14"/>
      <c r="Q10" s="23"/>
      <c r="R10" s="15"/>
      <c r="S10" s="25"/>
      <c r="T10" s="23"/>
      <c r="U10" s="15"/>
      <c r="V10" s="14"/>
      <c r="W10" s="23"/>
      <c r="X10" s="15"/>
      <c r="Y10" s="25"/>
      <c r="Z10" s="23"/>
      <c r="AA10" s="15"/>
      <c r="AB10" s="14"/>
      <c r="AC10" s="23"/>
      <c r="AD10" s="15"/>
      <c r="AE10" s="25"/>
      <c r="AF10" s="23"/>
      <c r="AG10" s="15"/>
      <c r="AH10" s="14"/>
      <c r="AI10" s="23"/>
      <c r="AJ10" s="15"/>
      <c r="AK10" s="25"/>
      <c r="AL10" s="23"/>
      <c r="AM10" s="15"/>
      <c r="AN10" s="14"/>
      <c r="AO10" s="23"/>
      <c r="AP10" s="15"/>
      <c r="AQ10" s="25"/>
      <c r="AR10" s="23"/>
      <c r="AS10" s="15"/>
      <c r="AT10" s="14"/>
      <c r="AU10" s="23"/>
      <c r="AV10" s="15"/>
      <c r="AW10" s="25"/>
      <c r="AX10" s="23"/>
      <c r="AY10" s="15"/>
      <c r="AZ10" s="14"/>
      <c r="BA10" s="23"/>
      <c r="BB10" s="15"/>
      <c r="BC10" s="25"/>
      <c r="BD10" s="23"/>
      <c r="BE10" s="15"/>
      <c r="BF10" s="14"/>
      <c r="BG10" s="23"/>
      <c r="BH10" s="15"/>
      <c r="BI10" s="25"/>
      <c r="BJ10" s="23"/>
      <c r="BK10" s="15"/>
      <c r="BL10" s="14"/>
      <c r="BM10" s="23"/>
      <c r="BN10" s="15"/>
      <c r="BO10" s="25"/>
      <c r="BP10" s="23"/>
      <c r="BQ10" s="15"/>
      <c r="BR10" s="14"/>
      <c r="BS10" s="23"/>
      <c r="BT10" s="15"/>
      <c r="BU10" s="25"/>
      <c r="BV10" s="23"/>
      <c r="BW10" s="15"/>
      <c r="BX10" s="14"/>
      <c r="BY10" s="23"/>
      <c r="BZ10" s="15"/>
    </row>
    <row r="11" customFormat="false" ht="15" hidden="false" customHeight="false" outlineLevel="0" collapsed="false">
      <c r="A11" s="14"/>
      <c r="B11" s="17" t="str">
        <f aca="false">IF($A11="","",IFERROR(INDEX(Policy!$B$2:$B$301,MATCH($A11,Policy!$A$2:$A$301,0)),"MRO không có"))</f>
        <v/>
      </c>
      <c r="C11" s="17" t="str">
        <f aca="false">IF($A11="","",IFERROR(INDEX(Policy!$E$2:$E$301,MATCH($A11,Policy!$A$2:$A$301,0)),"MRO không có"))</f>
        <v/>
      </c>
      <c r="D11" s="14"/>
      <c r="E11" s="15"/>
      <c r="F11" s="15"/>
      <c r="G11" s="25"/>
      <c r="H11" s="23"/>
      <c r="I11" s="15"/>
      <c r="J11" s="14"/>
      <c r="K11" s="23"/>
      <c r="L11" s="15"/>
      <c r="M11" s="25"/>
      <c r="N11" s="23"/>
      <c r="O11" s="15"/>
      <c r="P11" s="14"/>
      <c r="Q11" s="23"/>
      <c r="R11" s="15"/>
      <c r="S11" s="25"/>
      <c r="T11" s="23"/>
      <c r="U11" s="15"/>
      <c r="V11" s="14"/>
      <c r="W11" s="23"/>
      <c r="X11" s="15"/>
      <c r="Y11" s="25"/>
      <c r="Z11" s="23"/>
      <c r="AA11" s="15"/>
      <c r="AB11" s="14"/>
      <c r="AC11" s="23"/>
      <c r="AD11" s="15"/>
      <c r="AE11" s="25"/>
      <c r="AF11" s="23"/>
      <c r="AG11" s="15"/>
      <c r="AH11" s="14"/>
      <c r="AI11" s="23"/>
      <c r="AJ11" s="15"/>
      <c r="AK11" s="25"/>
      <c r="AL11" s="23"/>
      <c r="AM11" s="15"/>
      <c r="AN11" s="14"/>
      <c r="AO11" s="23"/>
      <c r="AP11" s="15"/>
      <c r="AQ11" s="25"/>
      <c r="AR11" s="23"/>
      <c r="AS11" s="15"/>
      <c r="AT11" s="14"/>
      <c r="AU11" s="23"/>
      <c r="AV11" s="15"/>
      <c r="AW11" s="25"/>
      <c r="AX11" s="23"/>
      <c r="AY11" s="15"/>
      <c r="AZ11" s="14"/>
      <c r="BA11" s="23"/>
      <c r="BB11" s="15"/>
      <c r="BC11" s="25"/>
      <c r="BD11" s="23"/>
      <c r="BE11" s="15"/>
      <c r="BF11" s="14"/>
      <c r="BG11" s="23"/>
      <c r="BH11" s="15"/>
      <c r="BI11" s="25"/>
      <c r="BJ11" s="23"/>
      <c r="BK11" s="15"/>
      <c r="BL11" s="14"/>
      <c r="BM11" s="23"/>
      <c r="BN11" s="15"/>
      <c r="BO11" s="25"/>
      <c r="BP11" s="23"/>
      <c r="BQ11" s="15"/>
      <c r="BR11" s="14"/>
      <c r="BS11" s="23"/>
      <c r="BT11" s="15"/>
      <c r="BU11" s="25"/>
      <c r="BV11" s="23"/>
      <c r="BW11" s="15"/>
      <c r="BX11" s="14"/>
      <c r="BY11" s="23"/>
      <c r="BZ11" s="15"/>
    </row>
    <row r="12" customFormat="false" ht="15" hidden="false" customHeight="false" outlineLevel="0" collapsed="false">
      <c r="A12" s="14"/>
      <c r="B12" s="17" t="str">
        <f aca="false">IF($A12="","",IFERROR(INDEX(Policy!$B$2:$B$301,MATCH($A12,Policy!$A$2:$A$301,0)),"MRO không có"))</f>
        <v/>
      </c>
      <c r="C12" s="17" t="str">
        <f aca="false">IF($A12="","",IFERROR(INDEX(Policy!$E$2:$E$301,MATCH($A12,Policy!$A$2:$A$301,0)),"MRO không có"))</f>
        <v/>
      </c>
      <c r="D12" s="14"/>
      <c r="E12" s="15"/>
      <c r="F12" s="15"/>
      <c r="G12" s="25"/>
      <c r="H12" s="23"/>
      <c r="I12" s="15"/>
      <c r="J12" s="14"/>
      <c r="K12" s="23"/>
      <c r="L12" s="15"/>
      <c r="M12" s="25"/>
      <c r="N12" s="23"/>
      <c r="O12" s="15"/>
      <c r="P12" s="14"/>
      <c r="Q12" s="23"/>
      <c r="R12" s="15"/>
      <c r="S12" s="25"/>
      <c r="T12" s="23"/>
      <c r="U12" s="15"/>
      <c r="V12" s="14"/>
      <c r="W12" s="23"/>
      <c r="X12" s="15"/>
      <c r="Y12" s="25"/>
      <c r="Z12" s="23"/>
      <c r="AA12" s="15"/>
      <c r="AB12" s="14"/>
      <c r="AC12" s="23"/>
      <c r="AD12" s="15"/>
      <c r="AE12" s="25"/>
      <c r="AF12" s="23"/>
      <c r="AG12" s="15"/>
      <c r="AH12" s="14"/>
      <c r="AI12" s="23"/>
      <c r="AJ12" s="15"/>
      <c r="AK12" s="25"/>
      <c r="AL12" s="23"/>
      <c r="AM12" s="15"/>
      <c r="AN12" s="14"/>
      <c r="AO12" s="23"/>
      <c r="AP12" s="15"/>
      <c r="AQ12" s="25"/>
      <c r="AR12" s="23"/>
      <c r="AS12" s="15"/>
      <c r="AT12" s="14"/>
      <c r="AU12" s="23"/>
      <c r="AV12" s="15"/>
      <c r="AW12" s="25"/>
      <c r="AX12" s="23"/>
      <c r="AY12" s="15"/>
      <c r="AZ12" s="14"/>
      <c r="BA12" s="23"/>
      <c r="BB12" s="15"/>
      <c r="BC12" s="25"/>
      <c r="BD12" s="23"/>
      <c r="BE12" s="15"/>
      <c r="BF12" s="14"/>
      <c r="BG12" s="23"/>
      <c r="BH12" s="15"/>
      <c r="BI12" s="25"/>
      <c r="BJ12" s="23"/>
      <c r="BK12" s="15"/>
      <c r="BL12" s="14"/>
      <c r="BM12" s="23"/>
      <c r="BN12" s="15"/>
      <c r="BO12" s="25"/>
      <c r="BP12" s="23"/>
      <c r="BQ12" s="15"/>
      <c r="BR12" s="14"/>
      <c r="BS12" s="23"/>
      <c r="BT12" s="15"/>
      <c r="BU12" s="25"/>
      <c r="BV12" s="23"/>
      <c r="BW12" s="15"/>
      <c r="BX12" s="14"/>
      <c r="BY12" s="23"/>
      <c r="BZ12" s="15"/>
    </row>
    <row r="13" customFormat="false" ht="15" hidden="false" customHeight="false" outlineLevel="0" collapsed="false">
      <c r="A13" s="14"/>
      <c r="B13" s="17" t="str">
        <f aca="false">IF($A13="","",IFERROR(INDEX(Policy!$B$2:$B$301,MATCH($A13,Policy!$A$2:$A$301,0)),"MRO không có"))</f>
        <v/>
      </c>
      <c r="C13" s="17" t="str">
        <f aca="false">IF($A13="","",IFERROR(INDEX(Policy!$E$2:$E$301,MATCH($A13,Policy!$A$2:$A$301,0)),"MRO không có"))</f>
        <v/>
      </c>
      <c r="D13" s="14"/>
      <c r="E13" s="15"/>
      <c r="F13" s="15"/>
      <c r="G13" s="25"/>
      <c r="H13" s="23"/>
      <c r="I13" s="15"/>
      <c r="J13" s="14"/>
      <c r="K13" s="23"/>
      <c r="L13" s="15"/>
      <c r="M13" s="25"/>
      <c r="N13" s="23"/>
      <c r="O13" s="15"/>
      <c r="P13" s="14"/>
      <c r="Q13" s="23"/>
      <c r="R13" s="15"/>
      <c r="S13" s="25"/>
      <c r="T13" s="23"/>
      <c r="U13" s="15"/>
      <c r="V13" s="14"/>
      <c r="W13" s="23"/>
      <c r="X13" s="15"/>
      <c r="Y13" s="25"/>
      <c r="Z13" s="23"/>
      <c r="AA13" s="15"/>
      <c r="AB13" s="14"/>
      <c r="AC13" s="23"/>
      <c r="AD13" s="15"/>
      <c r="AE13" s="25"/>
      <c r="AF13" s="23"/>
      <c r="AG13" s="15"/>
      <c r="AH13" s="14"/>
      <c r="AI13" s="23"/>
      <c r="AJ13" s="15"/>
      <c r="AK13" s="25"/>
      <c r="AL13" s="23"/>
      <c r="AM13" s="15"/>
      <c r="AN13" s="14"/>
      <c r="AO13" s="23"/>
      <c r="AP13" s="15"/>
      <c r="AQ13" s="25"/>
      <c r="AR13" s="23"/>
      <c r="AS13" s="15"/>
      <c r="AT13" s="14"/>
      <c r="AU13" s="23"/>
      <c r="AV13" s="15"/>
      <c r="AW13" s="25"/>
      <c r="AX13" s="23"/>
      <c r="AY13" s="15"/>
      <c r="AZ13" s="14"/>
      <c r="BA13" s="23"/>
      <c r="BB13" s="15"/>
      <c r="BC13" s="25"/>
      <c r="BD13" s="23"/>
      <c r="BE13" s="15"/>
      <c r="BF13" s="14"/>
      <c r="BG13" s="23"/>
      <c r="BH13" s="15"/>
      <c r="BI13" s="25"/>
      <c r="BJ13" s="23"/>
      <c r="BK13" s="15"/>
      <c r="BL13" s="14"/>
      <c r="BM13" s="23"/>
      <c r="BN13" s="15"/>
      <c r="BO13" s="25"/>
      <c r="BP13" s="23"/>
      <c r="BQ13" s="15"/>
      <c r="BR13" s="14"/>
      <c r="BS13" s="23"/>
      <c r="BT13" s="15"/>
      <c r="BU13" s="25"/>
      <c r="BV13" s="23"/>
      <c r="BW13" s="15"/>
      <c r="BX13" s="14"/>
      <c r="BY13" s="23"/>
      <c r="BZ13" s="15"/>
    </row>
    <row r="14" customFormat="false" ht="15" hidden="false" customHeight="false" outlineLevel="0" collapsed="false">
      <c r="A14" s="14"/>
      <c r="B14" s="17" t="str">
        <f aca="false">IF($A14="","",IFERROR(INDEX(Policy!$B$2:$B$301,MATCH($A14,Policy!$A$2:$A$301,0)),"MRO không có"))</f>
        <v/>
      </c>
      <c r="C14" s="17" t="str">
        <f aca="false">IF($A14="","",IFERROR(INDEX(Policy!$E$2:$E$301,MATCH($A14,Policy!$A$2:$A$301,0)),"MRO không có"))</f>
        <v/>
      </c>
      <c r="D14" s="14"/>
      <c r="E14" s="15"/>
      <c r="F14" s="15"/>
      <c r="G14" s="25"/>
      <c r="H14" s="23"/>
      <c r="I14" s="15"/>
      <c r="J14" s="14"/>
      <c r="K14" s="23"/>
      <c r="L14" s="15"/>
      <c r="M14" s="25"/>
      <c r="N14" s="23"/>
      <c r="O14" s="15"/>
      <c r="P14" s="14"/>
      <c r="Q14" s="23"/>
      <c r="R14" s="15"/>
      <c r="S14" s="25"/>
      <c r="T14" s="23"/>
      <c r="U14" s="15"/>
      <c r="V14" s="14"/>
      <c r="W14" s="23"/>
      <c r="X14" s="15"/>
      <c r="Y14" s="25"/>
      <c r="Z14" s="23"/>
      <c r="AA14" s="15"/>
      <c r="AB14" s="14"/>
      <c r="AC14" s="23"/>
      <c r="AD14" s="15"/>
      <c r="AE14" s="25"/>
      <c r="AF14" s="23"/>
      <c r="AG14" s="15"/>
      <c r="AH14" s="14"/>
      <c r="AI14" s="23"/>
      <c r="AJ14" s="15"/>
      <c r="AK14" s="25"/>
      <c r="AL14" s="23"/>
      <c r="AM14" s="15"/>
      <c r="AN14" s="14"/>
      <c r="AO14" s="23"/>
      <c r="AP14" s="15"/>
      <c r="AQ14" s="25"/>
      <c r="AR14" s="23"/>
      <c r="AS14" s="15"/>
      <c r="AT14" s="14"/>
      <c r="AU14" s="23"/>
      <c r="AV14" s="15"/>
      <c r="AW14" s="25"/>
      <c r="AX14" s="23"/>
      <c r="AY14" s="15"/>
      <c r="AZ14" s="14"/>
      <c r="BA14" s="23"/>
      <c r="BB14" s="15"/>
      <c r="BC14" s="25"/>
      <c r="BD14" s="23"/>
      <c r="BE14" s="15"/>
      <c r="BF14" s="14"/>
      <c r="BG14" s="23"/>
      <c r="BH14" s="15"/>
      <c r="BI14" s="25"/>
      <c r="BJ14" s="23"/>
      <c r="BK14" s="15"/>
      <c r="BL14" s="14"/>
      <c r="BM14" s="23"/>
      <c r="BN14" s="15"/>
      <c r="BO14" s="25"/>
      <c r="BP14" s="23"/>
      <c r="BQ14" s="15"/>
      <c r="BR14" s="14"/>
      <c r="BS14" s="23"/>
      <c r="BT14" s="15"/>
      <c r="BU14" s="25"/>
      <c r="BV14" s="23"/>
      <c r="BW14" s="15"/>
      <c r="BX14" s="14"/>
      <c r="BY14" s="23"/>
      <c r="BZ14" s="15"/>
    </row>
    <row r="15" customFormat="false" ht="15" hidden="false" customHeight="false" outlineLevel="0" collapsed="false">
      <c r="A15" s="14"/>
      <c r="B15" s="17" t="str">
        <f aca="false">IF($A15="","",IFERROR(INDEX(Policy!$B$2:$B$301,MATCH($A15,Policy!$A$2:$A$301,0)),"MRO không có"))</f>
        <v/>
      </c>
      <c r="C15" s="17" t="str">
        <f aca="false">IF($A15="","",IFERROR(INDEX(Policy!$E$2:$E$301,MATCH($A15,Policy!$A$2:$A$301,0)),"MRO không có"))</f>
        <v/>
      </c>
      <c r="D15" s="14"/>
      <c r="E15" s="15"/>
      <c r="F15" s="15"/>
      <c r="G15" s="25"/>
      <c r="H15" s="23"/>
      <c r="I15" s="15"/>
      <c r="J15" s="14"/>
      <c r="K15" s="23"/>
      <c r="L15" s="15"/>
      <c r="M15" s="25"/>
      <c r="N15" s="23"/>
      <c r="O15" s="15"/>
      <c r="P15" s="14"/>
      <c r="Q15" s="23"/>
      <c r="R15" s="15"/>
      <c r="S15" s="25"/>
      <c r="T15" s="23"/>
      <c r="U15" s="15"/>
      <c r="V15" s="14"/>
      <c r="W15" s="23"/>
      <c r="X15" s="15"/>
      <c r="Y15" s="25"/>
      <c r="Z15" s="23"/>
      <c r="AA15" s="15"/>
      <c r="AB15" s="14"/>
      <c r="AC15" s="23"/>
      <c r="AD15" s="15"/>
      <c r="AE15" s="25"/>
      <c r="AF15" s="23"/>
      <c r="AG15" s="15"/>
      <c r="AH15" s="14"/>
      <c r="AI15" s="23"/>
      <c r="AJ15" s="15"/>
      <c r="AK15" s="25"/>
      <c r="AL15" s="23"/>
      <c r="AM15" s="15"/>
      <c r="AN15" s="14"/>
      <c r="AO15" s="23"/>
      <c r="AP15" s="15"/>
      <c r="AQ15" s="25"/>
      <c r="AR15" s="23"/>
      <c r="AS15" s="15"/>
      <c r="AT15" s="14"/>
      <c r="AU15" s="23"/>
      <c r="AV15" s="15"/>
      <c r="AW15" s="25"/>
      <c r="AX15" s="23"/>
      <c r="AY15" s="15"/>
      <c r="AZ15" s="14"/>
      <c r="BA15" s="23"/>
      <c r="BB15" s="15"/>
      <c r="BC15" s="25"/>
      <c r="BD15" s="23"/>
      <c r="BE15" s="15"/>
      <c r="BF15" s="14"/>
      <c r="BG15" s="23"/>
      <c r="BH15" s="15"/>
      <c r="BI15" s="25"/>
      <c r="BJ15" s="23"/>
      <c r="BK15" s="15"/>
      <c r="BL15" s="14"/>
      <c r="BM15" s="23"/>
      <c r="BN15" s="15"/>
      <c r="BO15" s="25"/>
      <c r="BP15" s="23"/>
      <c r="BQ15" s="15"/>
      <c r="BR15" s="14"/>
      <c r="BS15" s="23"/>
      <c r="BT15" s="15"/>
      <c r="BU15" s="25"/>
      <c r="BV15" s="23"/>
      <c r="BW15" s="15"/>
      <c r="BX15" s="14"/>
      <c r="BY15" s="23"/>
      <c r="BZ15" s="15"/>
    </row>
    <row r="16" customFormat="false" ht="15" hidden="false" customHeight="false" outlineLevel="0" collapsed="false">
      <c r="A16" s="14"/>
      <c r="B16" s="17" t="str">
        <f aca="false">IF($A16="","",IFERROR(INDEX(Policy!$B$2:$B$301,MATCH($A16,Policy!$A$2:$A$301,0)),"MRO không có"))</f>
        <v/>
      </c>
      <c r="C16" s="17" t="str">
        <f aca="false">IF($A16="","",IFERROR(INDEX(Policy!$E$2:$E$301,MATCH($A16,Policy!$A$2:$A$301,0)),"MRO không có"))</f>
        <v/>
      </c>
      <c r="D16" s="14"/>
      <c r="E16" s="15"/>
      <c r="F16" s="15"/>
      <c r="G16" s="25"/>
      <c r="H16" s="23"/>
      <c r="I16" s="15"/>
      <c r="J16" s="14"/>
      <c r="K16" s="23"/>
      <c r="L16" s="15"/>
      <c r="M16" s="25"/>
      <c r="N16" s="23"/>
      <c r="O16" s="15"/>
      <c r="P16" s="14"/>
      <c r="Q16" s="23"/>
      <c r="R16" s="15"/>
      <c r="S16" s="25"/>
      <c r="T16" s="23"/>
      <c r="U16" s="15"/>
      <c r="V16" s="14"/>
      <c r="W16" s="23"/>
      <c r="X16" s="15"/>
      <c r="Y16" s="25"/>
      <c r="Z16" s="23"/>
      <c r="AA16" s="15"/>
      <c r="AB16" s="14"/>
      <c r="AC16" s="23"/>
      <c r="AD16" s="15"/>
      <c r="AE16" s="25"/>
      <c r="AF16" s="23"/>
      <c r="AG16" s="15"/>
      <c r="AH16" s="14"/>
      <c r="AI16" s="23"/>
      <c r="AJ16" s="15"/>
      <c r="AK16" s="25"/>
      <c r="AL16" s="23"/>
      <c r="AM16" s="15"/>
      <c r="AN16" s="14"/>
      <c r="AO16" s="23"/>
      <c r="AP16" s="15"/>
      <c r="AQ16" s="25"/>
      <c r="AR16" s="23"/>
      <c r="AS16" s="15"/>
      <c r="AT16" s="14"/>
      <c r="AU16" s="23"/>
      <c r="AV16" s="15"/>
      <c r="AW16" s="25"/>
      <c r="AX16" s="23"/>
      <c r="AY16" s="15"/>
      <c r="AZ16" s="14"/>
      <c r="BA16" s="23"/>
      <c r="BB16" s="15"/>
      <c r="BC16" s="25"/>
      <c r="BD16" s="23"/>
      <c r="BE16" s="15"/>
      <c r="BF16" s="14"/>
      <c r="BG16" s="23"/>
      <c r="BH16" s="15"/>
      <c r="BI16" s="25"/>
      <c r="BJ16" s="23"/>
      <c r="BK16" s="15"/>
      <c r="BL16" s="14"/>
      <c r="BM16" s="23"/>
      <c r="BN16" s="15"/>
      <c r="BO16" s="25"/>
      <c r="BP16" s="23"/>
      <c r="BQ16" s="15"/>
      <c r="BR16" s="14"/>
      <c r="BS16" s="23"/>
      <c r="BT16" s="15"/>
      <c r="BU16" s="25"/>
      <c r="BV16" s="23"/>
      <c r="BW16" s="15"/>
      <c r="BX16" s="14"/>
      <c r="BY16" s="23"/>
      <c r="BZ16" s="15"/>
    </row>
    <row r="17" customFormat="false" ht="15" hidden="false" customHeight="false" outlineLevel="0" collapsed="false">
      <c r="A17" s="14"/>
      <c r="B17" s="17" t="str">
        <f aca="false">IF($A17="","",IFERROR(INDEX(Policy!$B$2:$B$301,MATCH($A17,Policy!$A$2:$A$301,0)),"MRO không có"))</f>
        <v/>
      </c>
      <c r="C17" s="17" t="str">
        <f aca="false">IF($A17="","",IFERROR(INDEX(Policy!$E$2:$E$301,MATCH($A17,Policy!$A$2:$A$301,0)),"MRO không có"))</f>
        <v/>
      </c>
      <c r="D17" s="14"/>
      <c r="E17" s="15"/>
      <c r="F17" s="15"/>
      <c r="G17" s="25"/>
      <c r="H17" s="23"/>
      <c r="I17" s="15"/>
      <c r="J17" s="14"/>
      <c r="K17" s="23"/>
      <c r="L17" s="15"/>
      <c r="M17" s="25"/>
      <c r="N17" s="23"/>
      <c r="O17" s="15"/>
      <c r="P17" s="14"/>
      <c r="Q17" s="23"/>
      <c r="R17" s="15"/>
      <c r="S17" s="25"/>
      <c r="T17" s="23"/>
      <c r="U17" s="15"/>
      <c r="V17" s="14"/>
      <c r="W17" s="23"/>
      <c r="X17" s="15"/>
      <c r="Y17" s="25"/>
      <c r="Z17" s="23"/>
      <c r="AA17" s="15"/>
      <c r="AB17" s="14"/>
      <c r="AC17" s="23"/>
      <c r="AD17" s="15"/>
      <c r="AE17" s="25"/>
      <c r="AF17" s="23"/>
      <c r="AG17" s="15"/>
      <c r="AH17" s="14"/>
      <c r="AI17" s="23"/>
      <c r="AJ17" s="15"/>
      <c r="AK17" s="25"/>
      <c r="AL17" s="23"/>
      <c r="AM17" s="15"/>
      <c r="AN17" s="14"/>
      <c r="AO17" s="23"/>
      <c r="AP17" s="15"/>
      <c r="AQ17" s="25"/>
      <c r="AR17" s="23"/>
      <c r="AS17" s="15"/>
      <c r="AT17" s="14"/>
      <c r="AU17" s="23"/>
      <c r="AV17" s="15"/>
      <c r="AW17" s="25"/>
      <c r="AX17" s="23"/>
      <c r="AY17" s="15"/>
      <c r="AZ17" s="14"/>
      <c r="BA17" s="23"/>
      <c r="BB17" s="15"/>
      <c r="BC17" s="25"/>
      <c r="BD17" s="23"/>
      <c r="BE17" s="15"/>
      <c r="BF17" s="14"/>
      <c r="BG17" s="23"/>
      <c r="BH17" s="15"/>
      <c r="BI17" s="25"/>
      <c r="BJ17" s="23"/>
      <c r="BK17" s="15"/>
      <c r="BL17" s="14"/>
      <c r="BM17" s="23"/>
      <c r="BN17" s="15"/>
      <c r="BO17" s="25"/>
      <c r="BP17" s="23"/>
      <c r="BQ17" s="15"/>
      <c r="BR17" s="14"/>
      <c r="BS17" s="23"/>
      <c r="BT17" s="15"/>
      <c r="BU17" s="25"/>
      <c r="BV17" s="23"/>
      <c r="BW17" s="15"/>
      <c r="BX17" s="14"/>
      <c r="BY17" s="23"/>
      <c r="BZ17" s="15"/>
    </row>
    <row r="18" customFormat="false" ht="15" hidden="false" customHeight="false" outlineLevel="0" collapsed="false">
      <c r="A18" s="14"/>
      <c r="B18" s="17" t="str">
        <f aca="false">IF($A18="","",IFERROR(INDEX(Policy!$B$2:$B$301,MATCH($A18,Policy!$A$2:$A$301,0)),"MRO không có"))</f>
        <v/>
      </c>
      <c r="C18" s="17" t="str">
        <f aca="false">IF($A18="","",IFERROR(INDEX(Policy!$E$2:$E$301,MATCH($A18,Policy!$A$2:$A$301,0)),"MRO không có"))</f>
        <v/>
      </c>
      <c r="D18" s="14"/>
      <c r="E18" s="15"/>
      <c r="F18" s="15"/>
      <c r="G18" s="25"/>
      <c r="H18" s="23"/>
      <c r="I18" s="15"/>
      <c r="J18" s="14"/>
      <c r="K18" s="23"/>
      <c r="L18" s="15"/>
      <c r="M18" s="25"/>
      <c r="N18" s="23"/>
      <c r="O18" s="15"/>
      <c r="P18" s="14"/>
      <c r="Q18" s="23"/>
      <c r="R18" s="15"/>
      <c r="S18" s="25"/>
      <c r="T18" s="23"/>
      <c r="U18" s="15"/>
      <c r="V18" s="14"/>
      <c r="W18" s="23"/>
      <c r="X18" s="15"/>
      <c r="Y18" s="25"/>
      <c r="Z18" s="23"/>
      <c r="AA18" s="15"/>
      <c r="AB18" s="14"/>
      <c r="AC18" s="23"/>
      <c r="AD18" s="15"/>
      <c r="AE18" s="25"/>
      <c r="AF18" s="23"/>
      <c r="AG18" s="15"/>
      <c r="AH18" s="14"/>
      <c r="AI18" s="23"/>
      <c r="AJ18" s="15"/>
      <c r="AK18" s="25"/>
      <c r="AL18" s="23"/>
      <c r="AM18" s="15"/>
      <c r="AN18" s="14"/>
      <c r="AO18" s="23"/>
      <c r="AP18" s="15"/>
      <c r="AQ18" s="25"/>
      <c r="AR18" s="23"/>
      <c r="AS18" s="15"/>
      <c r="AT18" s="14"/>
      <c r="AU18" s="23"/>
      <c r="AV18" s="15"/>
      <c r="AW18" s="25"/>
      <c r="AX18" s="23"/>
      <c r="AY18" s="15"/>
      <c r="AZ18" s="14"/>
      <c r="BA18" s="23"/>
      <c r="BB18" s="15"/>
      <c r="BC18" s="25"/>
      <c r="BD18" s="23"/>
      <c r="BE18" s="15"/>
      <c r="BF18" s="14"/>
      <c r="BG18" s="23"/>
      <c r="BH18" s="15"/>
      <c r="BI18" s="25"/>
      <c r="BJ18" s="23"/>
      <c r="BK18" s="15"/>
      <c r="BL18" s="14"/>
      <c r="BM18" s="23"/>
      <c r="BN18" s="15"/>
      <c r="BO18" s="25"/>
      <c r="BP18" s="23"/>
      <c r="BQ18" s="15"/>
      <c r="BR18" s="14"/>
      <c r="BS18" s="23"/>
      <c r="BT18" s="15"/>
      <c r="BU18" s="25"/>
      <c r="BV18" s="23"/>
      <c r="BW18" s="15"/>
      <c r="BX18" s="14"/>
      <c r="BY18" s="23"/>
      <c r="BZ18" s="15"/>
    </row>
    <row r="19" customFormat="false" ht="15" hidden="false" customHeight="false" outlineLevel="0" collapsed="false">
      <c r="A19" s="14"/>
      <c r="B19" s="17" t="str">
        <f aca="false">IF($A19="","",IFERROR(INDEX(Policy!$B$2:$B$301,MATCH($A19,Policy!$A$2:$A$301,0)),"MRO không có"))</f>
        <v/>
      </c>
      <c r="C19" s="17" t="str">
        <f aca="false">IF($A19="","",IFERROR(INDEX(Policy!$E$2:$E$301,MATCH($A19,Policy!$A$2:$A$301,0)),"MRO không có"))</f>
        <v/>
      </c>
      <c r="D19" s="14"/>
      <c r="E19" s="15"/>
      <c r="F19" s="15"/>
      <c r="G19" s="25"/>
      <c r="H19" s="23"/>
      <c r="I19" s="15"/>
      <c r="J19" s="14"/>
      <c r="K19" s="23"/>
      <c r="L19" s="15"/>
      <c r="M19" s="25"/>
      <c r="N19" s="23"/>
      <c r="O19" s="15"/>
      <c r="P19" s="14"/>
      <c r="Q19" s="23"/>
      <c r="R19" s="15"/>
      <c r="S19" s="25"/>
      <c r="T19" s="23"/>
      <c r="U19" s="15"/>
      <c r="V19" s="14"/>
      <c r="W19" s="23"/>
      <c r="X19" s="15"/>
      <c r="Y19" s="25"/>
      <c r="Z19" s="23"/>
      <c r="AA19" s="15"/>
      <c r="AB19" s="14"/>
      <c r="AC19" s="23"/>
      <c r="AD19" s="15"/>
      <c r="AE19" s="25"/>
      <c r="AF19" s="23"/>
      <c r="AG19" s="15"/>
      <c r="AH19" s="14"/>
      <c r="AI19" s="23"/>
      <c r="AJ19" s="15"/>
      <c r="AK19" s="25"/>
      <c r="AL19" s="23"/>
      <c r="AM19" s="15"/>
      <c r="AN19" s="14"/>
      <c r="AO19" s="23"/>
      <c r="AP19" s="15"/>
      <c r="AQ19" s="25"/>
      <c r="AR19" s="23"/>
      <c r="AS19" s="15"/>
      <c r="AT19" s="14"/>
      <c r="AU19" s="23"/>
      <c r="AV19" s="15"/>
      <c r="AW19" s="25"/>
      <c r="AX19" s="23"/>
      <c r="AY19" s="15"/>
      <c r="AZ19" s="14"/>
      <c r="BA19" s="23"/>
      <c r="BB19" s="15"/>
      <c r="BC19" s="25"/>
      <c r="BD19" s="23"/>
      <c r="BE19" s="15"/>
      <c r="BF19" s="14"/>
      <c r="BG19" s="23"/>
      <c r="BH19" s="15"/>
      <c r="BI19" s="25"/>
      <c r="BJ19" s="23"/>
      <c r="BK19" s="15"/>
      <c r="BL19" s="14"/>
      <c r="BM19" s="23"/>
      <c r="BN19" s="15"/>
      <c r="BO19" s="25"/>
      <c r="BP19" s="23"/>
      <c r="BQ19" s="15"/>
      <c r="BR19" s="14"/>
      <c r="BS19" s="23"/>
      <c r="BT19" s="15"/>
      <c r="BU19" s="25"/>
      <c r="BV19" s="23"/>
      <c r="BW19" s="15"/>
      <c r="BX19" s="14"/>
      <c r="BY19" s="23"/>
      <c r="BZ19" s="15"/>
    </row>
    <row r="20" customFormat="false" ht="15" hidden="false" customHeight="false" outlineLevel="0" collapsed="false">
      <c r="A20" s="14"/>
      <c r="B20" s="17" t="str">
        <f aca="false">IF($A20="","",IFERROR(INDEX(Policy!$B$2:$B$301,MATCH($A20,Policy!$A$2:$A$301,0)),"MRO không có"))</f>
        <v/>
      </c>
      <c r="C20" s="17" t="str">
        <f aca="false">IF($A20="","",IFERROR(INDEX(Policy!$E$2:$E$301,MATCH($A20,Policy!$A$2:$A$301,0)),"MRO không có"))</f>
        <v/>
      </c>
      <c r="D20" s="14"/>
      <c r="E20" s="15"/>
      <c r="F20" s="15"/>
      <c r="G20" s="25"/>
      <c r="H20" s="23"/>
      <c r="I20" s="15"/>
      <c r="J20" s="14"/>
      <c r="K20" s="23"/>
      <c r="L20" s="15"/>
      <c r="M20" s="25"/>
      <c r="N20" s="23"/>
      <c r="O20" s="15"/>
      <c r="P20" s="14"/>
      <c r="Q20" s="23"/>
      <c r="R20" s="15"/>
      <c r="S20" s="25"/>
      <c r="T20" s="23"/>
      <c r="U20" s="15"/>
      <c r="V20" s="14"/>
      <c r="W20" s="23"/>
      <c r="X20" s="15"/>
      <c r="Y20" s="25"/>
      <c r="Z20" s="23"/>
      <c r="AA20" s="15"/>
      <c r="AB20" s="14"/>
      <c r="AC20" s="23"/>
      <c r="AD20" s="15"/>
      <c r="AE20" s="25"/>
      <c r="AF20" s="23"/>
      <c r="AG20" s="15"/>
      <c r="AH20" s="14"/>
      <c r="AI20" s="23"/>
      <c r="AJ20" s="15"/>
      <c r="AK20" s="25"/>
      <c r="AL20" s="23"/>
      <c r="AM20" s="15"/>
      <c r="AN20" s="14"/>
      <c r="AO20" s="23"/>
      <c r="AP20" s="15"/>
      <c r="AQ20" s="25"/>
      <c r="AR20" s="23"/>
      <c r="AS20" s="15"/>
      <c r="AT20" s="14"/>
      <c r="AU20" s="23"/>
      <c r="AV20" s="15"/>
      <c r="AW20" s="25"/>
      <c r="AX20" s="23"/>
      <c r="AY20" s="15"/>
      <c r="AZ20" s="14"/>
      <c r="BA20" s="23"/>
      <c r="BB20" s="15"/>
      <c r="BC20" s="25"/>
      <c r="BD20" s="23"/>
      <c r="BE20" s="15"/>
      <c r="BF20" s="14"/>
      <c r="BG20" s="23"/>
      <c r="BH20" s="15"/>
      <c r="BI20" s="25"/>
      <c r="BJ20" s="23"/>
      <c r="BK20" s="15"/>
      <c r="BL20" s="14"/>
      <c r="BM20" s="23"/>
      <c r="BN20" s="15"/>
      <c r="BO20" s="25"/>
      <c r="BP20" s="23"/>
      <c r="BQ20" s="15"/>
      <c r="BR20" s="14"/>
      <c r="BS20" s="23"/>
      <c r="BT20" s="15"/>
      <c r="BU20" s="25"/>
      <c r="BV20" s="23"/>
      <c r="BW20" s="15"/>
      <c r="BX20" s="14"/>
      <c r="BY20" s="23"/>
      <c r="BZ20" s="15"/>
    </row>
    <row r="21" customFormat="false" ht="15" hidden="false" customHeight="false" outlineLevel="0" collapsed="false">
      <c r="A21" s="14"/>
      <c r="B21" s="17" t="str">
        <f aca="false">IF($A21="","",IFERROR(INDEX(Policy!$B$2:$B$301,MATCH($A21,Policy!$A$2:$A$301,0)),"MRO không có"))</f>
        <v/>
      </c>
      <c r="C21" s="17" t="str">
        <f aca="false">IF($A21="","",IFERROR(INDEX(Policy!$E$2:$E$301,MATCH($A21,Policy!$A$2:$A$301,0)),"MRO không có"))</f>
        <v/>
      </c>
      <c r="D21" s="14"/>
      <c r="E21" s="15"/>
      <c r="F21" s="15"/>
      <c r="G21" s="25"/>
      <c r="H21" s="23"/>
      <c r="I21" s="15"/>
      <c r="J21" s="14"/>
      <c r="K21" s="23"/>
      <c r="L21" s="15"/>
      <c r="M21" s="25"/>
      <c r="N21" s="23"/>
      <c r="O21" s="15"/>
      <c r="P21" s="14"/>
      <c r="Q21" s="23"/>
      <c r="R21" s="15"/>
      <c r="S21" s="25"/>
      <c r="T21" s="23"/>
      <c r="U21" s="15"/>
      <c r="V21" s="14"/>
      <c r="W21" s="23"/>
      <c r="X21" s="15"/>
      <c r="Y21" s="25"/>
      <c r="Z21" s="23"/>
      <c r="AA21" s="15"/>
      <c r="AB21" s="14"/>
      <c r="AC21" s="23"/>
      <c r="AD21" s="15"/>
      <c r="AE21" s="25"/>
      <c r="AF21" s="23"/>
      <c r="AG21" s="15"/>
      <c r="AH21" s="14"/>
      <c r="AI21" s="23"/>
      <c r="AJ21" s="15"/>
      <c r="AK21" s="25"/>
      <c r="AL21" s="23"/>
      <c r="AM21" s="15"/>
      <c r="AN21" s="14"/>
      <c r="AO21" s="23"/>
      <c r="AP21" s="15"/>
      <c r="AQ21" s="25"/>
      <c r="AR21" s="23"/>
      <c r="AS21" s="15"/>
      <c r="AT21" s="14"/>
      <c r="AU21" s="23"/>
      <c r="AV21" s="15"/>
      <c r="AW21" s="25"/>
      <c r="AX21" s="23"/>
      <c r="AY21" s="15"/>
      <c r="AZ21" s="14"/>
      <c r="BA21" s="23"/>
      <c r="BB21" s="15"/>
      <c r="BC21" s="25"/>
      <c r="BD21" s="23"/>
      <c r="BE21" s="15"/>
      <c r="BF21" s="14"/>
      <c r="BG21" s="23"/>
      <c r="BH21" s="15"/>
      <c r="BI21" s="25"/>
      <c r="BJ21" s="23"/>
      <c r="BK21" s="15"/>
      <c r="BL21" s="14"/>
      <c r="BM21" s="23"/>
      <c r="BN21" s="15"/>
      <c r="BO21" s="25"/>
      <c r="BP21" s="23"/>
      <c r="BQ21" s="15"/>
      <c r="BR21" s="14"/>
      <c r="BS21" s="23"/>
      <c r="BT21" s="15"/>
      <c r="BU21" s="25"/>
      <c r="BV21" s="23"/>
      <c r="BW21" s="15"/>
      <c r="BX21" s="14"/>
      <c r="BY21" s="23"/>
      <c r="BZ21" s="15"/>
    </row>
    <row r="22" customFormat="false" ht="15" hidden="false" customHeight="false" outlineLevel="0" collapsed="false">
      <c r="A22" s="14"/>
      <c r="B22" s="17" t="str">
        <f aca="false">IF($A22="","",IFERROR(INDEX(Policy!$B$2:$B$301,MATCH($A22,Policy!$A$2:$A$301,0)),"MRO không có"))</f>
        <v/>
      </c>
      <c r="C22" s="17" t="str">
        <f aca="false">IF($A22="","",IFERROR(INDEX(Policy!$E$2:$E$301,MATCH($A22,Policy!$A$2:$A$301,0)),"MRO không có"))</f>
        <v/>
      </c>
      <c r="D22" s="14"/>
      <c r="E22" s="15"/>
      <c r="F22" s="15"/>
      <c r="G22" s="25"/>
      <c r="H22" s="23"/>
      <c r="I22" s="15"/>
      <c r="J22" s="14"/>
      <c r="K22" s="23"/>
      <c r="L22" s="15"/>
      <c r="M22" s="25"/>
      <c r="N22" s="23"/>
      <c r="O22" s="15"/>
      <c r="P22" s="14"/>
      <c r="Q22" s="23"/>
      <c r="R22" s="15"/>
      <c r="S22" s="25"/>
      <c r="T22" s="23"/>
      <c r="U22" s="15"/>
      <c r="V22" s="14"/>
      <c r="W22" s="23"/>
      <c r="X22" s="15"/>
      <c r="Y22" s="25"/>
      <c r="Z22" s="23"/>
      <c r="AA22" s="15"/>
      <c r="AB22" s="14"/>
      <c r="AC22" s="23"/>
      <c r="AD22" s="15"/>
      <c r="AE22" s="25"/>
      <c r="AF22" s="23"/>
      <c r="AG22" s="15"/>
      <c r="AH22" s="14"/>
      <c r="AI22" s="23"/>
      <c r="AJ22" s="15"/>
      <c r="AK22" s="25"/>
      <c r="AL22" s="23"/>
      <c r="AM22" s="15"/>
      <c r="AN22" s="14"/>
      <c r="AO22" s="23"/>
      <c r="AP22" s="15"/>
      <c r="AQ22" s="25"/>
      <c r="AR22" s="23"/>
      <c r="AS22" s="15"/>
      <c r="AT22" s="14"/>
      <c r="AU22" s="23"/>
      <c r="AV22" s="15"/>
      <c r="AW22" s="25"/>
      <c r="AX22" s="23"/>
      <c r="AY22" s="15"/>
      <c r="AZ22" s="14"/>
      <c r="BA22" s="23"/>
      <c r="BB22" s="15"/>
      <c r="BC22" s="25"/>
      <c r="BD22" s="23"/>
      <c r="BE22" s="15"/>
      <c r="BF22" s="14"/>
      <c r="BG22" s="23"/>
      <c r="BH22" s="15"/>
      <c r="BI22" s="25"/>
      <c r="BJ22" s="23"/>
      <c r="BK22" s="15"/>
      <c r="BL22" s="14"/>
      <c r="BM22" s="23"/>
      <c r="BN22" s="15"/>
      <c r="BO22" s="25"/>
      <c r="BP22" s="23"/>
      <c r="BQ22" s="15"/>
      <c r="BR22" s="14"/>
      <c r="BS22" s="23"/>
      <c r="BT22" s="15"/>
      <c r="BU22" s="25"/>
      <c r="BV22" s="23"/>
      <c r="BW22" s="15"/>
      <c r="BX22" s="14"/>
      <c r="BY22" s="23"/>
      <c r="BZ22" s="15"/>
    </row>
    <row r="23" customFormat="false" ht="15" hidden="false" customHeight="false" outlineLevel="0" collapsed="false">
      <c r="A23" s="14"/>
      <c r="B23" s="17" t="str">
        <f aca="false">IF($A23="","",IFERROR(INDEX(Policy!$B$2:$B$301,MATCH($A23,Policy!$A$2:$A$301,0)),"MRO không có"))</f>
        <v/>
      </c>
      <c r="C23" s="17" t="str">
        <f aca="false">IF($A23="","",IFERROR(INDEX(Policy!$E$2:$E$301,MATCH($A23,Policy!$A$2:$A$301,0)),"MRO không có"))</f>
        <v/>
      </c>
      <c r="D23" s="14"/>
      <c r="E23" s="15"/>
      <c r="F23" s="15"/>
      <c r="G23" s="25"/>
      <c r="H23" s="23"/>
      <c r="I23" s="15"/>
      <c r="J23" s="14"/>
      <c r="K23" s="23"/>
      <c r="L23" s="15"/>
      <c r="M23" s="25"/>
      <c r="N23" s="23"/>
      <c r="O23" s="15"/>
      <c r="P23" s="14"/>
      <c r="Q23" s="23"/>
      <c r="R23" s="15"/>
      <c r="S23" s="25"/>
      <c r="T23" s="23"/>
      <c r="U23" s="15"/>
      <c r="V23" s="14"/>
      <c r="W23" s="23"/>
      <c r="X23" s="15"/>
      <c r="Y23" s="25"/>
      <c r="Z23" s="23"/>
      <c r="AA23" s="15"/>
      <c r="AB23" s="14"/>
      <c r="AC23" s="23"/>
      <c r="AD23" s="15"/>
      <c r="AE23" s="25"/>
      <c r="AF23" s="23"/>
      <c r="AG23" s="15"/>
      <c r="AH23" s="14"/>
      <c r="AI23" s="23"/>
      <c r="AJ23" s="15"/>
      <c r="AK23" s="25"/>
      <c r="AL23" s="23"/>
      <c r="AM23" s="15"/>
      <c r="AN23" s="14"/>
      <c r="AO23" s="23"/>
      <c r="AP23" s="15"/>
      <c r="AQ23" s="25"/>
      <c r="AR23" s="23"/>
      <c r="AS23" s="15"/>
      <c r="AT23" s="14"/>
      <c r="AU23" s="23"/>
      <c r="AV23" s="15"/>
      <c r="AW23" s="25"/>
      <c r="AX23" s="23"/>
      <c r="AY23" s="15"/>
      <c r="AZ23" s="14"/>
      <c r="BA23" s="23"/>
      <c r="BB23" s="15"/>
      <c r="BC23" s="25"/>
      <c r="BD23" s="23"/>
      <c r="BE23" s="15"/>
      <c r="BF23" s="14"/>
      <c r="BG23" s="23"/>
      <c r="BH23" s="15"/>
      <c r="BI23" s="25"/>
      <c r="BJ23" s="23"/>
      <c r="BK23" s="15"/>
      <c r="BL23" s="14"/>
      <c r="BM23" s="23"/>
      <c r="BN23" s="15"/>
      <c r="BO23" s="25"/>
      <c r="BP23" s="23"/>
      <c r="BQ23" s="15"/>
      <c r="BR23" s="14"/>
      <c r="BS23" s="23"/>
      <c r="BT23" s="15"/>
      <c r="BU23" s="25"/>
      <c r="BV23" s="23"/>
      <c r="BW23" s="15"/>
      <c r="BX23" s="14"/>
      <c r="BY23" s="23"/>
      <c r="BZ23" s="15"/>
    </row>
    <row r="24" customFormat="false" ht="15" hidden="false" customHeight="false" outlineLevel="0" collapsed="false">
      <c r="A24" s="14"/>
      <c r="B24" s="17" t="str">
        <f aca="false">IF($A24="","",IFERROR(INDEX(Policy!$B$2:$B$301,MATCH($A24,Policy!$A$2:$A$301,0)),"MRO không có"))</f>
        <v/>
      </c>
      <c r="C24" s="17" t="str">
        <f aca="false">IF($A24="","",IFERROR(INDEX(Policy!$E$2:$E$301,MATCH($A24,Policy!$A$2:$A$301,0)),"MRO không có"))</f>
        <v/>
      </c>
      <c r="D24" s="14"/>
      <c r="E24" s="15"/>
      <c r="F24" s="15"/>
      <c r="G24" s="25"/>
      <c r="H24" s="23"/>
      <c r="I24" s="15"/>
      <c r="J24" s="14"/>
      <c r="K24" s="23"/>
      <c r="L24" s="15"/>
      <c r="M24" s="25"/>
      <c r="N24" s="23"/>
      <c r="O24" s="15"/>
      <c r="P24" s="14"/>
      <c r="Q24" s="23"/>
      <c r="R24" s="15"/>
      <c r="S24" s="25"/>
      <c r="T24" s="23"/>
      <c r="U24" s="15"/>
      <c r="V24" s="14"/>
      <c r="W24" s="23"/>
      <c r="X24" s="15"/>
      <c r="Y24" s="25"/>
      <c r="Z24" s="23"/>
      <c r="AA24" s="15"/>
      <c r="AB24" s="14"/>
      <c r="AC24" s="23"/>
      <c r="AD24" s="15"/>
      <c r="AE24" s="25"/>
      <c r="AF24" s="23"/>
      <c r="AG24" s="15"/>
      <c r="AH24" s="14"/>
      <c r="AI24" s="23"/>
      <c r="AJ24" s="15"/>
      <c r="AK24" s="25"/>
      <c r="AL24" s="23"/>
      <c r="AM24" s="15"/>
      <c r="AN24" s="14"/>
      <c r="AO24" s="23"/>
      <c r="AP24" s="15"/>
      <c r="AQ24" s="25"/>
      <c r="AR24" s="23"/>
      <c r="AS24" s="15"/>
      <c r="AT24" s="14"/>
      <c r="AU24" s="23"/>
      <c r="AV24" s="15"/>
      <c r="AW24" s="25"/>
      <c r="AX24" s="23"/>
      <c r="AY24" s="15"/>
      <c r="AZ24" s="14"/>
      <c r="BA24" s="23"/>
      <c r="BB24" s="15"/>
      <c r="BC24" s="25"/>
      <c r="BD24" s="23"/>
      <c r="BE24" s="15"/>
      <c r="BF24" s="14"/>
      <c r="BG24" s="23"/>
      <c r="BH24" s="15"/>
      <c r="BI24" s="25"/>
      <c r="BJ24" s="23"/>
      <c r="BK24" s="15"/>
      <c r="BL24" s="14"/>
      <c r="BM24" s="23"/>
      <c r="BN24" s="15"/>
      <c r="BO24" s="25"/>
      <c r="BP24" s="23"/>
      <c r="BQ24" s="15"/>
      <c r="BR24" s="14"/>
      <c r="BS24" s="23"/>
      <c r="BT24" s="15"/>
      <c r="BU24" s="25"/>
      <c r="BV24" s="23"/>
      <c r="BW24" s="15"/>
      <c r="BX24" s="14"/>
      <c r="BY24" s="23"/>
      <c r="BZ24" s="15"/>
    </row>
    <row r="25" customFormat="false" ht="15" hidden="false" customHeight="false" outlineLevel="0" collapsed="false">
      <c r="A25" s="14"/>
      <c r="B25" s="17" t="str">
        <f aca="false">IF($A25="","",IFERROR(INDEX(Policy!$B$2:$B$301,MATCH($A25,Policy!$A$2:$A$301,0)),"MRO không có"))</f>
        <v/>
      </c>
      <c r="C25" s="17" t="str">
        <f aca="false">IF($A25="","",IFERROR(INDEX(Policy!$E$2:$E$301,MATCH($A25,Policy!$A$2:$A$301,0)),"MRO không có"))</f>
        <v/>
      </c>
      <c r="D25" s="14"/>
      <c r="E25" s="15"/>
      <c r="F25" s="15"/>
      <c r="G25" s="25"/>
      <c r="H25" s="23"/>
      <c r="I25" s="15"/>
      <c r="J25" s="14"/>
      <c r="K25" s="23"/>
      <c r="L25" s="15"/>
      <c r="M25" s="25"/>
      <c r="N25" s="23"/>
      <c r="O25" s="15"/>
      <c r="P25" s="14"/>
      <c r="Q25" s="23"/>
      <c r="R25" s="15"/>
      <c r="S25" s="25"/>
      <c r="T25" s="23"/>
      <c r="U25" s="15"/>
      <c r="V25" s="14"/>
      <c r="W25" s="23"/>
      <c r="X25" s="15"/>
      <c r="Y25" s="25"/>
      <c r="Z25" s="23"/>
      <c r="AA25" s="15"/>
      <c r="AB25" s="14"/>
      <c r="AC25" s="23"/>
      <c r="AD25" s="15"/>
      <c r="AE25" s="25"/>
      <c r="AF25" s="23"/>
      <c r="AG25" s="15"/>
      <c r="AH25" s="14"/>
      <c r="AI25" s="23"/>
      <c r="AJ25" s="15"/>
      <c r="AK25" s="25"/>
      <c r="AL25" s="23"/>
      <c r="AM25" s="15"/>
      <c r="AN25" s="14"/>
      <c r="AO25" s="23"/>
      <c r="AP25" s="15"/>
      <c r="AQ25" s="25"/>
      <c r="AR25" s="23"/>
      <c r="AS25" s="15"/>
      <c r="AT25" s="14"/>
      <c r="AU25" s="23"/>
      <c r="AV25" s="15"/>
      <c r="AW25" s="25"/>
      <c r="AX25" s="23"/>
      <c r="AY25" s="15"/>
      <c r="AZ25" s="14"/>
      <c r="BA25" s="23"/>
      <c r="BB25" s="15"/>
      <c r="BC25" s="25"/>
      <c r="BD25" s="23"/>
      <c r="BE25" s="15"/>
      <c r="BF25" s="14"/>
      <c r="BG25" s="23"/>
      <c r="BH25" s="15"/>
      <c r="BI25" s="25"/>
      <c r="BJ25" s="23"/>
      <c r="BK25" s="15"/>
      <c r="BL25" s="14"/>
      <c r="BM25" s="23"/>
      <c r="BN25" s="15"/>
      <c r="BO25" s="25"/>
      <c r="BP25" s="23"/>
      <c r="BQ25" s="15"/>
      <c r="BR25" s="14"/>
      <c r="BS25" s="23"/>
      <c r="BT25" s="15"/>
      <c r="BU25" s="25"/>
      <c r="BV25" s="23"/>
      <c r="BW25" s="15"/>
      <c r="BX25" s="14"/>
      <c r="BY25" s="23"/>
      <c r="BZ25" s="15"/>
    </row>
    <row r="26" customFormat="false" ht="15" hidden="false" customHeight="false" outlineLevel="0" collapsed="false">
      <c r="A26" s="14"/>
      <c r="B26" s="17" t="str">
        <f aca="false">IF($A26="","",IFERROR(INDEX(Policy!$B$2:$B$301,MATCH($A26,Policy!$A$2:$A$301,0)),"MRO không có"))</f>
        <v/>
      </c>
      <c r="C26" s="17" t="str">
        <f aca="false">IF($A26="","",IFERROR(INDEX(Policy!$E$2:$E$301,MATCH($A26,Policy!$A$2:$A$301,0)),"MRO không có"))</f>
        <v/>
      </c>
      <c r="D26" s="14"/>
      <c r="E26" s="15"/>
      <c r="F26" s="15"/>
      <c r="G26" s="25"/>
      <c r="H26" s="23"/>
      <c r="I26" s="15"/>
      <c r="J26" s="14"/>
      <c r="K26" s="23"/>
      <c r="L26" s="15"/>
      <c r="M26" s="25"/>
      <c r="N26" s="23"/>
      <c r="O26" s="15"/>
      <c r="P26" s="14"/>
      <c r="Q26" s="23"/>
      <c r="R26" s="15"/>
      <c r="S26" s="25"/>
      <c r="T26" s="23"/>
      <c r="U26" s="15"/>
      <c r="V26" s="14"/>
      <c r="W26" s="23"/>
      <c r="X26" s="15"/>
      <c r="Y26" s="25"/>
      <c r="Z26" s="23"/>
      <c r="AA26" s="15"/>
      <c r="AB26" s="14"/>
      <c r="AC26" s="23"/>
      <c r="AD26" s="15"/>
      <c r="AE26" s="25"/>
      <c r="AF26" s="23"/>
      <c r="AG26" s="15"/>
      <c r="AH26" s="14"/>
      <c r="AI26" s="23"/>
      <c r="AJ26" s="15"/>
      <c r="AK26" s="25"/>
      <c r="AL26" s="23"/>
      <c r="AM26" s="15"/>
      <c r="AN26" s="14"/>
      <c r="AO26" s="23"/>
      <c r="AP26" s="15"/>
      <c r="AQ26" s="25"/>
      <c r="AR26" s="23"/>
      <c r="AS26" s="15"/>
      <c r="AT26" s="14"/>
      <c r="AU26" s="23"/>
      <c r="AV26" s="15"/>
      <c r="AW26" s="25"/>
      <c r="AX26" s="23"/>
      <c r="AY26" s="15"/>
      <c r="AZ26" s="14"/>
      <c r="BA26" s="23"/>
      <c r="BB26" s="15"/>
      <c r="BC26" s="25"/>
      <c r="BD26" s="23"/>
      <c r="BE26" s="15"/>
      <c r="BF26" s="14"/>
      <c r="BG26" s="23"/>
      <c r="BH26" s="15"/>
      <c r="BI26" s="25"/>
      <c r="BJ26" s="23"/>
      <c r="BK26" s="15"/>
      <c r="BL26" s="14"/>
      <c r="BM26" s="23"/>
      <c r="BN26" s="15"/>
      <c r="BO26" s="25"/>
      <c r="BP26" s="23"/>
      <c r="BQ26" s="15"/>
      <c r="BR26" s="14"/>
      <c r="BS26" s="23"/>
      <c r="BT26" s="15"/>
      <c r="BU26" s="25"/>
      <c r="BV26" s="23"/>
      <c r="BW26" s="15"/>
      <c r="BX26" s="14"/>
      <c r="BY26" s="23"/>
      <c r="BZ26" s="15"/>
    </row>
    <row r="27" customFormat="false" ht="15" hidden="false" customHeight="false" outlineLevel="0" collapsed="false">
      <c r="A27" s="14"/>
      <c r="B27" s="17" t="str">
        <f aca="false">IF($A27="","",IFERROR(INDEX(Policy!$B$2:$B$301,MATCH($A27,Policy!$A$2:$A$301,0)),"MRO không có"))</f>
        <v/>
      </c>
      <c r="C27" s="17" t="str">
        <f aca="false">IF($A27="","",IFERROR(INDEX(Policy!$E$2:$E$301,MATCH($A27,Policy!$A$2:$A$301,0)),"MRO không có"))</f>
        <v/>
      </c>
      <c r="D27" s="14"/>
      <c r="E27" s="15"/>
      <c r="F27" s="15"/>
      <c r="G27" s="25"/>
      <c r="H27" s="23"/>
      <c r="I27" s="15"/>
      <c r="J27" s="14"/>
      <c r="K27" s="23"/>
      <c r="L27" s="15"/>
      <c r="M27" s="25"/>
      <c r="N27" s="23"/>
      <c r="O27" s="15"/>
      <c r="P27" s="14"/>
      <c r="Q27" s="23"/>
      <c r="R27" s="15"/>
      <c r="S27" s="25"/>
      <c r="T27" s="23"/>
      <c r="U27" s="15"/>
      <c r="V27" s="14"/>
      <c r="W27" s="23"/>
      <c r="X27" s="15"/>
      <c r="Y27" s="25"/>
      <c r="Z27" s="23"/>
      <c r="AA27" s="15"/>
      <c r="AB27" s="14"/>
      <c r="AC27" s="23"/>
      <c r="AD27" s="15"/>
      <c r="AE27" s="25"/>
      <c r="AF27" s="23"/>
      <c r="AG27" s="15"/>
      <c r="AH27" s="14"/>
      <c r="AI27" s="23"/>
      <c r="AJ27" s="15"/>
      <c r="AK27" s="25"/>
      <c r="AL27" s="23"/>
      <c r="AM27" s="15"/>
      <c r="AN27" s="14"/>
      <c r="AO27" s="23"/>
      <c r="AP27" s="15"/>
      <c r="AQ27" s="25"/>
      <c r="AR27" s="23"/>
      <c r="AS27" s="15"/>
      <c r="AT27" s="14"/>
      <c r="AU27" s="23"/>
      <c r="AV27" s="15"/>
      <c r="AW27" s="25"/>
      <c r="AX27" s="23"/>
      <c r="AY27" s="15"/>
      <c r="AZ27" s="14"/>
      <c r="BA27" s="23"/>
      <c r="BB27" s="15"/>
      <c r="BC27" s="25"/>
      <c r="BD27" s="23"/>
      <c r="BE27" s="15"/>
      <c r="BF27" s="14"/>
      <c r="BG27" s="23"/>
      <c r="BH27" s="15"/>
      <c r="BI27" s="25"/>
      <c r="BJ27" s="23"/>
      <c r="BK27" s="15"/>
      <c r="BL27" s="14"/>
      <c r="BM27" s="23"/>
      <c r="BN27" s="15"/>
      <c r="BO27" s="25"/>
      <c r="BP27" s="23"/>
      <c r="BQ27" s="15"/>
      <c r="BR27" s="14"/>
      <c r="BS27" s="23"/>
      <c r="BT27" s="15"/>
      <c r="BU27" s="25"/>
      <c r="BV27" s="23"/>
      <c r="BW27" s="15"/>
      <c r="BX27" s="14"/>
      <c r="BY27" s="23"/>
      <c r="BZ27" s="15"/>
    </row>
    <row r="28" customFormat="false" ht="15" hidden="false" customHeight="false" outlineLevel="0" collapsed="false">
      <c r="A28" s="14"/>
      <c r="B28" s="17" t="str">
        <f aca="false">IF($A28="","",IFERROR(INDEX(Policy!$B$2:$B$301,MATCH($A28,Policy!$A$2:$A$301,0)),"MRO không có"))</f>
        <v/>
      </c>
      <c r="C28" s="17" t="str">
        <f aca="false">IF($A28="","",IFERROR(INDEX(Policy!$E$2:$E$301,MATCH($A28,Policy!$A$2:$A$301,0)),"MRO không có"))</f>
        <v/>
      </c>
      <c r="D28" s="14"/>
      <c r="E28" s="15"/>
      <c r="F28" s="15"/>
      <c r="G28" s="25"/>
      <c r="H28" s="23"/>
      <c r="I28" s="15"/>
      <c r="J28" s="14"/>
      <c r="K28" s="23"/>
      <c r="L28" s="15"/>
      <c r="M28" s="25"/>
      <c r="N28" s="23"/>
      <c r="O28" s="15"/>
      <c r="P28" s="14"/>
      <c r="Q28" s="23"/>
      <c r="R28" s="15"/>
      <c r="S28" s="25"/>
      <c r="T28" s="23"/>
      <c r="U28" s="15"/>
      <c r="V28" s="14"/>
      <c r="W28" s="23"/>
      <c r="X28" s="15"/>
      <c r="Y28" s="25"/>
      <c r="Z28" s="23"/>
      <c r="AA28" s="15"/>
      <c r="AB28" s="14"/>
      <c r="AC28" s="23"/>
      <c r="AD28" s="15"/>
      <c r="AE28" s="25"/>
      <c r="AF28" s="23"/>
      <c r="AG28" s="15"/>
      <c r="AH28" s="14"/>
      <c r="AI28" s="23"/>
      <c r="AJ28" s="15"/>
      <c r="AK28" s="25"/>
      <c r="AL28" s="23"/>
      <c r="AM28" s="15"/>
      <c r="AN28" s="14"/>
      <c r="AO28" s="23"/>
      <c r="AP28" s="15"/>
      <c r="AQ28" s="25"/>
      <c r="AR28" s="23"/>
      <c r="AS28" s="15"/>
      <c r="AT28" s="14"/>
      <c r="AU28" s="23"/>
      <c r="AV28" s="15"/>
      <c r="AW28" s="25"/>
      <c r="AX28" s="23"/>
      <c r="AY28" s="15"/>
      <c r="AZ28" s="14"/>
      <c r="BA28" s="23"/>
      <c r="BB28" s="15"/>
      <c r="BC28" s="25"/>
      <c r="BD28" s="23"/>
      <c r="BE28" s="15"/>
      <c r="BF28" s="14"/>
      <c r="BG28" s="23"/>
      <c r="BH28" s="15"/>
      <c r="BI28" s="25"/>
      <c r="BJ28" s="23"/>
      <c r="BK28" s="15"/>
      <c r="BL28" s="14"/>
      <c r="BM28" s="23"/>
      <c r="BN28" s="15"/>
      <c r="BO28" s="25"/>
      <c r="BP28" s="23"/>
      <c r="BQ28" s="15"/>
      <c r="BR28" s="14"/>
      <c r="BS28" s="23"/>
      <c r="BT28" s="15"/>
      <c r="BU28" s="25"/>
      <c r="BV28" s="23"/>
      <c r="BW28" s="15"/>
      <c r="BX28" s="14"/>
      <c r="BY28" s="23"/>
      <c r="BZ28" s="15"/>
    </row>
    <row r="29" customFormat="false" ht="15" hidden="false" customHeight="false" outlineLevel="0" collapsed="false">
      <c r="A29" s="14"/>
      <c r="B29" s="17" t="str">
        <f aca="false">IF($A29="","",IFERROR(INDEX(Policy!$B$2:$B$301,MATCH($A29,Policy!$A$2:$A$301,0)),"MRO không có"))</f>
        <v/>
      </c>
      <c r="C29" s="17" t="str">
        <f aca="false">IF($A29="","",IFERROR(INDEX(Policy!$E$2:$E$301,MATCH($A29,Policy!$A$2:$A$301,0)),"MRO không có"))</f>
        <v/>
      </c>
      <c r="D29" s="14"/>
      <c r="E29" s="15"/>
      <c r="F29" s="15"/>
      <c r="G29" s="25"/>
      <c r="H29" s="23"/>
      <c r="I29" s="15"/>
      <c r="J29" s="14"/>
      <c r="K29" s="23"/>
      <c r="L29" s="15"/>
      <c r="M29" s="25"/>
      <c r="N29" s="23"/>
      <c r="O29" s="15"/>
      <c r="P29" s="14"/>
      <c r="Q29" s="23"/>
      <c r="R29" s="15"/>
      <c r="S29" s="25"/>
      <c r="T29" s="23"/>
      <c r="U29" s="15"/>
      <c r="V29" s="14"/>
      <c r="W29" s="23"/>
      <c r="X29" s="15"/>
      <c r="Y29" s="25"/>
      <c r="Z29" s="23"/>
      <c r="AA29" s="15"/>
      <c r="AB29" s="14"/>
      <c r="AC29" s="23"/>
      <c r="AD29" s="15"/>
      <c r="AE29" s="25"/>
      <c r="AF29" s="23"/>
      <c r="AG29" s="15"/>
      <c r="AH29" s="14"/>
      <c r="AI29" s="23"/>
      <c r="AJ29" s="15"/>
      <c r="AK29" s="25"/>
      <c r="AL29" s="23"/>
      <c r="AM29" s="15"/>
      <c r="AN29" s="14"/>
      <c r="AO29" s="23"/>
      <c r="AP29" s="15"/>
      <c r="AQ29" s="25"/>
      <c r="AR29" s="23"/>
      <c r="AS29" s="15"/>
      <c r="AT29" s="14"/>
      <c r="AU29" s="23"/>
      <c r="AV29" s="15"/>
      <c r="AW29" s="25"/>
      <c r="AX29" s="23"/>
      <c r="AY29" s="15"/>
      <c r="AZ29" s="14"/>
      <c r="BA29" s="23"/>
      <c r="BB29" s="15"/>
      <c r="BC29" s="25"/>
      <c r="BD29" s="23"/>
      <c r="BE29" s="15"/>
      <c r="BF29" s="14"/>
      <c r="BG29" s="23"/>
      <c r="BH29" s="15"/>
      <c r="BI29" s="25"/>
      <c r="BJ29" s="23"/>
      <c r="BK29" s="15"/>
      <c r="BL29" s="14"/>
      <c r="BM29" s="23"/>
      <c r="BN29" s="15"/>
      <c r="BO29" s="25"/>
      <c r="BP29" s="23"/>
      <c r="BQ29" s="15"/>
      <c r="BR29" s="14"/>
      <c r="BS29" s="23"/>
      <c r="BT29" s="15"/>
      <c r="BU29" s="25"/>
      <c r="BV29" s="23"/>
      <c r="BW29" s="15"/>
      <c r="BX29" s="14"/>
      <c r="BY29" s="23"/>
      <c r="BZ29" s="15"/>
    </row>
    <row r="30" customFormat="false" ht="15" hidden="false" customHeight="false" outlineLevel="0" collapsed="false">
      <c r="A30" s="14"/>
      <c r="B30" s="17" t="str">
        <f aca="false">IF($A30="","",IFERROR(INDEX(Policy!$B$2:$B$301,MATCH($A30,Policy!$A$2:$A$301,0)),"MRO không có"))</f>
        <v/>
      </c>
      <c r="C30" s="17" t="str">
        <f aca="false">IF($A30="","",IFERROR(INDEX(Policy!$E$2:$E$301,MATCH($A30,Policy!$A$2:$A$301,0)),"MRO không có"))</f>
        <v/>
      </c>
      <c r="D30" s="14"/>
      <c r="E30" s="15"/>
      <c r="F30" s="15"/>
      <c r="G30" s="25"/>
      <c r="H30" s="23"/>
      <c r="I30" s="15"/>
      <c r="J30" s="14"/>
      <c r="K30" s="23"/>
      <c r="L30" s="15"/>
      <c r="M30" s="25"/>
      <c r="N30" s="23"/>
      <c r="O30" s="15"/>
      <c r="P30" s="14"/>
      <c r="Q30" s="23"/>
      <c r="R30" s="15"/>
      <c r="S30" s="25"/>
      <c r="T30" s="23"/>
      <c r="U30" s="15"/>
      <c r="V30" s="14"/>
      <c r="W30" s="23"/>
      <c r="X30" s="15"/>
      <c r="Y30" s="25"/>
      <c r="Z30" s="23"/>
      <c r="AA30" s="15"/>
      <c r="AB30" s="14"/>
      <c r="AC30" s="23"/>
      <c r="AD30" s="15"/>
      <c r="AE30" s="25"/>
      <c r="AF30" s="23"/>
      <c r="AG30" s="15"/>
      <c r="AH30" s="14"/>
      <c r="AI30" s="23"/>
      <c r="AJ30" s="15"/>
      <c r="AK30" s="25"/>
      <c r="AL30" s="23"/>
      <c r="AM30" s="15"/>
      <c r="AN30" s="14"/>
      <c r="AO30" s="23"/>
      <c r="AP30" s="15"/>
      <c r="AQ30" s="25"/>
      <c r="AR30" s="23"/>
      <c r="AS30" s="15"/>
      <c r="AT30" s="14"/>
      <c r="AU30" s="23"/>
      <c r="AV30" s="15"/>
      <c r="AW30" s="25"/>
      <c r="AX30" s="23"/>
      <c r="AY30" s="15"/>
      <c r="AZ30" s="14"/>
      <c r="BA30" s="23"/>
      <c r="BB30" s="15"/>
      <c r="BC30" s="25"/>
      <c r="BD30" s="23"/>
      <c r="BE30" s="15"/>
      <c r="BF30" s="14"/>
      <c r="BG30" s="23"/>
      <c r="BH30" s="15"/>
      <c r="BI30" s="25"/>
      <c r="BJ30" s="23"/>
      <c r="BK30" s="15"/>
      <c r="BL30" s="14"/>
      <c r="BM30" s="23"/>
      <c r="BN30" s="15"/>
      <c r="BO30" s="25"/>
      <c r="BP30" s="23"/>
      <c r="BQ30" s="15"/>
      <c r="BR30" s="14"/>
      <c r="BS30" s="23"/>
      <c r="BT30" s="15"/>
      <c r="BU30" s="25"/>
      <c r="BV30" s="23"/>
      <c r="BW30" s="15"/>
      <c r="BX30" s="14"/>
      <c r="BY30" s="23"/>
      <c r="BZ30" s="15"/>
    </row>
    <row r="31" customFormat="false" ht="15" hidden="false" customHeight="false" outlineLevel="0" collapsed="false">
      <c r="A31" s="14"/>
      <c r="B31" s="17" t="str">
        <f aca="false">IF($A31="","",IFERROR(INDEX(Policy!$B$2:$B$301,MATCH($A31,Policy!$A$2:$A$301,0)),"MRO không có"))</f>
        <v/>
      </c>
      <c r="C31" s="17" t="str">
        <f aca="false">IF($A31="","",IFERROR(INDEX(Policy!$E$2:$E$301,MATCH($A31,Policy!$A$2:$A$301,0)),"MRO không có"))</f>
        <v/>
      </c>
      <c r="D31" s="14"/>
      <c r="E31" s="15"/>
      <c r="F31" s="15"/>
      <c r="G31" s="25"/>
      <c r="H31" s="23"/>
      <c r="I31" s="15"/>
      <c r="J31" s="14"/>
      <c r="K31" s="23"/>
      <c r="L31" s="15"/>
      <c r="M31" s="25"/>
      <c r="N31" s="23"/>
      <c r="O31" s="15"/>
      <c r="P31" s="14"/>
      <c r="Q31" s="23"/>
      <c r="R31" s="15"/>
      <c r="S31" s="25"/>
      <c r="T31" s="23"/>
      <c r="U31" s="15"/>
      <c r="V31" s="14"/>
      <c r="W31" s="23"/>
      <c r="X31" s="15"/>
      <c r="Y31" s="25"/>
      <c r="Z31" s="23"/>
      <c r="AA31" s="15"/>
      <c r="AB31" s="14"/>
      <c r="AC31" s="23"/>
      <c r="AD31" s="15"/>
      <c r="AE31" s="25"/>
      <c r="AF31" s="23"/>
      <c r="AG31" s="15"/>
      <c r="AH31" s="14"/>
      <c r="AI31" s="23"/>
      <c r="AJ31" s="15"/>
      <c r="AK31" s="25"/>
      <c r="AL31" s="23"/>
      <c r="AM31" s="15"/>
      <c r="AN31" s="14"/>
      <c r="AO31" s="23"/>
      <c r="AP31" s="15"/>
      <c r="AQ31" s="25"/>
      <c r="AR31" s="23"/>
      <c r="AS31" s="15"/>
      <c r="AT31" s="14"/>
      <c r="AU31" s="23"/>
      <c r="AV31" s="15"/>
      <c r="AW31" s="25"/>
      <c r="AX31" s="23"/>
      <c r="AY31" s="15"/>
      <c r="AZ31" s="14"/>
      <c r="BA31" s="23"/>
      <c r="BB31" s="15"/>
      <c r="BC31" s="25"/>
      <c r="BD31" s="23"/>
      <c r="BE31" s="15"/>
      <c r="BF31" s="14"/>
      <c r="BG31" s="23"/>
      <c r="BH31" s="15"/>
      <c r="BI31" s="25"/>
      <c r="BJ31" s="23"/>
      <c r="BK31" s="15"/>
      <c r="BL31" s="14"/>
      <c r="BM31" s="23"/>
      <c r="BN31" s="15"/>
      <c r="BO31" s="25"/>
      <c r="BP31" s="23"/>
      <c r="BQ31" s="15"/>
      <c r="BR31" s="14"/>
      <c r="BS31" s="23"/>
      <c r="BT31" s="15"/>
      <c r="BU31" s="25"/>
      <c r="BV31" s="23"/>
      <c r="BW31" s="15"/>
      <c r="BX31" s="14"/>
      <c r="BY31" s="23"/>
      <c r="BZ31" s="15"/>
    </row>
    <row r="32" customFormat="false" ht="15" hidden="false" customHeight="false" outlineLevel="0" collapsed="false">
      <c r="A32" s="14"/>
      <c r="B32" s="17" t="str">
        <f aca="false">IF($A32="","",IFERROR(INDEX(Policy!$B$2:$B$301,MATCH($A32,Policy!$A$2:$A$301,0)),"MRO không có"))</f>
        <v/>
      </c>
      <c r="C32" s="17" t="str">
        <f aca="false">IF($A32="","",IFERROR(INDEX(Policy!$E$2:$E$301,MATCH($A32,Policy!$A$2:$A$301,0)),"MRO không có"))</f>
        <v/>
      </c>
      <c r="D32" s="14"/>
      <c r="E32" s="15"/>
      <c r="F32" s="15"/>
      <c r="G32" s="25"/>
      <c r="H32" s="23"/>
      <c r="I32" s="15"/>
      <c r="J32" s="14"/>
      <c r="K32" s="23"/>
      <c r="L32" s="15"/>
      <c r="M32" s="25"/>
      <c r="N32" s="23"/>
      <c r="O32" s="15"/>
      <c r="P32" s="14"/>
      <c r="Q32" s="23"/>
      <c r="R32" s="15"/>
      <c r="S32" s="25"/>
      <c r="T32" s="23"/>
      <c r="U32" s="15"/>
      <c r="V32" s="14"/>
      <c r="W32" s="23"/>
      <c r="X32" s="15"/>
      <c r="Y32" s="25"/>
      <c r="Z32" s="23"/>
      <c r="AA32" s="15"/>
      <c r="AB32" s="14"/>
      <c r="AC32" s="23"/>
      <c r="AD32" s="15"/>
      <c r="AE32" s="25"/>
      <c r="AF32" s="23"/>
      <c r="AG32" s="15"/>
      <c r="AH32" s="14"/>
      <c r="AI32" s="23"/>
      <c r="AJ32" s="15"/>
      <c r="AK32" s="25"/>
      <c r="AL32" s="23"/>
      <c r="AM32" s="15"/>
      <c r="AN32" s="14"/>
      <c r="AO32" s="23"/>
      <c r="AP32" s="15"/>
      <c r="AQ32" s="25"/>
      <c r="AR32" s="23"/>
      <c r="AS32" s="15"/>
      <c r="AT32" s="14"/>
      <c r="AU32" s="23"/>
      <c r="AV32" s="15"/>
      <c r="AW32" s="25"/>
      <c r="AX32" s="23"/>
      <c r="AY32" s="15"/>
      <c r="AZ32" s="14"/>
      <c r="BA32" s="23"/>
      <c r="BB32" s="15"/>
      <c r="BC32" s="25"/>
      <c r="BD32" s="23"/>
      <c r="BE32" s="15"/>
      <c r="BF32" s="14"/>
      <c r="BG32" s="23"/>
      <c r="BH32" s="15"/>
      <c r="BI32" s="25"/>
      <c r="BJ32" s="23"/>
      <c r="BK32" s="15"/>
      <c r="BL32" s="14"/>
      <c r="BM32" s="23"/>
      <c r="BN32" s="15"/>
      <c r="BO32" s="25"/>
      <c r="BP32" s="23"/>
      <c r="BQ32" s="15"/>
      <c r="BR32" s="14"/>
      <c r="BS32" s="23"/>
      <c r="BT32" s="15"/>
      <c r="BU32" s="25"/>
      <c r="BV32" s="23"/>
      <c r="BW32" s="15"/>
      <c r="BX32" s="14"/>
      <c r="BY32" s="23"/>
      <c r="BZ32" s="15"/>
    </row>
    <row r="33" customFormat="false" ht="15" hidden="false" customHeight="false" outlineLevel="0" collapsed="false">
      <c r="A33" s="14"/>
      <c r="B33" s="17" t="str">
        <f aca="false">IF($A33="","",IFERROR(INDEX(Policy!$B$2:$B$301,MATCH($A33,Policy!$A$2:$A$301,0)),"MRO không có"))</f>
        <v/>
      </c>
      <c r="C33" s="17" t="str">
        <f aca="false">IF($A33="","",IFERROR(INDEX(Policy!$E$2:$E$301,MATCH($A33,Policy!$A$2:$A$301,0)),"MRO không có"))</f>
        <v/>
      </c>
      <c r="D33" s="14"/>
      <c r="E33" s="15"/>
      <c r="F33" s="15"/>
      <c r="G33" s="25"/>
      <c r="H33" s="23"/>
      <c r="I33" s="15"/>
      <c r="J33" s="14"/>
      <c r="K33" s="23"/>
      <c r="L33" s="15"/>
      <c r="M33" s="25"/>
      <c r="N33" s="23"/>
      <c r="O33" s="15"/>
      <c r="P33" s="14"/>
      <c r="Q33" s="23"/>
      <c r="R33" s="15"/>
      <c r="S33" s="25"/>
      <c r="T33" s="23"/>
      <c r="U33" s="15"/>
      <c r="V33" s="14"/>
      <c r="W33" s="23"/>
      <c r="X33" s="15"/>
      <c r="Y33" s="25"/>
      <c r="Z33" s="23"/>
      <c r="AA33" s="15"/>
      <c r="AB33" s="14"/>
      <c r="AC33" s="23"/>
      <c r="AD33" s="15"/>
      <c r="AE33" s="25"/>
      <c r="AF33" s="23"/>
      <c r="AG33" s="15"/>
      <c r="AH33" s="14"/>
      <c r="AI33" s="23"/>
      <c r="AJ33" s="15"/>
      <c r="AK33" s="25"/>
      <c r="AL33" s="23"/>
      <c r="AM33" s="15"/>
      <c r="AN33" s="14"/>
      <c r="AO33" s="23"/>
      <c r="AP33" s="15"/>
      <c r="AQ33" s="25"/>
      <c r="AR33" s="23"/>
      <c r="AS33" s="15"/>
      <c r="AT33" s="14"/>
      <c r="AU33" s="23"/>
      <c r="AV33" s="15"/>
      <c r="AW33" s="25"/>
      <c r="AX33" s="23"/>
      <c r="AY33" s="15"/>
      <c r="AZ33" s="14"/>
      <c r="BA33" s="23"/>
      <c r="BB33" s="15"/>
      <c r="BC33" s="25"/>
      <c r="BD33" s="23"/>
      <c r="BE33" s="15"/>
      <c r="BF33" s="14"/>
      <c r="BG33" s="23"/>
      <c r="BH33" s="15"/>
      <c r="BI33" s="25"/>
      <c r="BJ33" s="23"/>
      <c r="BK33" s="15"/>
      <c r="BL33" s="14"/>
      <c r="BM33" s="23"/>
      <c r="BN33" s="15"/>
      <c r="BO33" s="25"/>
      <c r="BP33" s="23"/>
      <c r="BQ33" s="15"/>
      <c r="BR33" s="14"/>
      <c r="BS33" s="23"/>
      <c r="BT33" s="15"/>
      <c r="BU33" s="25"/>
      <c r="BV33" s="23"/>
      <c r="BW33" s="15"/>
      <c r="BX33" s="14"/>
      <c r="BY33" s="23"/>
      <c r="BZ33" s="15"/>
    </row>
    <row r="34" customFormat="false" ht="15" hidden="false" customHeight="false" outlineLevel="0" collapsed="false">
      <c r="A34" s="14"/>
      <c r="B34" s="17" t="str">
        <f aca="false">IF($A34="","",IFERROR(INDEX(Policy!$B$2:$B$301,MATCH($A34,Policy!$A$2:$A$301,0)),"MRO không có"))</f>
        <v/>
      </c>
      <c r="C34" s="17" t="str">
        <f aca="false">IF($A34="","",IFERROR(INDEX(Policy!$E$2:$E$301,MATCH($A34,Policy!$A$2:$A$301,0)),"MRO không có"))</f>
        <v/>
      </c>
      <c r="D34" s="14"/>
      <c r="E34" s="15"/>
      <c r="F34" s="15"/>
      <c r="G34" s="25"/>
      <c r="H34" s="23"/>
      <c r="I34" s="15"/>
      <c r="J34" s="14"/>
      <c r="K34" s="23"/>
      <c r="L34" s="15"/>
      <c r="M34" s="25"/>
      <c r="N34" s="23"/>
      <c r="O34" s="15"/>
      <c r="P34" s="14"/>
      <c r="Q34" s="23"/>
      <c r="R34" s="15"/>
      <c r="S34" s="25"/>
      <c r="T34" s="23"/>
      <c r="U34" s="15"/>
      <c r="V34" s="14"/>
      <c r="W34" s="23"/>
      <c r="X34" s="15"/>
      <c r="Y34" s="25"/>
      <c r="Z34" s="23"/>
      <c r="AA34" s="15"/>
      <c r="AB34" s="14"/>
      <c r="AC34" s="23"/>
      <c r="AD34" s="15"/>
      <c r="AE34" s="25"/>
      <c r="AF34" s="23"/>
      <c r="AG34" s="15"/>
      <c r="AH34" s="14"/>
      <c r="AI34" s="23"/>
      <c r="AJ34" s="15"/>
      <c r="AK34" s="25"/>
      <c r="AL34" s="23"/>
      <c r="AM34" s="15"/>
      <c r="AN34" s="14"/>
      <c r="AO34" s="23"/>
      <c r="AP34" s="15"/>
      <c r="AQ34" s="25"/>
      <c r="AR34" s="23"/>
      <c r="AS34" s="15"/>
      <c r="AT34" s="14"/>
      <c r="AU34" s="23"/>
      <c r="AV34" s="15"/>
      <c r="AW34" s="25"/>
      <c r="AX34" s="23"/>
      <c r="AY34" s="15"/>
      <c r="AZ34" s="14"/>
      <c r="BA34" s="23"/>
      <c r="BB34" s="15"/>
      <c r="BC34" s="25"/>
      <c r="BD34" s="23"/>
      <c r="BE34" s="15"/>
      <c r="BF34" s="14"/>
      <c r="BG34" s="23"/>
      <c r="BH34" s="15"/>
      <c r="BI34" s="25"/>
      <c r="BJ34" s="23"/>
      <c r="BK34" s="15"/>
      <c r="BL34" s="14"/>
      <c r="BM34" s="23"/>
      <c r="BN34" s="15"/>
      <c r="BO34" s="25"/>
      <c r="BP34" s="23"/>
      <c r="BQ34" s="15"/>
      <c r="BR34" s="14"/>
      <c r="BS34" s="23"/>
      <c r="BT34" s="15"/>
      <c r="BU34" s="25"/>
      <c r="BV34" s="23"/>
      <c r="BW34" s="15"/>
      <c r="BX34" s="14"/>
      <c r="BY34" s="23"/>
      <c r="BZ34" s="15"/>
    </row>
    <row r="35" customFormat="false" ht="15" hidden="false" customHeight="false" outlineLevel="0" collapsed="false">
      <c r="A35" s="14"/>
      <c r="B35" s="17" t="str">
        <f aca="false">IF($A35="","",IFERROR(INDEX(Policy!$B$2:$B$301,MATCH($A35,Policy!$A$2:$A$301,0)),"MRO không có"))</f>
        <v/>
      </c>
      <c r="C35" s="17" t="str">
        <f aca="false">IF($A35="","",IFERROR(INDEX(Policy!$E$2:$E$301,MATCH($A35,Policy!$A$2:$A$301,0)),"MRO không có"))</f>
        <v/>
      </c>
      <c r="D35" s="14"/>
      <c r="E35" s="15"/>
      <c r="F35" s="15"/>
      <c r="G35" s="25"/>
      <c r="H35" s="23"/>
      <c r="I35" s="15"/>
      <c r="J35" s="14"/>
      <c r="K35" s="23"/>
      <c r="L35" s="15"/>
      <c r="M35" s="25"/>
      <c r="N35" s="23"/>
      <c r="O35" s="15"/>
      <c r="P35" s="14"/>
      <c r="Q35" s="23"/>
      <c r="R35" s="15"/>
      <c r="S35" s="25"/>
      <c r="T35" s="23"/>
      <c r="U35" s="15"/>
      <c r="V35" s="14"/>
      <c r="W35" s="23"/>
      <c r="X35" s="15"/>
      <c r="Y35" s="25"/>
      <c r="Z35" s="23"/>
      <c r="AA35" s="15"/>
      <c r="AB35" s="14"/>
      <c r="AC35" s="23"/>
      <c r="AD35" s="15"/>
      <c r="AE35" s="25"/>
      <c r="AF35" s="23"/>
      <c r="AG35" s="15"/>
      <c r="AH35" s="14"/>
      <c r="AI35" s="23"/>
      <c r="AJ35" s="15"/>
      <c r="AK35" s="25"/>
      <c r="AL35" s="23"/>
      <c r="AM35" s="15"/>
      <c r="AN35" s="14"/>
      <c r="AO35" s="23"/>
      <c r="AP35" s="15"/>
      <c r="AQ35" s="25"/>
      <c r="AR35" s="23"/>
      <c r="AS35" s="15"/>
      <c r="AT35" s="14"/>
      <c r="AU35" s="23"/>
      <c r="AV35" s="15"/>
      <c r="AW35" s="25"/>
      <c r="AX35" s="23"/>
      <c r="AY35" s="15"/>
      <c r="AZ35" s="14"/>
      <c r="BA35" s="23"/>
      <c r="BB35" s="15"/>
      <c r="BC35" s="25"/>
      <c r="BD35" s="23"/>
      <c r="BE35" s="15"/>
      <c r="BF35" s="14"/>
      <c r="BG35" s="23"/>
      <c r="BH35" s="15"/>
      <c r="BI35" s="25"/>
      <c r="BJ35" s="23"/>
      <c r="BK35" s="15"/>
      <c r="BL35" s="14"/>
      <c r="BM35" s="23"/>
      <c r="BN35" s="15"/>
      <c r="BO35" s="25"/>
      <c r="BP35" s="23"/>
      <c r="BQ35" s="15"/>
      <c r="BR35" s="14"/>
      <c r="BS35" s="23"/>
      <c r="BT35" s="15"/>
      <c r="BU35" s="25"/>
      <c r="BV35" s="23"/>
      <c r="BW35" s="15"/>
      <c r="BX35" s="14"/>
      <c r="BY35" s="23"/>
      <c r="BZ35" s="15"/>
    </row>
    <row r="36" customFormat="false" ht="15" hidden="false" customHeight="false" outlineLevel="0" collapsed="false">
      <c r="A36" s="14"/>
      <c r="B36" s="17" t="str">
        <f aca="false">IF($A36="","",IFERROR(INDEX(Policy!$B$2:$B$301,MATCH($A36,Policy!$A$2:$A$301,0)),"MRO không có"))</f>
        <v/>
      </c>
      <c r="C36" s="17" t="str">
        <f aca="false">IF($A36="","",IFERROR(INDEX(Policy!$E$2:$E$301,MATCH($A36,Policy!$A$2:$A$301,0)),"MRO không có"))</f>
        <v/>
      </c>
      <c r="D36" s="14"/>
      <c r="E36" s="15"/>
      <c r="F36" s="15"/>
      <c r="G36" s="25"/>
      <c r="H36" s="23"/>
      <c r="I36" s="15"/>
      <c r="J36" s="14"/>
      <c r="K36" s="23"/>
      <c r="L36" s="15"/>
      <c r="M36" s="25"/>
      <c r="N36" s="23"/>
      <c r="O36" s="15"/>
      <c r="P36" s="14"/>
      <c r="Q36" s="23"/>
      <c r="R36" s="15"/>
      <c r="S36" s="25"/>
      <c r="T36" s="23"/>
      <c r="U36" s="15"/>
      <c r="V36" s="14"/>
      <c r="W36" s="23"/>
      <c r="X36" s="15"/>
      <c r="Y36" s="25"/>
      <c r="Z36" s="23"/>
      <c r="AA36" s="15"/>
      <c r="AB36" s="14"/>
      <c r="AC36" s="23"/>
      <c r="AD36" s="15"/>
      <c r="AE36" s="25"/>
      <c r="AF36" s="23"/>
      <c r="AG36" s="15"/>
      <c r="AH36" s="14"/>
      <c r="AI36" s="23"/>
      <c r="AJ36" s="15"/>
      <c r="AK36" s="25"/>
      <c r="AL36" s="23"/>
      <c r="AM36" s="15"/>
      <c r="AN36" s="14"/>
      <c r="AO36" s="23"/>
      <c r="AP36" s="15"/>
      <c r="AQ36" s="25"/>
      <c r="AR36" s="23"/>
      <c r="AS36" s="15"/>
      <c r="AT36" s="14"/>
      <c r="AU36" s="23"/>
      <c r="AV36" s="15"/>
      <c r="AW36" s="25"/>
      <c r="AX36" s="23"/>
      <c r="AY36" s="15"/>
      <c r="AZ36" s="14"/>
      <c r="BA36" s="23"/>
      <c r="BB36" s="15"/>
      <c r="BC36" s="25"/>
      <c r="BD36" s="23"/>
      <c r="BE36" s="15"/>
      <c r="BF36" s="14"/>
      <c r="BG36" s="23"/>
      <c r="BH36" s="15"/>
      <c r="BI36" s="25"/>
      <c r="BJ36" s="23"/>
      <c r="BK36" s="15"/>
      <c r="BL36" s="14"/>
      <c r="BM36" s="23"/>
      <c r="BN36" s="15"/>
      <c r="BO36" s="25"/>
      <c r="BP36" s="23"/>
      <c r="BQ36" s="15"/>
      <c r="BR36" s="14"/>
      <c r="BS36" s="23"/>
      <c r="BT36" s="15"/>
      <c r="BU36" s="25"/>
      <c r="BV36" s="23"/>
      <c r="BW36" s="15"/>
      <c r="BX36" s="14"/>
      <c r="BY36" s="23"/>
      <c r="BZ36" s="15"/>
    </row>
    <row r="37" customFormat="false" ht="15" hidden="false" customHeight="false" outlineLevel="0" collapsed="false">
      <c r="A37" s="14"/>
      <c r="B37" s="17" t="str">
        <f aca="false">IF($A37="","",IFERROR(INDEX(Policy!$B$2:$B$301,MATCH($A37,Policy!$A$2:$A$301,0)),"MRO không có"))</f>
        <v/>
      </c>
      <c r="C37" s="17" t="str">
        <f aca="false">IF($A37="","",IFERROR(INDEX(Policy!$E$2:$E$301,MATCH($A37,Policy!$A$2:$A$301,0)),"MRO không có"))</f>
        <v/>
      </c>
      <c r="D37" s="14"/>
      <c r="E37" s="15"/>
      <c r="F37" s="15"/>
      <c r="G37" s="25"/>
      <c r="H37" s="23"/>
      <c r="I37" s="15"/>
      <c r="J37" s="14"/>
      <c r="K37" s="23"/>
      <c r="L37" s="15"/>
      <c r="M37" s="25"/>
      <c r="N37" s="23"/>
      <c r="O37" s="15"/>
      <c r="P37" s="14"/>
      <c r="Q37" s="23"/>
      <c r="R37" s="15"/>
      <c r="S37" s="25"/>
      <c r="T37" s="23"/>
      <c r="U37" s="15"/>
      <c r="V37" s="14"/>
      <c r="W37" s="23"/>
      <c r="X37" s="15"/>
      <c r="Y37" s="25"/>
      <c r="Z37" s="23"/>
      <c r="AA37" s="15"/>
      <c r="AB37" s="14"/>
      <c r="AC37" s="23"/>
      <c r="AD37" s="15"/>
      <c r="AE37" s="25"/>
      <c r="AF37" s="23"/>
      <c r="AG37" s="15"/>
      <c r="AH37" s="14"/>
      <c r="AI37" s="23"/>
      <c r="AJ37" s="15"/>
      <c r="AK37" s="25"/>
      <c r="AL37" s="23"/>
      <c r="AM37" s="15"/>
      <c r="AN37" s="14"/>
      <c r="AO37" s="23"/>
      <c r="AP37" s="15"/>
      <c r="AQ37" s="25"/>
      <c r="AR37" s="23"/>
      <c r="AS37" s="15"/>
      <c r="AT37" s="14"/>
      <c r="AU37" s="23"/>
      <c r="AV37" s="15"/>
      <c r="AW37" s="25"/>
      <c r="AX37" s="23"/>
      <c r="AY37" s="15"/>
      <c r="AZ37" s="14"/>
      <c r="BA37" s="23"/>
      <c r="BB37" s="15"/>
      <c r="BC37" s="25"/>
      <c r="BD37" s="23"/>
      <c r="BE37" s="15"/>
      <c r="BF37" s="14"/>
      <c r="BG37" s="23"/>
      <c r="BH37" s="15"/>
      <c r="BI37" s="25"/>
      <c r="BJ37" s="23"/>
      <c r="BK37" s="15"/>
      <c r="BL37" s="14"/>
      <c r="BM37" s="23"/>
      <c r="BN37" s="15"/>
      <c r="BO37" s="25"/>
      <c r="BP37" s="23"/>
      <c r="BQ37" s="15"/>
      <c r="BR37" s="14"/>
      <c r="BS37" s="23"/>
      <c r="BT37" s="15"/>
      <c r="BU37" s="25"/>
      <c r="BV37" s="23"/>
      <c r="BW37" s="15"/>
      <c r="BX37" s="14"/>
      <c r="BY37" s="23"/>
      <c r="BZ37" s="15"/>
    </row>
    <row r="38" customFormat="false" ht="15" hidden="false" customHeight="false" outlineLevel="0" collapsed="false">
      <c r="A38" s="14"/>
      <c r="B38" s="17" t="str">
        <f aca="false">IF($A38="","",IFERROR(INDEX(Policy!$B$2:$B$301,MATCH($A38,Policy!$A$2:$A$301,0)),"MRO không có"))</f>
        <v/>
      </c>
      <c r="C38" s="17" t="str">
        <f aca="false">IF($A38="","",IFERROR(INDEX(Policy!$E$2:$E$301,MATCH($A38,Policy!$A$2:$A$301,0)),"MRO không có"))</f>
        <v/>
      </c>
      <c r="D38" s="14"/>
      <c r="E38" s="15"/>
      <c r="F38" s="15"/>
      <c r="G38" s="25"/>
      <c r="H38" s="23"/>
      <c r="I38" s="15"/>
      <c r="J38" s="14"/>
      <c r="K38" s="23"/>
      <c r="L38" s="15"/>
      <c r="M38" s="25"/>
      <c r="N38" s="23"/>
      <c r="O38" s="15"/>
      <c r="P38" s="14"/>
      <c r="Q38" s="23"/>
      <c r="R38" s="15"/>
      <c r="S38" s="25"/>
      <c r="T38" s="23"/>
      <c r="U38" s="15"/>
      <c r="V38" s="14"/>
      <c r="W38" s="23"/>
      <c r="X38" s="15"/>
      <c r="Y38" s="25"/>
      <c r="Z38" s="23"/>
      <c r="AA38" s="15"/>
      <c r="AB38" s="14"/>
      <c r="AC38" s="23"/>
      <c r="AD38" s="15"/>
      <c r="AE38" s="25"/>
      <c r="AF38" s="23"/>
      <c r="AG38" s="15"/>
      <c r="AH38" s="14"/>
      <c r="AI38" s="23"/>
      <c r="AJ38" s="15"/>
      <c r="AK38" s="25"/>
      <c r="AL38" s="23"/>
      <c r="AM38" s="15"/>
      <c r="AN38" s="14"/>
      <c r="AO38" s="23"/>
      <c r="AP38" s="15"/>
      <c r="AQ38" s="25"/>
      <c r="AR38" s="23"/>
      <c r="AS38" s="15"/>
      <c r="AT38" s="14"/>
      <c r="AU38" s="23"/>
      <c r="AV38" s="15"/>
      <c r="AW38" s="25"/>
      <c r="AX38" s="23"/>
      <c r="AY38" s="15"/>
      <c r="AZ38" s="14"/>
      <c r="BA38" s="23"/>
      <c r="BB38" s="15"/>
      <c r="BC38" s="25"/>
      <c r="BD38" s="23"/>
      <c r="BE38" s="15"/>
      <c r="BF38" s="14"/>
      <c r="BG38" s="23"/>
      <c r="BH38" s="15"/>
      <c r="BI38" s="25"/>
      <c r="BJ38" s="23"/>
      <c r="BK38" s="15"/>
      <c r="BL38" s="14"/>
      <c r="BM38" s="23"/>
      <c r="BN38" s="15"/>
      <c r="BO38" s="25"/>
      <c r="BP38" s="23"/>
      <c r="BQ38" s="15"/>
      <c r="BR38" s="14"/>
      <c r="BS38" s="23"/>
      <c r="BT38" s="15"/>
      <c r="BU38" s="25"/>
      <c r="BV38" s="23"/>
      <c r="BW38" s="15"/>
      <c r="BX38" s="14"/>
      <c r="BY38" s="23"/>
      <c r="BZ38" s="15"/>
    </row>
    <row r="39" customFormat="false" ht="15" hidden="false" customHeight="false" outlineLevel="0" collapsed="false">
      <c r="A39" s="14"/>
      <c r="B39" s="17" t="str">
        <f aca="false">IF($A39="","",IFERROR(INDEX(Policy!$B$2:$B$301,MATCH($A39,Policy!$A$2:$A$301,0)),"MRO không có"))</f>
        <v/>
      </c>
      <c r="C39" s="17" t="str">
        <f aca="false">IF($A39="","",IFERROR(INDEX(Policy!$E$2:$E$301,MATCH($A39,Policy!$A$2:$A$301,0)),"MRO không có"))</f>
        <v/>
      </c>
      <c r="D39" s="14"/>
      <c r="E39" s="15"/>
      <c r="F39" s="15"/>
      <c r="G39" s="25"/>
      <c r="H39" s="23"/>
      <c r="I39" s="15"/>
      <c r="J39" s="14"/>
      <c r="K39" s="23"/>
      <c r="L39" s="15"/>
      <c r="M39" s="25"/>
      <c r="N39" s="23"/>
      <c r="O39" s="15"/>
      <c r="P39" s="14"/>
      <c r="Q39" s="23"/>
      <c r="R39" s="15"/>
      <c r="S39" s="25"/>
      <c r="T39" s="23"/>
      <c r="U39" s="15"/>
      <c r="V39" s="14"/>
      <c r="W39" s="23"/>
      <c r="X39" s="15"/>
      <c r="Y39" s="25"/>
      <c r="Z39" s="23"/>
      <c r="AA39" s="15"/>
      <c r="AB39" s="14"/>
      <c r="AC39" s="23"/>
      <c r="AD39" s="15"/>
      <c r="AE39" s="25"/>
      <c r="AF39" s="23"/>
      <c r="AG39" s="15"/>
      <c r="AH39" s="14"/>
      <c r="AI39" s="23"/>
      <c r="AJ39" s="15"/>
      <c r="AK39" s="25"/>
      <c r="AL39" s="23"/>
      <c r="AM39" s="15"/>
      <c r="AN39" s="14"/>
      <c r="AO39" s="23"/>
      <c r="AP39" s="15"/>
      <c r="AQ39" s="25"/>
      <c r="AR39" s="23"/>
      <c r="AS39" s="15"/>
      <c r="AT39" s="14"/>
      <c r="AU39" s="23"/>
      <c r="AV39" s="15"/>
      <c r="AW39" s="25"/>
      <c r="AX39" s="23"/>
      <c r="AY39" s="15"/>
      <c r="AZ39" s="14"/>
      <c r="BA39" s="23"/>
      <c r="BB39" s="15"/>
      <c r="BC39" s="25"/>
      <c r="BD39" s="23"/>
      <c r="BE39" s="15"/>
      <c r="BF39" s="14"/>
      <c r="BG39" s="23"/>
      <c r="BH39" s="15"/>
      <c r="BI39" s="25"/>
      <c r="BJ39" s="23"/>
      <c r="BK39" s="15"/>
      <c r="BL39" s="14"/>
      <c r="BM39" s="23"/>
      <c r="BN39" s="15"/>
      <c r="BO39" s="25"/>
      <c r="BP39" s="23"/>
      <c r="BQ39" s="15"/>
      <c r="BR39" s="14"/>
      <c r="BS39" s="23"/>
      <c r="BT39" s="15"/>
      <c r="BU39" s="25"/>
      <c r="BV39" s="23"/>
      <c r="BW39" s="15"/>
      <c r="BX39" s="14"/>
      <c r="BY39" s="23"/>
      <c r="BZ39" s="15"/>
    </row>
    <row r="40" customFormat="false" ht="15" hidden="false" customHeight="false" outlineLevel="0" collapsed="false">
      <c r="A40" s="14"/>
      <c r="B40" s="17" t="str">
        <f aca="false">IF($A40="","",IFERROR(INDEX(Policy!$B$2:$B$301,MATCH($A40,Policy!$A$2:$A$301,0)),"MRO không có"))</f>
        <v/>
      </c>
      <c r="C40" s="17" t="str">
        <f aca="false">IF($A40="","",IFERROR(INDEX(Policy!$E$2:$E$301,MATCH($A40,Policy!$A$2:$A$301,0)),"MRO không có"))</f>
        <v/>
      </c>
      <c r="D40" s="14"/>
      <c r="E40" s="15"/>
      <c r="F40" s="15"/>
      <c r="G40" s="25"/>
      <c r="H40" s="23"/>
      <c r="I40" s="15"/>
      <c r="J40" s="14"/>
      <c r="K40" s="23"/>
      <c r="L40" s="15"/>
      <c r="M40" s="25"/>
      <c r="N40" s="23"/>
      <c r="O40" s="15"/>
      <c r="P40" s="14"/>
      <c r="Q40" s="23"/>
      <c r="R40" s="15"/>
      <c r="S40" s="25"/>
      <c r="T40" s="23"/>
      <c r="U40" s="15"/>
      <c r="V40" s="14"/>
      <c r="W40" s="23"/>
      <c r="X40" s="15"/>
      <c r="Y40" s="25"/>
      <c r="Z40" s="23"/>
      <c r="AA40" s="15"/>
      <c r="AB40" s="14"/>
      <c r="AC40" s="23"/>
      <c r="AD40" s="15"/>
      <c r="AE40" s="25"/>
      <c r="AF40" s="23"/>
      <c r="AG40" s="15"/>
      <c r="AH40" s="14"/>
      <c r="AI40" s="23"/>
      <c r="AJ40" s="15"/>
      <c r="AK40" s="25"/>
      <c r="AL40" s="23"/>
      <c r="AM40" s="15"/>
      <c r="AN40" s="14"/>
      <c r="AO40" s="23"/>
      <c r="AP40" s="15"/>
      <c r="AQ40" s="25"/>
      <c r="AR40" s="23"/>
      <c r="AS40" s="15"/>
      <c r="AT40" s="14"/>
      <c r="AU40" s="23"/>
      <c r="AV40" s="15"/>
      <c r="AW40" s="25"/>
      <c r="AX40" s="23"/>
      <c r="AY40" s="15"/>
      <c r="AZ40" s="14"/>
      <c r="BA40" s="23"/>
      <c r="BB40" s="15"/>
      <c r="BC40" s="25"/>
      <c r="BD40" s="23"/>
      <c r="BE40" s="15"/>
      <c r="BF40" s="14"/>
      <c r="BG40" s="23"/>
      <c r="BH40" s="15"/>
      <c r="BI40" s="25"/>
      <c r="BJ40" s="23"/>
      <c r="BK40" s="15"/>
      <c r="BL40" s="14"/>
      <c r="BM40" s="23"/>
      <c r="BN40" s="15"/>
      <c r="BO40" s="25"/>
      <c r="BP40" s="23"/>
      <c r="BQ40" s="15"/>
      <c r="BR40" s="14"/>
      <c r="BS40" s="23"/>
      <c r="BT40" s="15"/>
      <c r="BU40" s="25"/>
      <c r="BV40" s="23"/>
      <c r="BW40" s="15"/>
      <c r="BX40" s="14"/>
      <c r="BY40" s="23"/>
      <c r="BZ40" s="15"/>
    </row>
    <row r="41" customFormat="false" ht="15" hidden="false" customHeight="false" outlineLevel="0" collapsed="false">
      <c r="A41" s="14"/>
      <c r="B41" s="17" t="str">
        <f aca="false">IF($A41="","",IFERROR(INDEX(Policy!$B$2:$B$301,MATCH($A41,Policy!$A$2:$A$301,0)),"MRO không có"))</f>
        <v/>
      </c>
      <c r="C41" s="17" t="str">
        <f aca="false">IF($A41="","",IFERROR(INDEX(Policy!$E$2:$E$301,MATCH($A41,Policy!$A$2:$A$301,0)),"MRO không có"))</f>
        <v/>
      </c>
      <c r="D41" s="14"/>
      <c r="E41" s="15"/>
      <c r="F41" s="15"/>
      <c r="G41" s="25"/>
      <c r="H41" s="23"/>
      <c r="I41" s="15"/>
      <c r="J41" s="14"/>
      <c r="K41" s="23"/>
      <c r="L41" s="15"/>
      <c r="M41" s="25"/>
      <c r="N41" s="23"/>
      <c r="O41" s="15"/>
      <c r="P41" s="14"/>
      <c r="Q41" s="23"/>
      <c r="R41" s="15"/>
      <c r="S41" s="25"/>
      <c r="T41" s="23"/>
      <c r="U41" s="15"/>
      <c r="V41" s="14"/>
      <c r="W41" s="23"/>
      <c r="X41" s="15"/>
      <c r="Y41" s="25"/>
      <c r="Z41" s="23"/>
      <c r="AA41" s="15"/>
      <c r="AB41" s="14"/>
      <c r="AC41" s="23"/>
      <c r="AD41" s="15"/>
      <c r="AE41" s="25"/>
      <c r="AF41" s="23"/>
      <c r="AG41" s="15"/>
      <c r="AH41" s="14"/>
      <c r="AI41" s="23"/>
      <c r="AJ41" s="15"/>
      <c r="AK41" s="25"/>
      <c r="AL41" s="23"/>
      <c r="AM41" s="15"/>
      <c r="AN41" s="14"/>
      <c r="AO41" s="23"/>
      <c r="AP41" s="15"/>
      <c r="AQ41" s="25"/>
      <c r="AR41" s="23"/>
      <c r="AS41" s="15"/>
      <c r="AT41" s="14"/>
      <c r="AU41" s="23"/>
      <c r="AV41" s="15"/>
      <c r="AW41" s="25"/>
      <c r="AX41" s="23"/>
      <c r="AY41" s="15"/>
      <c r="AZ41" s="14"/>
      <c r="BA41" s="23"/>
      <c r="BB41" s="15"/>
      <c r="BC41" s="25"/>
      <c r="BD41" s="23"/>
      <c r="BE41" s="15"/>
      <c r="BF41" s="14"/>
      <c r="BG41" s="23"/>
      <c r="BH41" s="15"/>
      <c r="BI41" s="25"/>
      <c r="BJ41" s="23"/>
      <c r="BK41" s="15"/>
      <c r="BL41" s="14"/>
      <c r="BM41" s="23"/>
      <c r="BN41" s="15"/>
      <c r="BO41" s="25"/>
      <c r="BP41" s="23"/>
      <c r="BQ41" s="15"/>
      <c r="BR41" s="14"/>
      <c r="BS41" s="23"/>
      <c r="BT41" s="15"/>
      <c r="BU41" s="25"/>
      <c r="BV41" s="23"/>
      <c r="BW41" s="15"/>
      <c r="BX41" s="14"/>
      <c r="BY41" s="23"/>
      <c r="BZ41" s="15"/>
    </row>
    <row r="42" customFormat="false" ht="15" hidden="false" customHeight="false" outlineLevel="0" collapsed="false">
      <c r="A42" s="14"/>
      <c r="B42" s="17" t="str">
        <f aca="false">IF($A42="","",IFERROR(INDEX(Policy!$B$2:$B$301,MATCH($A42,Policy!$A$2:$A$301,0)),"MRO không có"))</f>
        <v/>
      </c>
      <c r="C42" s="17" t="str">
        <f aca="false">IF($A42="","",IFERROR(INDEX(Policy!$E$2:$E$301,MATCH($A42,Policy!$A$2:$A$301,0)),"MRO không có"))</f>
        <v/>
      </c>
      <c r="D42" s="14"/>
      <c r="E42" s="15"/>
      <c r="F42" s="15"/>
      <c r="G42" s="25"/>
      <c r="H42" s="23"/>
      <c r="I42" s="15"/>
      <c r="J42" s="14"/>
      <c r="K42" s="23"/>
      <c r="L42" s="15"/>
      <c r="M42" s="25"/>
      <c r="N42" s="23"/>
      <c r="O42" s="15"/>
      <c r="P42" s="14"/>
      <c r="Q42" s="23"/>
      <c r="R42" s="15"/>
      <c r="S42" s="25"/>
      <c r="T42" s="23"/>
      <c r="U42" s="15"/>
      <c r="V42" s="14"/>
      <c r="W42" s="23"/>
      <c r="X42" s="15"/>
      <c r="Y42" s="25"/>
      <c r="Z42" s="23"/>
      <c r="AA42" s="15"/>
      <c r="AB42" s="14"/>
      <c r="AC42" s="23"/>
      <c r="AD42" s="15"/>
      <c r="AE42" s="25"/>
      <c r="AF42" s="23"/>
      <c r="AG42" s="15"/>
      <c r="AH42" s="14"/>
      <c r="AI42" s="23"/>
      <c r="AJ42" s="15"/>
      <c r="AK42" s="25"/>
      <c r="AL42" s="23"/>
      <c r="AM42" s="15"/>
      <c r="AN42" s="14"/>
      <c r="AO42" s="23"/>
      <c r="AP42" s="15"/>
      <c r="AQ42" s="25"/>
      <c r="AR42" s="23"/>
      <c r="AS42" s="15"/>
      <c r="AT42" s="14"/>
      <c r="AU42" s="23"/>
      <c r="AV42" s="15"/>
      <c r="AW42" s="25"/>
      <c r="AX42" s="23"/>
      <c r="AY42" s="15"/>
      <c r="AZ42" s="14"/>
      <c r="BA42" s="23"/>
      <c r="BB42" s="15"/>
      <c r="BC42" s="25"/>
      <c r="BD42" s="23"/>
      <c r="BE42" s="15"/>
      <c r="BF42" s="14"/>
      <c r="BG42" s="23"/>
      <c r="BH42" s="15"/>
      <c r="BI42" s="25"/>
      <c r="BJ42" s="23"/>
      <c r="BK42" s="15"/>
      <c r="BL42" s="14"/>
      <c r="BM42" s="23"/>
      <c r="BN42" s="15"/>
      <c r="BO42" s="25"/>
      <c r="BP42" s="23"/>
      <c r="BQ42" s="15"/>
      <c r="BR42" s="14"/>
      <c r="BS42" s="23"/>
      <c r="BT42" s="15"/>
      <c r="BU42" s="25"/>
      <c r="BV42" s="23"/>
      <c r="BW42" s="15"/>
      <c r="BX42" s="14"/>
      <c r="BY42" s="23"/>
      <c r="BZ42" s="15"/>
    </row>
    <row r="43" customFormat="false" ht="15" hidden="false" customHeight="false" outlineLevel="0" collapsed="false">
      <c r="A43" s="14"/>
      <c r="B43" s="17" t="str">
        <f aca="false">IF($A43="","",IFERROR(INDEX(Policy!$B$2:$B$301,MATCH($A43,Policy!$A$2:$A$301,0)),"MRO không có"))</f>
        <v/>
      </c>
      <c r="C43" s="17" t="str">
        <f aca="false">IF($A43="","",IFERROR(INDEX(Policy!$E$2:$E$301,MATCH($A43,Policy!$A$2:$A$301,0)),"MRO không có"))</f>
        <v/>
      </c>
      <c r="D43" s="14"/>
      <c r="E43" s="15"/>
      <c r="F43" s="15"/>
      <c r="G43" s="25"/>
      <c r="H43" s="23"/>
      <c r="I43" s="15"/>
      <c r="J43" s="14"/>
      <c r="K43" s="23"/>
      <c r="L43" s="15"/>
      <c r="M43" s="25"/>
      <c r="N43" s="23"/>
      <c r="O43" s="15"/>
      <c r="P43" s="14"/>
      <c r="Q43" s="23"/>
      <c r="R43" s="15"/>
      <c r="S43" s="25"/>
      <c r="T43" s="23"/>
      <c r="U43" s="15"/>
      <c r="V43" s="14"/>
      <c r="W43" s="23"/>
      <c r="X43" s="15"/>
      <c r="Y43" s="25"/>
      <c r="Z43" s="23"/>
      <c r="AA43" s="15"/>
      <c r="AB43" s="14"/>
      <c r="AC43" s="23"/>
      <c r="AD43" s="15"/>
      <c r="AE43" s="25"/>
      <c r="AF43" s="23"/>
      <c r="AG43" s="15"/>
      <c r="AH43" s="14"/>
      <c r="AI43" s="23"/>
      <c r="AJ43" s="15"/>
      <c r="AK43" s="25"/>
      <c r="AL43" s="23"/>
      <c r="AM43" s="15"/>
      <c r="AN43" s="14"/>
      <c r="AO43" s="23"/>
      <c r="AP43" s="15"/>
      <c r="AQ43" s="25"/>
      <c r="AR43" s="23"/>
      <c r="AS43" s="15"/>
      <c r="AT43" s="14"/>
      <c r="AU43" s="23"/>
      <c r="AV43" s="15"/>
      <c r="AW43" s="25"/>
      <c r="AX43" s="23"/>
      <c r="AY43" s="15"/>
      <c r="AZ43" s="14"/>
      <c r="BA43" s="23"/>
      <c r="BB43" s="15"/>
      <c r="BC43" s="25"/>
      <c r="BD43" s="23"/>
      <c r="BE43" s="15"/>
      <c r="BF43" s="14"/>
      <c r="BG43" s="23"/>
      <c r="BH43" s="15"/>
      <c r="BI43" s="25"/>
      <c r="BJ43" s="23"/>
      <c r="BK43" s="15"/>
      <c r="BL43" s="14"/>
      <c r="BM43" s="23"/>
      <c r="BN43" s="15"/>
      <c r="BO43" s="25"/>
      <c r="BP43" s="23"/>
      <c r="BQ43" s="15"/>
      <c r="BR43" s="14"/>
      <c r="BS43" s="23"/>
      <c r="BT43" s="15"/>
      <c r="BU43" s="25"/>
      <c r="BV43" s="23"/>
      <c r="BW43" s="15"/>
      <c r="BX43" s="14"/>
      <c r="BY43" s="23"/>
      <c r="BZ43" s="15"/>
    </row>
    <row r="44" customFormat="false" ht="15" hidden="false" customHeight="false" outlineLevel="0" collapsed="false">
      <c r="A44" s="14"/>
      <c r="B44" s="17" t="str">
        <f aca="false">IF($A44="","",IFERROR(INDEX(Policy!$B$2:$B$301,MATCH($A44,Policy!$A$2:$A$301,0)),"MRO không có"))</f>
        <v/>
      </c>
      <c r="C44" s="17" t="str">
        <f aca="false">IF($A44="","",IFERROR(INDEX(Policy!$E$2:$E$301,MATCH($A44,Policy!$A$2:$A$301,0)),"MRO không có"))</f>
        <v/>
      </c>
      <c r="D44" s="14"/>
      <c r="E44" s="15"/>
      <c r="F44" s="15"/>
      <c r="G44" s="25"/>
      <c r="H44" s="23"/>
      <c r="I44" s="15"/>
      <c r="J44" s="14"/>
      <c r="K44" s="23"/>
      <c r="L44" s="15"/>
      <c r="M44" s="25"/>
      <c r="N44" s="23"/>
      <c r="O44" s="15"/>
      <c r="P44" s="14"/>
      <c r="Q44" s="23"/>
      <c r="R44" s="15"/>
      <c r="S44" s="25"/>
      <c r="T44" s="23"/>
      <c r="U44" s="15"/>
      <c r="V44" s="14"/>
      <c r="W44" s="23"/>
      <c r="X44" s="15"/>
      <c r="Y44" s="25"/>
      <c r="Z44" s="23"/>
      <c r="AA44" s="15"/>
      <c r="AB44" s="14"/>
      <c r="AC44" s="23"/>
      <c r="AD44" s="15"/>
      <c r="AE44" s="25"/>
      <c r="AF44" s="23"/>
      <c r="AG44" s="15"/>
      <c r="AH44" s="14"/>
      <c r="AI44" s="23"/>
      <c r="AJ44" s="15"/>
      <c r="AK44" s="25"/>
      <c r="AL44" s="23"/>
      <c r="AM44" s="15"/>
      <c r="AN44" s="14"/>
      <c r="AO44" s="23"/>
      <c r="AP44" s="15"/>
      <c r="AQ44" s="25"/>
      <c r="AR44" s="23"/>
      <c r="AS44" s="15"/>
      <c r="AT44" s="14"/>
      <c r="AU44" s="23"/>
      <c r="AV44" s="15"/>
      <c r="AW44" s="25"/>
      <c r="AX44" s="23"/>
      <c r="AY44" s="15"/>
      <c r="AZ44" s="14"/>
      <c r="BA44" s="23"/>
      <c r="BB44" s="15"/>
      <c r="BC44" s="25"/>
      <c r="BD44" s="23"/>
      <c r="BE44" s="15"/>
      <c r="BF44" s="14"/>
      <c r="BG44" s="23"/>
      <c r="BH44" s="15"/>
      <c r="BI44" s="25"/>
      <c r="BJ44" s="23"/>
      <c r="BK44" s="15"/>
      <c r="BL44" s="14"/>
      <c r="BM44" s="23"/>
      <c r="BN44" s="15"/>
      <c r="BO44" s="25"/>
      <c r="BP44" s="23"/>
      <c r="BQ44" s="15"/>
      <c r="BR44" s="14"/>
      <c r="BS44" s="23"/>
      <c r="BT44" s="15"/>
      <c r="BU44" s="25"/>
      <c r="BV44" s="23"/>
      <c r="BW44" s="15"/>
      <c r="BX44" s="14"/>
      <c r="BY44" s="23"/>
      <c r="BZ44" s="15"/>
    </row>
    <row r="45" customFormat="false" ht="15" hidden="false" customHeight="false" outlineLevel="0" collapsed="false">
      <c r="A45" s="14"/>
      <c r="B45" s="17" t="str">
        <f aca="false">IF($A45="","",IFERROR(INDEX(Policy!$B$2:$B$301,MATCH($A45,Policy!$A$2:$A$301,0)),"MRO không có"))</f>
        <v/>
      </c>
      <c r="C45" s="17" t="str">
        <f aca="false">IF($A45="","",IFERROR(INDEX(Policy!$E$2:$E$301,MATCH($A45,Policy!$A$2:$A$301,0)),"MRO không có"))</f>
        <v/>
      </c>
      <c r="D45" s="14"/>
      <c r="E45" s="15"/>
      <c r="F45" s="15"/>
      <c r="G45" s="25"/>
      <c r="H45" s="23"/>
      <c r="I45" s="15"/>
      <c r="J45" s="14"/>
      <c r="K45" s="23"/>
      <c r="L45" s="15"/>
      <c r="M45" s="25"/>
      <c r="N45" s="23"/>
      <c r="O45" s="15"/>
      <c r="P45" s="14"/>
      <c r="Q45" s="23"/>
      <c r="R45" s="15"/>
      <c r="S45" s="25"/>
      <c r="T45" s="23"/>
      <c r="U45" s="15"/>
      <c r="V45" s="14"/>
      <c r="W45" s="23"/>
      <c r="X45" s="15"/>
      <c r="Y45" s="25"/>
      <c r="Z45" s="23"/>
      <c r="AA45" s="15"/>
      <c r="AB45" s="14"/>
      <c r="AC45" s="23"/>
      <c r="AD45" s="15"/>
      <c r="AE45" s="25"/>
      <c r="AF45" s="23"/>
      <c r="AG45" s="15"/>
      <c r="AH45" s="14"/>
      <c r="AI45" s="23"/>
      <c r="AJ45" s="15"/>
      <c r="AK45" s="25"/>
      <c r="AL45" s="23"/>
      <c r="AM45" s="15"/>
      <c r="AN45" s="14"/>
      <c r="AO45" s="23"/>
      <c r="AP45" s="15"/>
      <c r="AQ45" s="25"/>
      <c r="AR45" s="23"/>
      <c r="AS45" s="15"/>
      <c r="AT45" s="14"/>
      <c r="AU45" s="23"/>
      <c r="AV45" s="15"/>
      <c r="AW45" s="25"/>
      <c r="AX45" s="23"/>
      <c r="AY45" s="15"/>
      <c r="AZ45" s="14"/>
      <c r="BA45" s="23"/>
      <c r="BB45" s="15"/>
      <c r="BC45" s="25"/>
      <c r="BD45" s="23"/>
      <c r="BE45" s="15"/>
      <c r="BF45" s="14"/>
      <c r="BG45" s="23"/>
      <c r="BH45" s="15"/>
      <c r="BI45" s="25"/>
      <c r="BJ45" s="23"/>
      <c r="BK45" s="15"/>
      <c r="BL45" s="14"/>
      <c r="BM45" s="23"/>
      <c r="BN45" s="15"/>
      <c r="BO45" s="25"/>
      <c r="BP45" s="23"/>
      <c r="BQ45" s="15"/>
      <c r="BR45" s="14"/>
      <c r="BS45" s="23"/>
      <c r="BT45" s="15"/>
      <c r="BU45" s="25"/>
      <c r="BV45" s="23"/>
      <c r="BW45" s="15"/>
      <c r="BX45" s="14"/>
      <c r="BY45" s="23"/>
      <c r="BZ45" s="15"/>
    </row>
    <row r="46" customFormat="false" ht="15" hidden="false" customHeight="false" outlineLevel="0" collapsed="false">
      <c r="A46" s="14"/>
      <c r="B46" s="17" t="str">
        <f aca="false">IF($A46="","",IFERROR(INDEX(Policy!$B$2:$B$301,MATCH($A46,Policy!$A$2:$A$301,0)),"MRO không có"))</f>
        <v/>
      </c>
      <c r="C46" s="17" t="str">
        <f aca="false">IF($A46="","",IFERROR(INDEX(Policy!$E$2:$E$301,MATCH($A46,Policy!$A$2:$A$301,0)),"MRO không có"))</f>
        <v/>
      </c>
      <c r="D46" s="14"/>
      <c r="E46" s="15"/>
      <c r="F46" s="15"/>
      <c r="G46" s="25"/>
      <c r="H46" s="23"/>
      <c r="I46" s="15"/>
      <c r="J46" s="14"/>
      <c r="K46" s="23"/>
      <c r="L46" s="15"/>
      <c r="M46" s="25"/>
      <c r="N46" s="23"/>
      <c r="O46" s="15"/>
      <c r="P46" s="14"/>
      <c r="Q46" s="23"/>
      <c r="R46" s="15"/>
      <c r="S46" s="25"/>
      <c r="T46" s="23"/>
      <c r="U46" s="15"/>
      <c r="V46" s="14"/>
      <c r="W46" s="23"/>
      <c r="X46" s="15"/>
      <c r="Y46" s="25"/>
      <c r="Z46" s="23"/>
      <c r="AA46" s="15"/>
      <c r="AB46" s="14"/>
      <c r="AC46" s="23"/>
      <c r="AD46" s="15"/>
      <c r="AE46" s="25"/>
      <c r="AF46" s="23"/>
      <c r="AG46" s="15"/>
      <c r="AH46" s="14"/>
      <c r="AI46" s="23"/>
      <c r="AJ46" s="15"/>
      <c r="AK46" s="25"/>
      <c r="AL46" s="23"/>
      <c r="AM46" s="15"/>
      <c r="AN46" s="14"/>
      <c r="AO46" s="23"/>
      <c r="AP46" s="15"/>
      <c r="AQ46" s="25"/>
      <c r="AR46" s="23"/>
      <c r="AS46" s="15"/>
      <c r="AT46" s="14"/>
      <c r="AU46" s="23"/>
      <c r="AV46" s="15"/>
      <c r="AW46" s="25"/>
      <c r="AX46" s="23"/>
      <c r="AY46" s="15"/>
      <c r="AZ46" s="14"/>
      <c r="BA46" s="23"/>
      <c r="BB46" s="15"/>
      <c r="BC46" s="25"/>
      <c r="BD46" s="23"/>
      <c r="BE46" s="15"/>
      <c r="BF46" s="14"/>
      <c r="BG46" s="23"/>
      <c r="BH46" s="15"/>
      <c r="BI46" s="25"/>
      <c r="BJ46" s="23"/>
      <c r="BK46" s="15"/>
      <c r="BL46" s="14"/>
      <c r="BM46" s="23"/>
      <c r="BN46" s="15"/>
      <c r="BO46" s="25"/>
      <c r="BP46" s="23"/>
      <c r="BQ46" s="15"/>
      <c r="BR46" s="14"/>
      <c r="BS46" s="23"/>
      <c r="BT46" s="15"/>
      <c r="BU46" s="25"/>
      <c r="BV46" s="23"/>
      <c r="BW46" s="15"/>
      <c r="BX46" s="14"/>
      <c r="BY46" s="23"/>
      <c r="BZ46" s="15"/>
    </row>
    <row r="47" customFormat="false" ht="15" hidden="false" customHeight="false" outlineLevel="0" collapsed="false">
      <c r="A47" s="14"/>
      <c r="B47" s="17" t="str">
        <f aca="false">IF($A47="","",IFERROR(INDEX(Policy!$B$2:$B$301,MATCH($A47,Policy!$A$2:$A$301,0)),"MRO không có"))</f>
        <v/>
      </c>
      <c r="C47" s="17" t="str">
        <f aca="false">IF($A47="","",IFERROR(INDEX(Policy!$E$2:$E$301,MATCH($A47,Policy!$A$2:$A$301,0)),"MRO không có"))</f>
        <v/>
      </c>
      <c r="D47" s="14"/>
      <c r="E47" s="15"/>
      <c r="F47" s="15"/>
      <c r="G47" s="25"/>
      <c r="H47" s="23"/>
      <c r="I47" s="15"/>
      <c r="J47" s="14"/>
      <c r="K47" s="23"/>
      <c r="L47" s="15"/>
      <c r="M47" s="25"/>
      <c r="N47" s="23"/>
      <c r="O47" s="15"/>
      <c r="P47" s="14"/>
      <c r="Q47" s="23"/>
      <c r="R47" s="15"/>
      <c r="S47" s="25"/>
      <c r="T47" s="23"/>
      <c r="U47" s="15"/>
      <c r="V47" s="14"/>
      <c r="W47" s="23"/>
      <c r="X47" s="15"/>
      <c r="Y47" s="25"/>
      <c r="Z47" s="23"/>
      <c r="AA47" s="15"/>
      <c r="AB47" s="14"/>
      <c r="AC47" s="23"/>
      <c r="AD47" s="15"/>
      <c r="AE47" s="25"/>
      <c r="AF47" s="23"/>
      <c r="AG47" s="15"/>
      <c r="AH47" s="14"/>
      <c r="AI47" s="23"/>
      <c r="AJ47" s="15"/>
      <c r="AK47" s="25"/>
      <c r="AL47" s="23"/>
      <c r="AM47" s="15"/>
      <c r="AN47" s="14"/>
      <c r="AO47" s="23"/>
      <c r="AP47" s="15"/>
      <c r="AQ47" s="25"/>
      <c r="AR47" s="23"/>
      <c r="AS47" s="15"/>
      <c r="AT47" s="14"/>
      <c r="AU47" s="23"/>
      <c r="AV47" s="15"/>
      <c r="AW47" s="25"/>
      <c r="AX47" s="23"/>
      <c r="AY47" s="15"/>
      <c r="AZ47" s="14"/>
      <c r="BA47" s="23"/>
      <c r="BB47" s="15"/>
      <c r="BC47" s="25"/>
      <c r="BD47" s="23"/>
      <c r="BE47" s="15"/>
      <c r="BF47" s="14"/>
      <c r="BG47" s="23"/>
      <c r="BH47" s="15"/>
      <c r="BI47" s="25"/>
      <c r="BJ47" s="23"/>
      <c r="BK47" s="15"/>
      <c r="BL47" s="14"/>
      <c r="BM47" s="23"/>
      <c r="BN47" s="15"/>
      <c r="BO47" s="25"/>
      <c r="BP47" s="23"/>
      <c r="BQ47" s="15"/>
      <c r="BR47" s="14"/>
      <c r="BS47" s="23"/>
      <c r="BT47" s="15"/>
      <c r="BU47" s="25"/>
      <c r="BV47" s="23"/>
      <c r="BW47" s="15"/>
      <c r="BX47" s="14"/>
      <c r="BY47" s="23"/>
      <c r="BZ47" s="15"/>
    </row>
    <row r="48" customFormat="false" ht="15" hidden="false" customHeight="false" outlineLevel="0" collapsed="false">
      <c r="A48" s="14"/>
      <c r="B48" s="17" t="str">
        <f aca="false">IF($A48="","",IFERROR(INDEX(Policy!$B$2:$B$301,MATCH($A48,Policy!$A$2:$A$301,0)),"MRO không có"))</f>
        <v/>
      </c>
      <c r="C48" s="17" t="str">
        <f aca="false">IF($A48="","",IFERROR(INDEX(Policy!$E$2:$E$301,MATCH($A48,Policy!$A$2:$A$301,0)),"MRO không có"))</f>
        <v/>
      </c>
      <c r="D48" s="14"/>
      <c r="E48" s="15"/>
      <c r="F48" s="15"/>
      <c r="G48" s="25"/>
      <c r="H48" s="23"/>
      <c r="I48" s="15"/>
      <c r="J48" s="14"/>
      <c r="K48" s="23"/>
      <c r="L48" s="15"/>
      <c r="M48" s="25"/>
      <c r="N48" s="23"/>
      <c r="O48" s="15"/>
      <c r="P48" s="14"/>
      <c r="Q48" s="23"/>
      <c r="R48" s="15"/>
      <c r="S48" s="25"/>
      <c r="T48" s="23"/>
      <c r="U48" s="15"/>
      <c r="V48" s="14"/>
      <c r="W48" s="23"/>
      <c r="X48" s="15"/>
      <c r="Y48" s="25"/>
      <c r="Z48" s="23"/>
      <c r="AA48" s="15"/>
      <c r="AB48" s="14"/>
      <c r="AC48" s="23"/>
      <c r="AD48" s="15"/>
      <c r="AE48" s="25"/>
      <c r="AF48" s="23"/>
      <c r="AG48" s="15"/>
      <c r="AH48" s="14"/>
      <c r="AI48" s="23"/>
      <c r="AJ48" s="15"/>
      <c r="AK48" s="25"/>
      <c r="AL48" s="23"/>
      <c r="AM48" s="15"/>
      <c r="AN48" s="14"/>
      <c r="AO48" s="23"/>
      <c r="AP48" s="15"/>
      <c r="AQ48" s="25"/>
      <c r="AR48" s="23"/>
      <c r="AS48" s="15"/>
      <c r="AT48" s="14"/>
      <c r="AU48" s="23"/>
      <c r="AV48" s="15"/>
      <c r="AW48" s="25"/>
      <c r="AX48" s="23"/>
      <c r="AY48" s="15"/>
      <c r="AZ48" s="14"/>
      <c r="BA48" s="23"/>
      <c r="BB48" s="15"/>
      <c r="BC48" s="25"/>
      <c r="BD48" s="23"/>
      <c r="BE48" s="15"/>
      <c r="BF48" s="14"/>
      <c r="BG48" s="23"/>
      <c r="BH48" s="15"/>
      <c r="BI48" s="25"/>
      <c r="BJ48" s="23"/>
      <c r="BK48" s="15"/>
      <c r="BL48" s="14"/>
      <c r="BM48" s="23"/>
      <c r="BN48" s="15"/>
      <c r="BO48" s="25"/>
      <c r="BP48" s="23"/>
      <c r="BQ48" s="15"/>
      <c r="BR48" s="14"/>
      <c r="BS48" s="23"/>
      <c r="BT48" s="15"/>
      <c r="BU48" s="25"/>
      <c r="BV48" s="23"/>
      <c r="BW48" s="15"/>
      <c r="BX48" s="14"/>
      <c r="BY48" s="23"/>
      <c r="BZ48" s="15"/>
    </row>
    <row r="49" customFormat="false" ht="15" hidden="false" customHeight="false" outlineLevel="0" collapsed="false">
      <c r="A49" s="14"/>
      <c r="B49" s="17" t="str">
        <f aca="false">IF($A49="","",IFERROR(INDEX(Policy!$B$2:$B$301,MATCH($A49,Policy!$A$2:$A$301,0)),"MRO không có"))</f>
        <v/>
      </c>
      <c r="C49" s="17" t="str">
        <f aca="false">IF($A49="","",IFERROR(INDEX(Policy!$E$2:$E$301,MATCH($A49,Policy!$A$2:$A$301,0)),"MRO không có"))</f>
        <v/>
      </c>
      <c r="D49" s="14"/>
      <c r="E49" s="15"/>
      <c r="F49" s="15"/>
      <c r="G49" s="25"/>
      <c r="H49" s="23"/>
      <c r="I49" s="15"/>
      <c r="J49" s="14"/>
      <c r="K49" s="23"/>
      <c r="L49" s="15"/>
      <c r="M49" s="25"/>
      <c r="N49" s="23"/>
      <c r="O49" s="15"/>
      <c r="P49" s="14"/>
      <c r="Q49" s="23"/>
      <c r="R49" s="15"/>
      <c r="S49" s="25"/>
      <c r="T49" s="23"/>
      <c r="U49" s="15"/>
      <c r="V49" s="14"/>
      <c r="W49" s="23"/>
      <c r="X49" s="15"/>
      <c r="Y49" s="25"/>
      <c r="Z49" s="23"/>
      <c r="AA49" s="15"/>
      <c r="AB49" s="14"/>
      <c r="AC49" s="23"/>
      <c r="AD49" s="15"/>
      <c r="AE49" s="25"/>
      <c r="AF49" s="23"/>
      <c r="AG49" s="15"/>
      <c r="AH49" s="14"/>
      <c r="AI49" s="23"/>
      <c r="AJ49" s="15"/>
      <c r="AK49" s="25"/>
      <c r="AL49" s="23"/>
      <c r="AM49" s="15"/>
      <c r="AN49" s="14"/>
      <c r="AO49" s="23"/>
      <c r="AP49" s="15"/>
      <c r="AQ49" s="25"/>
      <c r="AR49" s="23"/>
      <c r="AS49" s="15"/>
      <c r="AT49" s="14"/>
      <c r="AU49" s="23"/>
      <c r="AV49" s="15"/>
      <c r="AW49" s="25"/>
      <c r="AX49" s="23"/>
      <c r="AY49" s="15"/>
      <c r="AZ49" s="14"/>
      <c r="BA49" s="23"/>
      <c r="BB49" s="15"/>
      <c r="BC49" s="25"/>
      <c r="BD49" s="23"/>
      <c r="BE49" s="15"/>
      <c r="BF49" s="14"/>
      <c r="BG49" s="23"/>
      <c r="BH49" s="15"/>
      <c r="BI49" s="25"/>
      <c r="BJ49" s="23"/>
      <c r="BK49" s="15"/>
      <c r="BL49" s="14"/>
      <c r="BM49" s="23"/>
      <c r="BN49" s="15"/>
      <c r="BO49" s="25"/>
      <c r="BP49" s="23"/>
      <c r="BQ49" s="15"/>
      <c r="BR49" s="14"/>
      <c r="BS49" s="23"/>
      <c r="BT49" s="15"/>
      <c r="BU49" s="25"/>
      <c r="BV49" s="23"/>
      <c r="BW49" s="15"/>
      <c r="BX49" s="14"/>
      <c r="BY49" s="23"/>
      <c r="BZ49" s="15"/>
    </row>
    <row r="50" customFormat="false" ht="15" hidden="false" customHeight="false" outlineLevel="0" collapsed="false">
      <c r="A50" s="14"/>
      <c r="B50" s="17" t="str">
        <f aca="false">IF($A50="","",IFERROR(INDEX(Policy!$B$2:$B$301,MATCH($A50,Policy!$A$2:$A$301,0)),"MRO không có"))</f>
        <v/>
      </c>
      <c r="C50" s="17" t="str">
        <f aca="false">IF($A50="","",IFERROR(INDEX(Policy!$E$2:$E$301,MATCH($A50,Policy!$A$2:$A$301,0)),"MRO không có"))</f>
        <v/>
      </c>
      <c r="D50" s="14"/>
      <c r="E50" s="15"/>
      <c r="F50" s="15"/>
      <c r="G50" s="25"/>
      <c r="H50" s="23"/>
      <c r="I50" s="15"/>
      <c r="J50" s="14"/>
      <c r="K50" s="23"/>
      <c r="L50" s="15"/>
      <c r="M50" s="25"/>
      <c r="N50" s="23"/>
      <c r="O50" s="15"/>
      <c r="P50" s="14"/>
      <c r="Q50" s="23"/>
      <c r="R50" s="15"/>
      <c r="S50" s="25"/>
      <c r="T50" s="23"/>
      <c r="U50" s="15"/>
      <c r="V50" s="14"/>
      <c r="W50" s="23"/>
      <c r="X50" s="15"/>
      <c r="Y50" s="25"/>
      <c r="Z50" s="23"/>
      <c r="AA50" s="15"/>
      <c r="AB50" s="14"/>
      <c r="AC50" s="23"/>
      <c r="AD50" s="15"/>
      <c r="AE50" s="25"/>
      <c r="AF50" s="23"/>
      <c r="AG50" s="15"/>
      <c r="AH50" s="14"/>
      <c r="AI50" s="23"/>
      <c r="AJ50" s="15"/>
      <c r="AK50" s="25"/>
      <c r="AL50" s="23"/>
      <c r="AM50" s="15"/>
      <c r="AN50" s="14"/>
      <c r="AO50" s="23"/>
      <c r="AP50" s="15"/>
      <c r="AQ50" s="25"/>
      <c r="AR50" s="23"/>
      <c r="AS50" s="15"/>
      <c r="AT50" s="14"/>
      <c r="AU50" s="23"/>
      <c r="AV50" s="15"/>
      <c r="AW50" s="25"/>
      <c r="AX50" s="23"/>
      <c r="AY50" s="15"/>
      <c r="AZ50" s="14"/>
      <c r="BA50" s="23"/>
      <c r="BB50" s="15"/>
      <c r="BC50" s="25"/>
      <c r="BD50" s="23"/>
      <c r="BE50" s="15"/>
      <c r="BF50" s="14"/>
      <c r="BG50" s="23"/>
      <c r="BH50" s="15"/>
      <c r="BI50" s="25"/>
      <c r="BJ50" s="23"/>
      <c r="BK50" s="15"/>
      <c r="BL50" s="14"/>
      <c r="BM50" s="23"/>
      <c r="BN50" s="15"/>
      <c r="BO50" s="25"/>
      <c r="BP50" s="23"/>
      <c r="BQ50" s="15"/>
      <c r="BR50" s="14"/>
      <c r="BS50" s="23"/>
      <c r="BT50" s="15"/>
      <c r="BU50" s="25"/>
      <c r="BV50" s="23"/>
      <c r="BW50" s="15"/>
      <c r="BX50" s="14"/>
      <c r="BY50" s="23"/>
      <c r="BZ50" s="15"/>
    </row>
    <row r="51" customFormat="false" ht="15" hidden="false" customHeight="false" outlineLevel="0" collapsed="false">
      <c r="A51" s="14"/>
      <c r="B51" s="17" t="str">
        <f aca="false">IF($A51="","",IFERROR(INDEX(Policy!$B$2:$B$301,MATCH($A51,Policy!$A$2:$A$301,0)),"MRO không có"))</f>
        <v/>
      </c>
      <c r="C51" s="17" t="str">
        <f aca="false">IF($A51="","",IFERROR(INDEX(Policy!$E$2:$E$301,MATCH($A51,Policy!$A$2:$A$301,0)),"MRO không có"))</f>
        <v/>
      </c>
      <c r="D51" s="14"/>
      <c r="E51" s="15"/>
      <c r="F51" s="15"/>
      <c r="G51" s="25"/>
      <c r="H51" s="23"/>
      <c r="I51" s="15"/>
      <c r="J51" s="14"/>
      <c r="K51" s="23"/>
      <c r="L51" s="15"/>
      <c r="M51" s="25"/>
      <c r="N51" s="23"/>
      <c r="O51" s="15"/>
      <c r="P51" s="14"/>
      <c r="Q51" s="23"/>
      <c r="R51" s="15"/>
      <c r="S51" s="25"/>
      <c r="T51" s="23"/>
      <c r="U51" s="15"/>
      <c r="V51" s="14"/>
      <c r="W51" s="23"/>
      <c r="X51" s="15"/>
      <c r="Y51" s="25"/>
      <c r="Z51" s="23"/>
      <c r="AA51" s="15"/>
      <c r="AB51" s="14"/>
      <c r="AC51" s="23"/>
      <c r="AD51" s="15"/>
      <c r="AE51" s="25"/>
      <c r="AF51" s="23"/>
      <c r="AG51" s="15"/>
      <c r="AH51" s="14"/>
      <c r="AI51" s="23"/>
      <c r="AJ51" s="15"/>
      <c r="AK51" s="25"/>
      <c r="AL51" s="23"/>
      <c r="AM51" s="15"/>
      <c r="AN51" s="14"/>
      <c r="AO51" s="23"/>
      <c r="AP51" s="15"/>
      <c r="AQ51" s="25"/>
      <c r="AR51" s="23"/>
      <c r="AS51" s="15"/>
      <c r="AT51" s="14"/>
      <c r="AU51" s="23"/>
      <c r="AV51" s="15"/>
      <c r="AW51" s="25"/>
      <c r="AX51" s="23"/>
      <c r="AY51" s="15"/>
      <c r="AZ51" s="14"/>
      <c r="BA51" s="23"/>
      <c r="BB51" s="15"/>
      <c r="BC51" s="25"/>
      <c r="BD51" s="23"/>
      <c r="BE51" s="15"/>
      <c r="BF51" s="14"/>
      <c r="BG51" s="23"/>
      <c r="BH51" s="15"/>
      <c r="BI51" s="25"/>
      <c r="BJ51" s="23"/>
      <c r="BK51" s="15"/>
      <c r="BL51" s="14"/>
      <c r="BM51" s="23"/>
      <c r="BN51" s="15"/>
      <c r="BO51" s="25"/>
      <c r="BP51" s="23"/>
      <c r="BQ51" s="15"/>
      <c r="BR51" s="14"/>
      <c r="BS51" s="23"/>
      <c r="BT51" s="15"/>
      <c r="BU51" s="25"/>
      <c r="BV51" s="23"/>
      <c r="BW51" s="15"/>
      <c r="BX51" s="14"/>
      <c r="BY51" s="23"/>
      <c r="BZ51" s="15"/>
    </row>
    <row r="52" customFormat="false" ht="15" hidden="false" customHeight="false" outlineLevel="0" collapsed="false">
      <c r="A52" s="14"/>
      <c r="B52" s="17" t="str">
        <f aca="false">IF($A52="","",IFERROR(INDEX(Policy!$B$2:$B$301,MATCH($A52,Policy!$A$2:$A$301,0)),"MRO không có"))</f>
        <v/>
      </c>
      <c r="C52" s="17" t="str">
        <f aca="false">IF($A52="","",IFERROR(INDEX(Policy!$E$2:$E$301,MATCH($A52,Policy!$A$2:$A$301,0)),"MRO không có"))</f>
        <v/>
      </c>
      <c r="D52" s="14"/>
      <c r="E52" s="15"/>
      <c r="F52" s="15"/>
      <c r="G52" s="25"/>
      <c r="H52" s="23"/>
      <c r="I52" s="15"/>
      <c r="J52" s="14"/>
      <c r="K52" s="23"/>
      <c r="L52" s="15"/>
      <c r="M52" s="25"/>
      <c r="N52" s="23"/>
      <c r="O52" s="15"/>
      <c r="P52" s="14"/>
      <c r="Q52" s="23"/>
      <c r="R52" s="15"/>
      <c r="S52" s="25"/>
      <c r="T52" s="23"/>
      <c r="U52" s="15"/>
      <c r="V52" s="14"/>
      <c r="W52" s="23"/>
      <c r="X52" s="15"/>
      <c r="Y52" s="25"/>
      <c r="Z52" s="23"/>
      <c r="AA52" s="15"/>
      <c r="AB52" s="14"/>
      <c r="AC52" s="23"/>
      <c r="AD52" s="15"/>
      <c r="AE52" s="25"/>
      <c r="AF52" s="23"/>
      <c r="AG52" s="15"/>
      <c r="AH52" s="14"/>
      <c r="AI52" s="23"/>
      <c r="AJ52" s="15"/>
      <c r="AK52" s="25"/>
      <c r="AL52" s="23"/>
      <c r="AM52" s="15"/>
      <c r="AN52" s="14"/>
      <c r="AO52" s="23"/>
      <c r="AP52" s="15"/>
      <c r="AQ52" s="25"/>
      <c r="AR52" s="23"/>
      <c r="AS52" s="15"/>
      <c r="AT52" s="14"/>
      <c r="AU52" s="23"/>
      <c r="AV52" s="15"/>
      <c r="AW52" s="25"/>
      <c r="AX52" s="23"/>
      <c r="AY52" s="15"/>
      <c r="AZ52" s="14"/>
      <c r="BA52" s="23"/>
      <c r="BB52" s="15"/>
      <c r="BC52" s="25"/>
      <c r="BD52" s="23"/>
      <c r="BE52" s="15"/>
      <c r="BF52" s="14"/>
      <c r="BG52" s="23"/>
      <c r="BH52" s="15"/>
      <c r="BI52" s="25"/>
      <c r="BJ52" s="23"/>
      <c r="BK52" s="15"/>
      <c r="BL52" s="14"/>
      <c r="BM52" s="23"/>
      <c r="BN52" s="15"/>
      <c r="BO52" s="25"/>
      <c r="BP52" s="23"/>
      <c r="BQ52" s="15"/>
      <c r="BR52" s="14"/>
      <c r="BS52" s="23"/>
      <c r="BT52" s="15"/>
      <c r="BU52" s="25"/>
      <c r="BV52" s="23"/>
      <c r="BW52" s="15"/>
      <c r="BX52" s="14"/>
      <c r="BY52" s="23"/>
      <c r="BZ52" s="15"/>
    </row>
    <row r="53" customFormat="false" ht="15" hidden="false" customHeight="false" outlineLevel="0" collapsed="false">
      <c r="A53" s="14"/>
      <c r="B53" s="17" t="str">
        <f aca="false">IF($A53="","",IFERROR(INDEX(Policy!$B$2:$B$301,MATCH($A53,Policy!$A$2:$A$301,0)),"MRO không có"))</f>
        <v/>
      </c>
      <c r="C53" s="17" t="str">
        <f aca="false">IF($A53="","",IFERROR(INDEX(Policy!$E$2:$E$301,MATCH($A53,Policy!$A$2:$A$301,0)),"MRO không có"))</f>
        <v/>
      </c>
      <c r="D53" s="14"/>
      <c r="E53" s="15"/>
      <c r="F53" s="15"/>
      <c r="G53" s="25"/>
      <c r="H53" s="23"/>
      <c r="I53" s="15"/>
      <c r="J53" s="14"/>
      <c r="K53" s="23"/>
      <c r="L53" s="15"/>
      <c r="M53" s="25"/>
      <c r="N53" s="23"/>
      <c r="O53" s="15"/>
      <c r="P53" s="14"/>
      <c r="Q53" s="23"/>
      <c r="R53" s="15"/>
      <c r="S53" s="25"/>
      <c r="T53" s="23"/>
      <c r="U53" s="15"/>
      <c r="V53" s="14"/>
      <c r="W53" s="23"/>
      <c r="X53" s="15"/>
      <c r="Y53" s="25"/>
      <c r="Z53" s="23"/>
      <c r="AA53" s="15"/>
      <c r="AB53" s="14"/>
      <c r="AC53" s="23"/>
      <c r="AD53" s="15"/>
      <c r="AE53" s="25"/>
      <c r="AF53" s="23"/>
      <c r="AG53" s="15"/>
      <c r="AH53" s="14"/>
      <c r="AI53" s="23"/>
      <c r="AJ53" s="15"/>
      <c r="AK53" s="25"/>
      <c r="AL53" s="23"/>
      <c r="AM53" s="15"/>
      <c r="AN53" s="14"/>
      <c r="AO53" s="23"/>
      <c r="AP53" s="15"/>
      <c r="AQ53" s="25"/>
      <c r="AR53" s="23"/>
      <c r="AS53" s="15"/>
      <c r="AT53" s="14"/>
      <c r="AU53" s="23"/>
      <c r="AV53" s="15"/>
      <c r="AW53" s="25"/>
      <c r="AX53" s="23"/>
      <c r="AY53" s="15"/>
      <c r="AZ53" s="14"/>
      <c r="BA53" s="23"/>
      <c r="BB53" s="15"/>
      <c r="BC53" s="25"/>
      <c r="BD53" s="23"/>
      <c r="BE53" s="15"/>
      <c r="BF53" s="14"/>
      <c r="BG53" s="23"/>
      <c r="BH53" s="15"/>
      <c r="BI53" s="25"/>
      <c r="BJ53" s="23"/>
      <c r="BK53" s="15"/>
      <c r="BL53" s="14"/>
      <c r="BM53" s="23"/>
      <c r="BN53" s="15"/>
      <c r="BO53" s="25"/>
      <c r="BP53" s="23"/>
      <c r="BQ53" s="15"/>
      <c r="BR53" s="14"/>
      <c r="BS53" s="23"/>
      <c r="BT53" s="15"/>
      <c r="BU53" s="25"/>
      <c r="BV53" s="23"/>
      <c r="BW53" s="15"/>
      <c r="BX53" s="14"/>
      <c r="BY53" s="23"/>
      <c r="BZ53" s="15"/>
    </row>
    <row r="54" customFormat="false" ht="15" hidden="false" customHeight="false" outlineLevel="0" collapsed="false">
      <c r="A54" s="14"/>
      <c r="B54" s="17" t="str">
        <f aca="false">IF($A54="","",IFERROR(INDEX(Policy!$B$2:$B$301,MATCH($A54,Policy!$A$2:$A$301,0)),"MRO không có"))</f>
        <v/>
      </c>
      <c r="C54" s="17" t="str">
        <f aca="false">IF($A54="","",IFERROR(INDEX(Policy!$E$2:$E$301,MATCH($A54,Policy!$A$2:$A$301,0)),"MRO không có"))</f>
        <v/>
      </c>
      <c r="D54" s="14"/>
      <c r="E54" s="15"/>
      <c r="F54" s="15"/>
      <c r="G54" s="25"/>
      <c r="H54" s="23"/>
      <c r="I54" s="15"/>
      <c r="J54" s="14"/>
      <c r="K54" s="23"/>
      <c r="L54" s="15"/>
      <c r="M54" s="25"/>
      <c r="N54" s="23"/>
      <c r="O54" s="15"/>
      <c r="P54" s="14"/>
      <c r="Q54" s="23"/>
      <c r="R54" s="15"/>
      <c r="S54" s="25"/>
      <c r="T54" s="23"/>
      <c r="U54" s="15"/>
      <c r="V54" s="14"/>
      <c r="W54" s="23"/>
      <c r="X54" s="15"/>
      <c r="Y54" s="25"/>
      <c r="Z54" s="23"/>
      <c r="AA54" s="15"/>
      <c r="AB54" s="14"/>
      <c r="AC54" s="23"/>
      <c r="AD54" s="15"/>
      <c r="AE54" s="25"/>
      <c r="AF54" s="23"/>
      <c r="AG54" s="15"/>
      <c r="AH54" s="14"/>
      <c r="AI54" s="23"/>
      <c r="AJ54" s="15"/>
      <c r="AK54" s="25"/>
      <c r="AL54" s="23"/>
      <c r="AM54" s="15"/>
      <c r="AN54" s="14"/>
      <c r="AO54" s="23"/>
      <c r="AP54" s="15"/>
      <c r="AQ54" s="25"/>
      <c r="AR54" s="23"/>
      <c r="AS54" s="15"/>
      <c r="AT54" s="14"/>
      <c r="AU54" s="23"/>
      <c r="AV54" s="15"/>
      <c r="AW54" s="25"/>
      <c r="AX54" s="23"/>
      <c r="AY54" s="15"/>
      <c r="AZ54" s="14"/>
      <c r="BA54" s="23"/>
      <c r="BB54" s="15"/>
      <c r="BC54" s="25"/>
      <c r="BD54" s="23"/>
      <c r="BE54" s="15"/>
      <c r="BF54" s="14"/>
      <c r="BG54" s="23"/>
      <c r="BH54" s="15"/>
      <c r="BI54" s="25"/>
      <c r="BJ54" s="23"/>
      <c r="BK54" s="15"/>
      <c r="BL54" s="14"/>
      <c r="BM54" s="23"/>
      <c r="BN54" s="15"/>
      <c r="BO54" s="25"/>
      <c r="BP54" s="23"/>
      <c r="BQ54" s="15"/>
      <c r="BR54" s="14"/>
      <c r="BS54" s="23"/>
      <c r="BT54" s="15"/>
      <c r="BU54" s="25"/>
      <c r="BV54" s="23"/>
      <c r="BW54" s="15"/>
      <c r="BX54" s="14"/>
      <c r="BY54" s="23"/>
      <c r="BZ54" s="15"/>
    </row>
    <row r="55" customFormat="false" ht="15" hidden="false" customHeight="false" outlineLevel="0" collapsed="false">
      <c r="A55" s="14"/>
      <c r="B55" s="17" t="str">
        <f aca="false">IF($A55="","",IFERROR(INDEX(Policy!$B$2:$B$301,MATCH($A55,Policy!$A$2:$A$301,0)),"MRO không có"))</f>
        <v/>
      </c>
      <c r="C55" s="17" t="str">
        <f aca="false">IF($A55="","",IFERROR(INDEX(Policy!$E$2:$E$301,MATCH($A55,Policy!$A$2:$A$301,0)),"MRO không có"))</f>
        <v/>
      </c>
      <c r="D55" s="14"/>
      <c r="E55" s="15"/>
      <c r="F55" s="15"/>
      <c r="G55" s="25"/>
      <c r="H55" s="23"/>
      <c r="I55" s="15"/>
      <c r="J55" s="14"/>
      <c r="K55" s="23"/>
      <c r="L55" s="15"/>
      <c r="M55" s="25"/>
      <c r="N55" s="23"/>
      <c r="O55" s="15"/>
      <c r="P55" s="14"/>
      <c r="Q55" s="23"/>
      <c r="R55" s="15"/>
      <c r="S55" s="25"/>
      <c r="T55" s="23"/>
      <c r="U55" s="15"/>
      <c r="V55" s="14"/>
      <c r="W55" s="23"/>
      <c r="X55" s="15"/>
      <c r="Y55" s="25"/>
      <c r="Z55" s="23"/>
      <c r="AA55" s="15"/>
      <c r="AB55" s="14"/>
      <c r="AC55" s="23"/>
      <c r="AD55" s="15"/>
      <c r="AE55" s="25"/>
      <c r="AF55" s="23"/>
      <c r="AG55" s="15"/>
      <c r="AH55" s="14"/>
      <c r="AI55" s="23"/>
      <c r="AJ55" s="15"/>
      <c r="AK55" s="25"/>
      <c r="AL55" s="23"/>
      <c r="AM55" s="15"/>
      <c r="AN55" s="14"/>
      <c r="AO55" s="23"/>
      <c r="AP55" s="15"/>
      <c r="AQ55" s="25"/>
      <c r="AR55" s="23"/>
      <c r="AS55" s="15"/>
      <c r="AT55" s="14"/>
      <c r="AU55" s="23"/>
      <c r="AV55" s="15"/>
      <c r="AW55" s="25"/>
      <c r="AX55" s="23"/>
      <c r="AY55" s="15"/>
      <c r="AZ55" s="14"/>
      <c r="BA55" s="23"/>
      <c r="BB55" s="15"/>
      <c r="BC55" s="25"/>
      <c r="BD55" s="23"/>
      <c r="BE55" s="15"/>
      <c r="BF55" s="14"/>
      <c r="BG55" s="23"/>
      <c r="BH55" s="15"/>
      <c r="BI55" s="25"/>
      <c r="BJ55" s="23"/>
      <c r="BK55" s="15"/>
      <c r="BL55" s="14"/>
      <c r="BM55" s="23"/>
      <c r="BN55" s="15"/>
      <c r="BO55" s="25"/>
      <c r="BP55" s="23"/>
      <c r="BQ55" s="15"/>
      <c r="BR55" s="14"/>
      <c r="BS55" s="23"/>
      <c r="BT55" s="15"/>
      <c r="BU55" s="25"/>
      <c r="BV55" s="23"/>
      <c r="BW55" s="15"/>
      <c r="BX55" s="14"/>
      <c r="BY55" s="23"/>
      <c r="BZ55" s="15"/>
    </row>
    <row r="56" customFormat="false" ht="15" hidden="false" customHeight="false" outlineLevel="0" collapsed="false">
      <c r="A56" s="14"/>
      <c r="B56" s="17" t="str">
        <f aca="false">IF($A56="","",IFERROR(INDEX(Policy!$B$2:$B$301,MATCH($A56,Policy!$A$2:$A$301,0)),"MRO không có"))</f>
        <v/>
      </c>
      <c r="C56" s="17" t="str">
        <f aca="false">IF($A56="","",IFERROR(INDEX(Policy!$E$2:$E$301,MATCH($A56,Policy!$A$2:$A$301,0)),"MRO không có"))</f>
        <v/>
      </c>
      <c r="D56" s="14"/>
      <c r="E56" s="15"/>
      <c r="F56" s="15"/>
      <c r="G56" s="25"/>
      <c r="H56" s="23"/>
      <c r="I56" s="15"/>
      <c r="J56" s="14"/>
      <c r="K56" s="23"/>
      <c r="L56" s="15"/>
      <c r="M56" s="25"/>
      <c r="N56" s="23"/>
      <c r="O56" s="15"/>
      <c r="P56" s="14"/>
      <c r="Q56" s="23"/>
      <c r="R56" s="15"/>
      <c r="S56" s="25"/>
      <c r="T56" s="23"/>
      <c r="U56" s="15"/>
      <c r="V56" s="14"/>
      <c r="W56" s="23"/>
      <c r="X56" s="15"/>
      <c r="Y56" s="25"/>
      <c r="Z56" s="23"/>
      <c r="AA56" s="15"/>
      <c r="AB56" s="14"/>
      <c r="AC56" s="23"/>
      <c r="AD56" s="15"/>
      <c r="AE56" s="25"/>
      <c r="AF56" s="23"/>
      <c r="AG56" s="15"/>
      <c r="AH56" s="14"/>
      <c r="AI56" s="23"/>
      <c r="AJ56" s="15"/>
      <c r="AK56" s="25"/>
      <c r="AL56" s="23"/>
      <c r="AM56" s="15"/>
      <c r="AN56" s="14"/>
      <c r="AO56" s="23"/>
      <c r="AP56" s="15"/>
      <c r="AQ56" s="25"/>
      <c r="AR56" s="23"/>
      <c r="AS56" s="15"/>
      <c r="AT56" s="14"/>
      <c r="AU56" s="23"/>
      <c r="AV56" s="15"/>
      <c r="AW56" s="25"/>
      <c r="AX56" s="23"/>
      <c r="AY56" s="15"/>
      <c r="AZ56" s="14"/>
      <c r="BA56" s="23"/>
      <c r="BB56" s="15"/>
      <c r="BC56" s="25"/>
      <c r="BD56" s="23"/>
      <c r="BE56" s="15"/>
      <c r="BF56" s="14"/>
      <c r="BG56" s="23"/>
      <c r="BH56" s="15"/>
      <c r="BI56" s="25"/>
      <c r="BJ56" s="23"/>
      <c r="BK56" s="15"/>
      <c r="BL56" s="14"/>
      <c r="BM56" s="23"/>
      <c r="BN56" s="15"/>
      <c r="BO56" s="25"/>
      <c r="BP56" s="23"/>
      <c r="BQ56" s="15"/>
      <c r="BR56" s="14"/>
      <c r="BS56" s="23"/>
      <c r="BT56" s="15"/>
      <c r="BU56" s="25"/>
      <c r="BV56" s="23"/>
      <c r="BW56" s="15"/>
      <c r="BX56" s="14"/>
      <c r="BY56" s="23"/>
      <c r="BZ56" s="15"/>
    </row>
    <row r="57" customFormat="false" ht="15" hidden="false" customHeight="false" outlineLevel="0" collapsed="false">
      <c r="A57" s="14"/>
      <c r="B57" s="17" t="str">
        <f aca="false">IF($A57="","",IFERROR(INDEX(Policy!$B$2:$B$301,MATCH($A57,Policy!$A$2:$A$301,0)),"MRO không có"))</f>
        <v/>
      </c>
      <c r="C57" s="17" t="str">
        <f aca="false">IF($A57="","",IFERROR(INDEX(Policy!$E$2:$E$301,MATCH($A57,Policy!$A$2:$A$301,0)),"MRO không có"))</f>
        <v/>
      </c>
      <c r="D57" s="14"/>
      <c r="E57" s="15"/>
      <c r="F57" s="15"/>
      <c r="G57" s="25"/>
      <c r="H57" s="23"/>
      <c r="I57" s="15"/>
      <c r="J57" s="14"/>
      <c r="K57" s="23"/>
      <c r="L57" s="15"/>
      <c r="M57" s="25"/>
      <c r="N57" s="23"/>
      <c r="O57" s="15"/>
      <c r="P57" s="14"/>
      <c r="Q57" s="23"/>
      <c r="R57" s="15"/>
      <c r="S57" s="25"/>
      <c r="T57" s="23"/>
      <c r="U57" s="15"/>
      <c r="V57" s="14"/>
      <c r="W57" s="23"/>
      <c r="X57" s="15"/>
      <c r="Y57" s="25"/>
      <c r="Z57" s="23"/>
      <c r="AA57" s="15"/>
      <c r="AB57" s="14"/>
      <c r="AC57" s="23"/>
      <c r="AD57" s="15"/>
      <c r="AE57" s="25"/>
      <c r="AF57" s="23"/>
      <c r="AG57" s="15"/>
      <c r="AH57" s="14"/>
      <c r="AI57" s="23"/>
      <c r="AJ57" s="15"/>
      <c r="AK57" s="25"/>
      <c r="AL57" s="23"/>
      <c r="AM57" s="15"/>
      <c r="AN57" s="14"/>
      <c r="AO57" s="23"/>
      <c r="AP57" s="15"/>
      <c r="AQ57" s="25"/>
      <c r="AR57" s="23"/>
      <c r="AS57" s="15"/>
      <c r="AT57" s="14"/>
      <c r="AU57" s="23"/>
      <c r="AV57" s="15"/>
      <c r="AW57" s="25"/>
      <c r="AX57" s="23"/>
      <c r="AY57" s="15"/>
      <c r="AZ57" s="14"/>
      <c r="BA57" s="23"/>
      <c r="BB57" s="15"/>
      <c r="BC57" s="25"/>
      <c r="BD57" s="23"/>
      <c r="BE57" s="15"/>
      <c r="BF57" s="14"/>
      <c r="BG57" s="23"/>
      <c r="BH57" s="15"/>
      <c r="BI57" s="25"/>
      <c r="BJ57" s="23"/>
      <c r="BK57" s="15"/>
      <c r="BL57" s="14"/>
      <c r="BM57" s="23"/>
      <c r="BN57" s="15"/>
      <c r="BO57" s="25"/>
      <c r="BP57" s="23"/>
      <c r="BQ57" s="15"/>
      <c r="BR57" s="14"/>
      <c r="BS57" s="23"/>
      <c r="BT57" s="15"/>
      <c r="BU57" s="25"/>
      <c r="BV57" s="23"/>
      <c r="BW57" s="15"/>
      <c r="BX57" s="14"/>
      <c r="BY57" s="23"/>
      <c r="BZ57" s="15"/>
    </row>
    <row r="58" customFormat="false" ht="15" hidden="false" customHeight="false" outlineLevel="0" collapsed="false">
      <c r="A58" s="14"/>
      <c r="B58" s="17" t="str">
        <f aca="false">IF($A58="","",IFERROR(INDEX(Policy!$B$2:$B$301,MATCH($A58,Policy!$A$2:$A$301,0)),"MRO không có"))</f>
        <v/>
      </c>
      <c r="C58" s="17" t="str">
        <f aca="false">IF($A58="","",IFERROR(INDEX(Policy!$E$2:$E$301,MATCH($A58,Policy!$A$2:$A$301,0)),"MRO không có"))</f>
        <v/>
      </c>
      <c r="D58" s="14"/>
      <c r="E58" s="15"/>
      <c r="F58" s="15"/>
      <c r="G58" s="25"/>
      <c r="H58" s="23"/>
      <c r="I58" s="15"/>
      <c r="J58" s="14"/>
      <c r="K58" s="23"/>
      <c r="L58" s="15"/>
      <c r="M58" s="25"/>
      <c r="N58" s="23"/>
      <c r="O58" s="15"/>
      <c r="P58" s="14"/>
      <c r="Q58" s="23"/>
      <c r="R58" s="15"/>
      <c r="S58" s="25"/>
      <c r="T58" s="23"/>
      <c r="U58" s="15"/>
      <c r="V58" s="14"/>
      <c r="W58" s="23"/>
      <c r="X58" s="15"/>
      <c r="Y58" s="25"/>
      <c r="Z58" s="23"/>
      <c r="AA58" s="15"/>
      <c r="AB58" s="14"/>
      <c r="AC58" s="23"/>
      <c r="AD58" s="15"/>
      <c r="AE58" s="25"/>
      <c r="AF58" s="23"/>
      <c r="AG58" s="15"/>
      <c r="AH58" s="14"/>
      <c r="AI58" s="23"/>
      <c r="AJ58" s="15"/>
      <c r="AK58" s="25"/>
      <c r="AL58" s="23"/>
      <c r="AM58" s="15"/>
      <c r="AN58" s="14"/>
      <c r="AO58" s="23"/>
      <c r="AP58" s="15"/>
      <c r="AQ58" s="25"/>
      <c r="AR58" s="23"/>
      <c r="AS58" s="15"/>
      <c r="AT58" s="14"/>
      <c r="AU58" s="23"/>
      <c r="AV58" s="15"/>
      <c r="AW58" s="25"/>
      <c r="AX58" s="23"/>
      <c r="AY58" s="15"/>
      <c r="AZ58" s="14"/>
      <c r="BA58" s="23"/>
      <c r="BB58" s="15"/>
      <c r="BC58" s="25"/>
      <c r="BD58" s="23"/>
      <c r="BE58" s="15"/>
      <c r="BF58" s="14"/>
      <c r="BG58" s="23"/>
      <c r="BH58" s="15"/>
      <c r="BI58" s="25"/>
      <c r="BJ58" s="23"/>
      <c r="BK58" s="15"/>
      <c r="BL58" s="14"/>
      <c r="BM58" s="23"/>
      <c r="BN58" s="15"/>
      <c r="BO58" s="25"/>
      <c r="BP58" s="23"/>
      <c r="BQ58" s="15"/>
      <c r="BR58" s="14"/>
      <c r="BS58" s="23"/>
      <c r="BT58" s="15"/>
      <c r="BU58" s="25"/>
      <c r="BV58" s="23"/>
      <c r="BW58" s="15"/>
      <c r="BX58" s="14"/>
      <c r="BY58" s="23"/>
      <c r="BZ58" s="15"/>
    </row>
    <row r="59" customFormat="false" ht="15" hidden="false" customHeight="false" outlineLevel="0" collapsed="false">
      <c r="A59" s="14"/>
      <c r="B59" s="17" t="str">
        <f aca="false">IF($A59="","",IFERROR(INDEX(Policy!$B$2:$B$301,MATCH($A59,Policy!$A$2:$A$301,0)),"MRO không có"))</f>
        <v/>
      </c>
      <c r="C59" s="17" t="str">
        <f aca="false">IF($A59="","",IFERROR(INDEX(Policy!$E$2:$E$301,MATCH($A59,Policy!$A$2:$A$301,0)),"MRO không có"))</f>
        <v/>
      </c>
      <c r="D59" s="14"/>
      <c r="E59" s="15"/>
      <c r="F59" s="15"/>
      <c r="G59" s="25"/>
      <c r="H59" s="23"/>
      <c r="I59" s="15"/>
      <c r="J59" s="14"/>
      <c r="K59" s="23"/>
      <c r="L59" s="15"/>
      <c r="M59" s="25"/>
      <c r="N59" s="23"/>
      <c r="O59" s="15"/>
      <c r="P59" s="14"/>
      <c r="Q59" s="23"/>
      <c r="R59" s="15"/>
      <c r="S59" s="25"/>
      <c r="T59" s="23"/>
      <c r="U59" s="15"/>
      <c r="V59" s="14"/>
      <c r="W59" s="23"/>
      <c r="X59" s="15"/>
      <c r="Y59" s="25"/>
      <c r="Z59" s="23"/>
      <c r="AA59" s="15"/>
      <c r="AB59" s="14"/>
      <c r="AC59" s="23"/>
      <c r="AD59" s="15"/>
      <c r="AE59" s="25"/>
      <c r="AF59" s="23"/>
      <c r="AG59" s="15"/>
      <c r="AH59" s="14"/>
      <c r="AI59" s="23"/>
      <c r="AJ59" s="15"/>
      <c r="AK59" s="25"/>
      <c r="AL59" s="23"/>
      <c r="AM59" s="15"/>
      <c r="AN59" s="14"/>
      <c r="AO59" s="23"/>
      <c r="AP59" s="15"/>
      <c r="AQ59" s="25"/>
      <c r="AR59" s="23"/>
      <c r="AS59" s="15"/>
      <c r="AT59" s="14"/>
      <c r="AU59" s="23"/>
      <c r="AV59" s="15"/>
      <c r="AW59" s="25"/>
      <c r="AX59" s="23"/>
      <c r="AY59" s="15"/>
      <c r="AZ59" s="14"/>
      <c r="BA59" s="23"/>
      <c r="BB59" s="15"/>
      <c r="BC59" s="25"/>
      <c r="BD59" s="23"/>
      <c r="BE59" s="15"/>
      <c r="BF59" s="14"/>
      <c r="BG59" s="23"/>
      <c r="BH59" s="15"/>
      <c r="BI59" s="25"/>
      <c r="BJ59" s="23"/>
      <c r="BK59" s="15"/>
      <c r="BL59" s="14"/>
      <c r="BM59" s="23"/>
      <c r="BN59" s="15"/>
      <c r="BO59" s="25"/>
      <c r="BP59" s="23"/>
      <c r="BQ59" s="15"/>
      <c r="BR59" s="14"/>
      <c r="BS59" s="23"/>
      <c r="BT59" s="15"/>
      <c r="BU59" s="25"/>
      <c r="BV59" s="23"/>
      <c r="BW59" s="15"/>
      <c r="BX59" s="14"/>
      <c r="BY59" s="23"/>
      <c r="BZ59" s="15"/>
    </row>
    <row r="60" customFormat="false" ht="15" hidden="false" customHeight="false" outlineLevel="0" collapsed="false">
      <c r="A60" s="14"/>
      <c r="B60" s="17" t="str">
        <f aca="false">IF($A60="","",IFERROR(INDEX(Policy!$B$2:$B$301,MATCH($A60,Policy!$A$2:$A$301,0)),"MRO không có"))</f>
        <v/>
      </c>
      <c r="C60" s="17" t="str">
        <f aca="false">IF($A60="","",IFERROR(INDEX(Policy!$E$2:$E$301,MATCH($A60,Policy!$A$2:$A$301,0)),"MRO không có"))</f>
        <v/>
      </c>
      <c r="D60" s="14"/>
      <c r="E60" s="15"/>
      <c r="F60" s="15"/>
      <c r="G60" s="25"/>
      <c r="H60" s="23"/>
      <c r="I60" s="15"/>
      <c r="J60" s="14"/>
      <c r="K60" s="23"/>
      <c r="L60" s="15"/>
      <c r="M60" s="25"/>
      <c r="N60" s="23"/>
      <c r="O60" s="15"/>
      <c r="P60" s="14"/>
      <c r="Q60" s="23"/>
      <c r="R60" s="15"/>
      <c r="S60" s="25"/>
      <c r="T60" s="23"/>
      <c r="U60" s="15"/>
      <c r="V60" s="14"/>
      <c r="W60" s="23"/>
      <c r="X60" s="15"/>
      <c r="Y60" s="25"/>
      <c r="Z60" s="23"/>
      <c r="AA60" s="15"/>
      <c r="AB60" s="14"/>
      <c r="AC60" s="23"/>
      <c r="AD60" s="15"/>
      <c r="AE60" s="25"/>
      <c r="AF60" s="23"/>
      <c r="AG60" s="15"/>
      <c r="AH60" s="14"/>
      <c r="AI60" s="23"/>
      <c r="AJ60" s="15"/>
      <c r="AK60" s="25"/>
      <c r="AL60" s="23"/>
      <c r="AM60" s="15"/>
      <c r="AN60" s="14"/>
      <c r="AO60" s="23"/>
      <c r="AP60" s="15"/>
      <c r="AQ60" s="25"/>
      <c r="AR60" s="23"/>
      <c r="AS60" s="15"/>
      <c r="AT60" s="14"/>
      <c r="AU60" s="23"/>
      <c r="AV60" s="15"/>
      <c r="AW60" s="25"/>
      <c r="AX60" s="23"/>
      <c r="AY60" s="15"/>
      <c r="AZ60" s="14"/>
      <c r="BA60" s="23"/>
      <c r="BB60" s="15"/>
      <c r="BC60" s="25"/>
      <c r="BD60" s="23"/>
      <c r="BE60" s="15"/>
      <c r="BF60" s="14"/>
      <c r="BG60" s="23"/>
      <c r="BH60" s="15"/>
      <c r="BI60" s="25"/>
      <c r="BJ60" s="23"/>
      <c r="BK60" s="15"/>
      <c r="BL60" s="14"/>
      <c r="BM60" s="23"/>
      <c r="BN60" s="15"/>
      <c r="BO60" s="25"/>
      <c r="BP60" s="23"/>
      <c r="BQ60" s="15"/>
      <c r="BR60" s="14"/>
      <c r="BS60" s="23"/>
      <c r="BT60" s="15"/>
      <c r="BU60" s="25"/>
      <c r="BV60" s="23"/>
      <c r="BW60" s="15"/>
      <c r="BX60" s="14"/>
      <c r="BY60" s="23"/>
      <c r="BZ60" s="15"/>
    </row>
    <row r="61" customFormat="false" ht="15" hidden="false" customHeight="false" outlineLevel="0" collapsed="false">
      <c r="A61" s="14"/>
      <c r="B61" s="17" t="str">
        <f aca="false">IF($A61="","",IFERROR(INDEX(Policy!$B$2:$B$301,MATCH($A61,Policy!$A$2:$A$301,0)),"MRO không có"))</f>
        <v/>
      </c>
      <c r="C61" s="17" t="str">
        <f aca="false">IF($A61="","",IFERROR(INDEX(Policy!$E$2:$E$301,MATCH($A61,Policy!$A$2:$A$301,0)),"MRO không có"))</f>
        <v/>
      </c>
      <c r="D61" s="14"/>
      <c r="E61" s="15"/>
      <c r="F61" s="15"/>
      <c r="G61" s="25"/>
      <c r="H61" s="23"/>
      <c r="I61" s="15"/>
      <c r="J61" s="14"/>
      <c r="K61" s="23"/>
      <c r="L61" s="15"/>
      <c r="M61" s="25"/>
      <c r="N61" s="23"/>
      <c r="O61" s="15"/>
      <c r="P61" s="14"/>
      <c r="Q61" s="23"/>
      <c r="R61" s="15"/>
      <c r="S61" s="25"/>
      <c r="T61" s="23"/>
      <c r="U61" s="15"/>
      <c r="V61" s="14"/>
      <c r="W61" s="23"/>
      <c r="X61" s="15"/>
      <c r="Y61" s="25"/>
      <c r="Z61" s="23"/>
      <c r="AA61" s="15"/>
      <c r="AB61" s="14"/>
      <c r="AC61" s="23"/>
      <c r="AD61" s="15"/>
      <c r="AE61" s="25"/>
      <c r="AF61" s="23"/>
      <c r="AG61" s="15"/>
      <c r="AH61" s="14"/>
      <c r="AI61" s="23"/>
      <c r="AJ61" s="15"/>
      <c r="AK61" s="25"/>
      <c r="AL61" s="23"/>
      <c r="AM61" s="15"/>
      <c r="AN61" s="14"/>
      <c r="AO61" s="23"/>
      <c r="AP61" s="15"/>
      <c r="AQ61" s="25"/>
      <c r="AR61" s="23"/>
      <c r="AS61" s="15"/>
      <c r="AT61" s="14"/>
      <c r="AU61" s="23"/>
      <c r="AV61" s="15"/>
      <c r="AW61" s="25"/>
      <c r="AX61" s="23"/>
      <c r="AY61" s="15"/>
      <c r="AZ61" s="14"/>
      <c r="BA61" s="23"/>
      <c r="BB61" s="15"/>
      <c r="BC61" s="25"/>
      <c r="BD61" s="23"/>
      <c r="BE61" s="15"/>
      <c r="BF61" s="14"/>
      <c r="BG61" s="23"/>
      <c r="BH61" s="15"/>
      <c r="BI61" s="25"/>
      <c r="BJ61" s="23"/>
      <c r="BK61" s="15"/>
      <c r="BL61" s="14"/>
      <c r="BM61" s="23"/>
      <c r="BN61" s="15"/>
      <c r="BO61" s="25"/>
      <c r="BP61" s="23"/>
      <c r="BQ61" s="15"/>
      <c r="BR61" s="14"/>
      <c r="BS61" s="23"/>
      <c r="BT61" s="15"/>
      <c r="BU61" s="25"/>
      <c r="BV61" s="23"/>
      <c r="BW61" s="15"/>
      <c r="BX61" s="14"/>
      <c r="BY61" s="23"/>
      <c r="BZ61" s="15"/>
    </row>
    <row r="62" customFormat="false" ht="15" hidden="false" customHeight="false" outlineLevel="0" collapsed="false">
      <c r="A62" s="14"/>
      <c r="B62" s="17" t="str">
        <f aca="false">IF($A62="","",IFERROR(INDEX(Policy!$B$2:$B$301,MATCH($A62,Policy!$A$2:$A$301,0)),"MRO không có"))</f>
        <v/>
      </c>
      <c r="C62" s="17" t="str">
        <f aca="false">IF($A62="","",IFERROR(INDEX(Policy!$E$2:$E$301,MATCH($A62,Policy!$A$2:$A$301,0)),"MRO không có"))</f>
        <v/>
      </c>
      <c r="D62" s="14"/>
      <c r="E62" s="15"/>
      <c r="F62" s="15"/>
      <c r="G62" s="25"/>
      <c r="H62" s="23"/>
      <c r="I62" s="15"/>
      <c r="J62" s="14"/>
      <c r="K62" s="23"/>
      <c r="L62" s="15"/>
      <c r="M62" s="25"/>
      <c r="N62" s="23"/>
      <c r="O62" s="15"/>
      <c r="P62" s="14"/>
      <c r="Q62" s="23"/>
      <c r="R62" s="15"/>
      <c r="S62" s="25"/>
      <c r="T62" s="23"/>
      <c r="U62" s="15"/>
      <c r="V62" s="14"/>
      <c r="W62" s="23"/>
      <c r="X62" s="15"/>
      <c r="Y62" s="25"/>
      <c r="Z62" s="23"/>
      <c r="AA62" s="15"/>
      <c r="AB62" s="14"/>
      <c r="AC62" s="23"/>
      <c r="AD62" s="15"/>
      <c r="AE62" s="25"/>
      <c r="AF62" s="23"/>
      <c r="AG62" s="15"/>
      <c r="AH62" s="14"/>
      <c r="AI62" s="23"/>
      <c r="AJ62" s="15"/>
      <c r="AK62" s="25"/>
      <c r="AL62" s="23"/>
      <c r="AM62" s="15"/>
      <c r="AN62" s="14"/>
      <c r="AO62" s="23"/>
      <c r="AP62" s="15"/>
      <c r="AQ62" s="25"/>
      <c r="AR62" s="23"/>
      <c r="AS62" s="15"/>
      <c r="AT62" s="14"/>
      <c r="AU62" s="23"/>
      <c r="AV62" s="15"/>
      <c r="AW62" s="25"/>
      <c r="AX62" s="23"/>
      <c r="AY62" s="15"/>
      <c r="AZ62" s="14"/>
      <c r="BA62" s="23"/>
      <c r="BB62" s="15"/>
      <c r="BC62" s="25"/>
      <c r="BD62" s="23"/>
      <c r="BE62" s="15"/>
      <c r="BF62" s="14"/>
      <c r="BG62" s="23"/>
      <c r="BH62" s="15"/>
      <c r="BI62" s="25"/>
      <c r="BJ62" s="23"/>
      <c r="BK62" s="15"/>
      <c r="BL62" s="14"/>
      <c r="BM62" s="23"/>
      <c r="BN62" s="15"/>
      <c r="BO62" s="25"/>
      <c r="BP62" s="23"/>
      <c r="BQ62" s="15"/>
      <c r="BR62" s="14"/>
      <c r="BS62" s="23"/>
      <c r="BT62" s="15"/>
      <c r="BU62" s="25"/>
      <c r="BV62" s="23"/>
      <c r="BW62" s="15"/>
      <c r="BX62" s="14"/>
      <c r="BY62" s="23"/>
      <c r="BZ62" s="15"/>
    </row>
    <row r="63" customFormat="false" ht="15" hidden="false" customHeight="false" outlineLevel="0" collapsed="false">
      <c r="A63" s="14"/>
      <c r="B63" s="17" t="str">
        <f aca="false">IF($A63="","",IFERROR(INDEX(Policy!$B$2:$B$301,MATCH($A63,Policy!$A$2:$A$301,0)),"MRO không có"))</f>
        <v/>
      </c>
      <c r="C63" s="17" t="str">
        <f aca="false">IF($A63="","",IFERROR(INDEX(Policy!$E$2:$E$301,MATCH($A63,Policy!$A$2:$A$301,0)),"MRO không có"))</f>
        <v/>
      </c>
      <c r="D63" s="14"/>
      <c r="E63" s="15"/>
      <c r="F63" s="15"/>
      <c r="G63" s="25"/>
      <c r="H63" s="23"/>
      <c r="I63" s="15"/>
      <c r="J63" s="14"/>
      <c r="K63" s="23"/>
      <c r="L63" s="15"/>
      <c r="M63" s="25"/>
      <c r="N63" s="23"/>
      <c r="O63" s="15"/>
      <c r="P63" s="14"/>
      <c r="Q63" s="23"/>
      <c r="R63" s="15"/>
      <c r="S63" s="25"/>
      <c r="T63" s="23"/>
      <c r="U63" s="15"/>
      <c r="V63" s="14"/>
      <c r="W63" s="23"/>
      <c r="X63" s="15"/>
      <c r="Y63" s="25"/>
      <c r="Z63" s="23"/>
      <c r="AA63" s="15"/>
      <c r="AB63" s="14"/>
      <c r="AC63" s="23"/>
      <c r="AD63" s="15"/>
      <c r="AE63" s="25"/>
      <c r="AF63" s="23"/>
      <c r="AG63" s="15"/>
      <c r="AH63" s="14"/>
      <c r="AI63" s="23"/>
      <c r="AJ63" s="15"/>
      <c r="AK63" s="25"/>
      <c r="AL63" s="23"/>
      <c r="AM63" s="15"/>
      <c r="AN63" s="14"/>
      <c r="AO63" s="23"/>
      <c r="AP63" s="15"/>
      <c r="AQ63" s="25"/>
      <c r="AR63" s="23"/>
      <c r="AS63" s="15"/>
      <c r="AT63" s="14"/>
      <c r="AU63" s="23"/>
      <c r="AV63" s="15"/>
      <c r="AW63" s="25"/>
      <c r="AX63" s="23"/>
      <c r="AY63" s="15"/>
      <c r="AZ63" s="14"/>
      <c r="BA63" s="23"/>
      <c r="BB63" s="15"/>
      <c r="BC63" s="25"/>
      <c r="BD63" s="23"/>
      <c r="BE63" s="15"/>
      <c r="BF63" s="14"/>
      <c r="BG63" s="23"/>
      <c r="BH63" s="15"/>
      <c r="BI63" s="25"/>
      <c r="BJ63" s="23"/>
      <c r="BK63" s="15"/>
      <c r="BL63" s="14"/>
      <c r="BM63" s="23"/>
      <c r="BN63" s="15"/>
      <c r="BO63" s="25"/>
      <c r="BP63" s="23"/>
      <c r="BQ63" s="15"/>
      <c r="BR63" s="14"/>
      <c r="BS63" s="23"/>
      <c r="BT63" s="15"/>
      <c r="BU63" s="25"/>
      <c r="BV63" s="23"/>
      <c r="BW63" s="15"/>
      <c r="BX63" s="14"/>
      <c r="BY63" s="23"/>
      <c r="BZ63" s="15"/>
    </row>
    <row r="64" customFormat="false" ht="15" hidden="false" customHeight="false" outlineLevel="0" collapsed="false">
      <c r="A64" s="14"/>
      <c r="B64" s="17" t="str">
        <f aca="false">IF($A64="","",IFERROR(INDEX(Policy!$B$2:$B$301,MATCH($A64,Policy!$A$2:$A$301,0)),"MRO không có"))</f>
        <v/>
      </c>
      <c r="C64" s="17" t="str">
        <f aca="false">IF($A64="","",IFERROR(INDEX(Policy!$E$2:$E$301,MATCH($A64,Policy!$A$2:$A$301,0)),"MRO không có"))</f>
        <v/>
      </c>
      <c r="D64" s="14"/>
      <c r="E64" s="15"/>
      <c r="F64" s="15"/>
      <c r="G64" s="25"/>
      <c r="H64" s="23"/>
      <c r="I64" s="15"/>
      <c r="J64" s="14"/>
      <c r="K64" s="23"/>
      <c r="L64" s="15"/>
      <c r="M64" s="25"/>
      <c r="N64" s="23"/>
      <c r="O64" s="15"/>
      <c r="P64" s="14"/>
      <c r="Q64" s="23"/>
      <c r="R64" s="15"/>
      <c r="S64" s="25"/>
      <c r="T64" s="23"/>
      <c r="U64" s="15"/>
      <c r="V64" s="14"/>
      <c r="W64" s="23"/>
      <c r="X64" s="15"/>
      <c r="Y64" s="25"/>
      <c r="Z64" s="23"/>
      <c r="AA64" s="15"/>
      <c r="AB64" s="14"/>
      <c r="AC64" s="23"/>
      <c r="AD64" s="15"/>
      <c r="AE64" s="25"/>
      <c r="AF64" s="23"/>
      <c r="AG64" s="15"/>
      <c r="AH64" s="14"/>
      <c r="AI64" s="23"/>
      <c r="AJ64" s="15"/>
      <c r="AK64" s="25"/>
      <c r="AL64" s="23"/>
      <c r="AM64" s="15"/>
      <c r="AN64" s="14"/>
      <c r="AO64" s="23"/>
      <c r="AP64" s="15"/>
      <c r="AQ64" s="25"/>
      <c r="AR64" s="23"/>
      <c r="AS64" s="15"/>
      <c r="AT64" s="14"/>
      <c r="AU64" s="23"/>
      <c r="AV64" s="15"/>
      <c r="AW64" s="25"/>
      <c r="AX64" s="23"/>
      <c r="AY64" s="15"/>
      <c r="AZ64" s="14"/>
      <c r="BA64" s="23"/>
      <c r="BB64" s="15"/>
      <c r="BC64" s="25"/>
      <c r="BD64" s="23"/>
      <c r="BE64" s="15"/>
      <c r="BF64" s="14"/>
      <c r="BG64" s="23"/>
      <c r="BH64" s="15"/>
      <c r="BI64" s="25"/>
      <c r="BJ64" s="23"/>
      <c r="BK64" s="15"/>
      <c r="BL64" s="14"/>
      <c r="BM64" s="23"/>
      <c r="BN64" s="15"/>
      <c r="BO64" s="25"/>
      <c r="BP64" s="23"/>
      <c r="BQ64" s="15"/>
      <c r="BR64" s="14"/>
      <c r="BS64" s="23"/>
      <c r="BT64" s="15"/>
      <c r="BU64" s="25"/>
      <c r="BV64" s="23"/>
      <c r="BW64" s="15"/>
      <c r="BX64" s="14"/>
      <c r="BY64" s="23"/>
      <c r="BZ64" s="15"/>
    </row>
    <row r="65" customFormat="false" ht="15" hidden="false" customHeight="false" outlineLevel="0" collapsed="false">
      <c r="A65" s="14"/>
      <c r="B65" s="17" t="str">
        <f aca="false">IF($A65="","",IFERROR(INDEX(Policy!$B$2:$B$301,MATCH($A65,Policy!$A$2:$A$301,0)),"MRO không có"))</f>
        <v/>
      </c>
      <c r="C65" s="17" t="str">
        <f aca="false">IF($A65="","",IFERROR(INDEX(Policy!$E$2:$E$301,MATCH($A65,Policy!$A$2:$A$301,0)),"MRO không có"))</f>
        <v/>
      </c>
      <c r="D65" s="14"/>
      <c r="E65" s="15"/>
      <c r="F65" s="15"/>
      <c r="G65" s="25"/>
      <c r="H65" s="23"/>
      <c r="I65" s="15"/>
      <c r="J65" s="14"/>
      <c r="K65" s="23"/>
      <c r="L65" s="15"/>
      <c r="M65" s="25"/>
      <c r="N65" s="23"/>
      <c r="O65" s="15"/>
      <c r="P65" s="14"/>
      <c r="Q65" s="23"/>
      <c r="R65" s="15"/>
      <c r="S65" s="25"/>
      <c r="T65" s="23"/>
      <c r="U65" s="15"/>
      <c r="V65" s="14"/>
      <c r="W65" s="23"/>
      <c r="X65" s="15"/>
      <c r="Y65" s="25"/>
      <c r="Z65" s="23"/>
      <c r="AA65" s="15"/>
      <c r="AB65" s="14"/>
      <c r="AC65" s="23"/>
      <c r="AD65" s="15"/>
      <c r="AE65" s="25"/>
      <c r="AF65" s="23"/>
      <c r="AG65" s="15"/>
      <c r="AH65" s="14"/>
      <c r="AI65" s="23"/>
      <c r="AJ65" s="15"/>
      <c r="AK65" s="25"/>
      <c r="AL65" s="23"/>
      <c r="AM65" s="15"/>
      <c r="AN65" s="14"/>
      <c r="AO65" s="23"/>
      <c r="AP65" s="15"/>
      <c r="AQ65" s="25"/>
      <c r="AR65" s="23"/>
      <c r="AS65" s="15"/>
      <c r="AT65" s="14"/>
      <c r="AU65" s="23"/>
      <c r="AV65" s="15"/>
      <c r="AW65" s="25"/>
      <c r="AX65" s="23"/>
      <c r="AY65" s="15"/>
      <c r="AZ65" s="14"/>
      <c r="BA65" s="23"/>
      <c r="BB65" s="15"/>
      <c r="BC65" s="25"/>
      <c r="BD65" s="23"/>
      <c r="BE65" s="15"/>
      <c r="BF65" s="14"/>
      <c r="BG65" s="23"/>
      <c r="BH65" s="15"/>
      <c r="BI65" s="25"/>
      <c r="BJ65" s="23"/>
      <c r="BK65" s="15"/>
      <c r="BL65" s="14"/>
      <c r="BM65" s="23"/>
      <c r="BN65" s="15"/>
      <c r="BO65" s="25"/>
      <c r="BP65" s="23"/>
      <c r="BQ65" s="15"/>
      <c r="BR65" s="14"/>
      <c r="BS65" s="23"/>
      <c r="BT65" s="15"/>
      <c r="BU65" s="25"/>
      <c r="BV65" s="23"/>
      <c r="BW65" s="15"/>
      <c r="BX65" s="14"/>
      <c r="BY65" s="23"/>
      <c r="BZ65" s="15"/>
    </row>
    <row r="66" customFormat="false" ht="15" hidden="false" customHeight="false" outlineLevel="0" collapsed="false">
      <c r="A66" s="14"/>
      <c r="B66" s="17" t="str">
        <f aca="false">IF($A66="","",IFERROR(INDEX(Policy!$B$2:$B$301,MATCH($A66,Policy!$A$2:$A$301,0)),"MRO không có"))</f>
        <v/>
      </c>
      <c r="C66" s="17" t="str">
        <f aca="false">IF($A66="","",IFERROR(INDEX(Policy!$E$2:$E$301,MATCH($A66,Policy!$A$2:$A$301,0)),"MRO không có"))</f>
        <v/>
      </c>
      <c r="D66" s="14"/>
      <c r="E66" s="15"/>
      <c r="F66" s="15"/>
      <c r="G66" s="25"/>
      <c r="H66" s="23"/>
      <c r="I66" s="15"/>
      <c r="J66" s="14"/>
      <c r="K66" s="23"/>
      <c r="L66" s="15"/>
      <c r="M66" s="25"/>
      <c r="N66" s="23"/>
      <c r="O66" s="15"/>
      <c r="P66" s="14"/>
      <c r="Q66" s="23"/>
      <c r="R66" s="15"/>
      <c r="S66" s="25"/>
      <c r="T66" s="23"/>
      <c r="U66" s="15"/>
      <c r="V66" s="14"/>
      <c r="W66" s="23"/>
      <c r="X66" s="15"/>
      <c r="Y66" s="25"/>
      <c r="Z66" s="23"/>
      <c r="AA66" s="15"/>
      <c r="AB66" s="14"/>
      <c r="AC66" s="23"/>
      <c r="AD66" s="15"/>
      <c r="AE66" s="25"/>
      <c r="AF66" s="23"/>
      <c r="AG66" s="15"/>
      <c r="AH66" s="14"/>
      <c r="AI66" s="23"/>
      <c r="AJ66" s="15"/>
      <c r="AK66" s="25"/>
      <c r="AL66" s="23"/>
      <c r="AM66" s="15"/>
      <c r="AN66" s="14"/>
      <c r="AO66" s="23"/>
      <c r="AP66" s="15"/>
      <c r="AQ66" s="25"/>
      <c r="AR66" s="23"/>
      <c r="AS66" s="15"/>
      <c r="AT66" s="14"/>
      <c r="AU66" s="23"/>
      <c r="AV66" s="15"/>
      <c r="AW66" s="25"/>
      <c r="AX66" s="23"/>
      <c r="AY66" s="15"/>
      <c r="AZ66" s="14"/>
      <c r="BA66" s="23"/>
      <c r="BB66" s="15"/>
      <c r="BC66" s="25"/>
      <c r="BD66" s="23"/>
      <c r="BE66" s="15"/>
      <c r="BF66" s="14"/>
      <c r="BG66" s="23"/>
      <c r="BH66" s="15"/>
      <c r="BI66" s="25"/>
      <c r="BJ66" s="23"/>
      <c r="BK66" s="15"/>
      <c r="BL66" s="14"/>
      <c r="BM66" s="23"/>
      <c r="BN66" s="15"/>
      <c r="BO66" s="25"/>
      <c r="BP66" s="23"/>
      <c r="BQ66" s="15"/>
      <c r="BR66" s="14"/>
      <c r="BS66" s="23"/>
      <c r="BT66" s="15"/>
      <c r="BU66" s="25"/>
      <c r="BV66" s="23"/>
      <c r="BW66" s="15"/>
      <c r="BX66" s="14"/>
      <c r="BY66" s="23"/>
      <c r="BZ66" s="15"/>
    </row>
    <row r="67" customFormat="false" ht="15" hidden="false" customHeight="false" outlineLevel="0" collapsed="false">
      <c r="A67" s="14"/>
      <c r="B67" s="17" t="str">
        <f aca="false">IF($A67="","",IFERROR(INDEX(Policy!$B$2:$B$301,MATCH($A67,Policy!$A$2:$A$301,0)),"MRO không có"))</f>
        <v/>
      </c>
      <c r="C67" s="17" t="str">
        <f aca="false">IF($A67="","",IFERROR(INDEX(Policy!$E$2:$E$301,MATCH($A67,Policy!$A$2:$A$301,0)),"MRO không có"))</f>
        <v/>
      </c>
      <c r="D67" s="14"/>
      <c r="E67" s="15"/>
      <c r="F67" s="15"/>
      <c r="G67" s="25"/>
      <c r="H67" s="23"/>
      <c r="I67" s="15"/>
      <c r="J67" s="14"/>
      <c r="K67" s="23"/>
      <c r="L67" s="15"/>
      <c r="M67" s="25"/>
      <c r="N67" s="23"/>
      <c r="O67" s="15"/>
      <c r="P67" s="14"/>
      <c r="Q67" s="23"/>
      <c r="R67" s="15"/>
      <c r="S67" s="25"/>
      <c r="T67" s="23"/>
      <c r="U67" s="15"/>
      <c r="V67" s="14"/>
      <c r="W67" s="23"/>
      <c r="X67" s="15"/>
      <c r="Y67" s="25"/>
      <c r="Z67" s="23"/>
      <c r="AA67" s="15"/>
      <c r="AB67" s="14"/>
      <c r="AC67" s="23"/>
      <c r="AD67" s="15"/>
      <c r="AE67" s="25"/>
      <c r="AF67" s="23"/>
      <c r="AG67" s="15"/>
      <c r="AH67" s="14"/>
      <c r="AI67" s="23"/>
      <c r="AJ67" s="15"/>
      <c r="AK67" s="25"/>
      <c r="AL67" s="23"/>
      <c r="AM67" s="15"/>
      <c r="AN67" s="14"/>
      <c r="AO67" s="23"/>
      <c r="AP67" s="15"/>
      <c r="AQ67" s="25"/>
      <c r="AR67" s="23"/>
      <c r="AS67" s="15"/>
      <c r="AT67" s="14"/>
      <c r="AU67" s="23"/>
      <c r="AV67" s="15"/>
      <c r="AW67" s="25"/>
      <c r="AX67" s="23"/>
      <c r="AY67" s="15"/>
      <c r="AZ67" s="14"/>
      <c r="BA67" s="23"/>
      <c r="BB67" s="15"/>
      <c r="BC67" s="25"/>
      <c r="BD67" s="23"/>
      <c r="BE67" s="15"/>
      <c r="BF67" s="14"/>
      <c r="BG67" s="23"/>
      <c r="BH67" s="15"/>
      <c r="BI67" s="25"/>
      <c r="BJ67" s="23"/>
      <c r="BK67" s="15"/>
      <c r="BL67" s="14"/>
      <c r="BM67" s="23"/>
      <c r="BN67" s="15"/>
      <c r="BO67" s="25"/>
      <c r="BP67" s="23"/>
      <c r="BQ67" s="15"/>
      <c r="BR67" s="14"/>
      <c r="BS67" s="23"/>
      <c r="BT67" s="15"/>
      <c r="BU67" s="25"/>
      <c r="BV67" s="23"/>
      <c r="BW67" s="15"/>
      <c r="BX67" s="14"/>
      <c r="BY67" s="23"/>
      <c r="BZ67" s="15"/>
    </row>
    <row r="68" customFormat="false" ht="15" hidden="false" customHeight="false" outlineLevel="0" collapsed="false">
      <c r="A68" s="14"/>
      <c r="B68" s="17" t="str">
        <f aca="false">IF($A68="","",IFERROR(INDEX(Policy!$B$2:$B$301,MATCH($A68,Policy!$A$2:$A$301,0)),"MRO không có"))</f>
        <v/>
      </c>
      <c r="C68" s="17" t="str">
        <f aca="false">IF($A68="","",IFERROR(INDEX(Policy!$E$2:$E$301,MATCH($A68,Policy!$A$2:$A$301,0)),"MRO không có"))</f>
        <v/>
      </c>
      <c r="D68" s="14"/>
      <c r="E68" s="15"/>
      <c r="F68" s="15"/>
      <c r="G68" s="25"/>
      <c r="H68" s="23"/>
      <c r="I68" s="15"/>
      <c r="J68" s="14"/>
      <c r="K68" s="23"/>
      <c r="L68" s="15"/>
      <c r="M68" s="25"/>
      <c r="N68" s="23"/>
      <c r="O68" s="15"/>
      <c r="P68" s="14"/>
      <c r="Q68" s="23"/>
      <c r="R68" s="15"/>
      <c r="S68" s="25"/>
      <c r="T68" s="23"/>
      <c r="U68" s="15"/>
      <c r="V68" s="14"/>
      <c r="W68" s="23"/>
      <c r="X68" s="15"/>
      <c r="Y68" s="25"/>
      <c r="Z68" s="23"/>
      <c r="AA68" s="15"/>
      <c r="AB68" s="14"/>
      <c r="AC68" s="23"/>
      <c r="AD68" s="15"/>
      <c r="AE68" s="25"/>
      <c r="AF68" s="23"/>
      <c r="AG68" s="15"/>
      <c r="AH68" s="14"/>
      <c r="AI68" s="23"/>
      <c r="AJ68" s="15"/>
      <c r="AK68" s="25"/>
      <c r="AL68" s="23"/>
      <c r="AM68" s="15"/>
      <c r="AN68" s="14"/>
      <c r="AO68" s="23"/>
      <c r="AP68" s="15"/>
      <c r="AQ68" s="25"/>
      <c r="AR68" s="23"/>
      <c r="AS68" s="15"/>
      <c r="AT68" s="14"/>
      <c r="AU68" s="23"/>
      <c r="AV68" s="15"/>
      <c r="AW68" s="25"/>
      <c r="AX68" s="23"/>
      <c r="AY68" s="15"/>
      <c r="AZ68" s="14"/>
      <c r="BA68" s="23"/>
      <c r="BB68" s="15"/>
      <c r="BC68" s="25"/>
      <c r="BD68" s="23"/>
      <c r="BE68" s="15"/>
      <c r="BF68" s="14"/>
      <c r="BG68" s="23"/>
      <c r="BH68" s="15"/>
      <c r="BI68" s="25"/>
      <c r="BJ68" s="23"/>
      <c r="BK68" s="15"/>
      <c r="BL68" s="14"/>
      <c r="BM68" s="23"/>
      <c r="BN68" s="15"/>
      <c r="BO68" s="25"/>
      <c r="BP68" s="23"/>
      <c r="BQ68" s="15"/>
      <c r="BR68" s="14"/>
      <c r="BS68" s="23"/>
      <c r="BT68" s="15"/>
      <c r="BU68" s="25"/>
      <c r="BV68" s="23"/>
      <c r="BW68" s="15"/>
      <c r="BX68" s="14"/>
      <c r="BY68" s="23"/>
      <c r="BZ68" s="15"/>
    </row>
    <row r="69" customFormat="false" ht="15" hidden="false" customHeight="false" outlineLevel="0" collapsed="false">
      <c r="A69" s="14"/>
      <c r="B69" s="17" t="str">
        <f aca="false">IF($A69="","",IFERROR(INDEX(Policy!$B$2:$B$301,MATCH($A69,Policy!$A$2:$A$301,0)),"MRO không có"))</f>
        <v/>
      </c>
      <c r="C69" s="17" t="str">
        <f aca="false">IF($A69="","",IFERROR(INDEX(Policy!$E$2:$E$301,MATCH($A69,Policy!$A$2:$A$301,0)),"MRO không có"))</f>
        <v/>
      </c>
      <c r="D69" s="14"/>
      <c r="E69" s="15"/>
      <c r="F69" s="15"/>
      <c r="G69" s="25"/>
      <c r="H69" s="23"/>
      <c r="I69" s="15"/>
      <c r="J69" s="14"/>
      <c r="K69" s="23"/>
      <c r="L69" s="15"/>
      <c r="M69" s="25"/>
      <c r="N69" s="23"/>
      <c r="O69" s="15"/>
      <c r="P69" s="14"/>
      <c r="Q69" s="23"/>
      <c r="R69" s="15"/>
      <c r="S69" s="25"/>
      <c r="T69" s="23"/>
      <c r="U69" s="15"/>
      <c r="V69" s="14"/>
      <c r="W69" s="23"/>
      <c r="X69" s="15"/>
      <c r="Y69" s="25"/>
      <c r="Z69" s="23"/>
      <c r="AA69" s="15"/>
      <c r="AB69" s="14"/>
      <c r="AC69" s="23"/>
      <c r="AD69" s="15"/>
      <c r="AE69" s="25"/>
      <c r="AF69" s="23"/>
      <c r="AG69" s="15"/>
      <c r="AH69" s="14"/>
      <c r="AI69" s="23"/>
      <c r="AJ69" s="15"/>
      <c r="AK69" s="25"/>
      <c r="AL69" s="23"/>
      <c r="AM69" s="15"/>
      <c r="AN69" s="14"/>
      <c r="AO69" s="23"/>
      <c r="AP69" s="15"/>
      <c r="AQ69" s="25"/>
      <c r="AR69" s="23"/>
      <c r="AS69" s="15"/>
      <c r="AT69" s="14"/>
      <c r="AU69" s="23"/>
      <c r="AV69" s="15"/>
      <c r="AW69" s="25"/>
      <c r="AX69" s="23"/>
      <c r="AY69" s="15"/>
      <c r="AZ69" s="14"/>
      <c r="BA69" s="23"/>
      <c r="BB69" s="15"/>
      <c r="BC69" s="25"/>
      <c r="BD69" s="23"/>
      <c r="BE69" s="15"/>
      <c r="BF69" s="14"/>
      <c r="BG69" s="23"/>
      <c r="BH69" s="15"/>
      <c r="BI69" s="25"/>
      <c r="BJ69" s="23"/>
      <c r="BK69" s="15"/>
      <c r="BL69" s="14"/>
      <c r="BM69" s="23"/>
      <c r="BN69" s="15"/>
      <c r="BO69" s="25"/>
      <c r="BP69" s="23"/>
      <c r="BQ69" s="15"/>
      <c r="BR69" s="14"/>
      <c r="BS69" s="23"/>
      <c r="BT69" s="15"/>
      <c r="BU69" s="25"/>
      <c r="BV69" s="23"/>
      <c r="BW69" s="15"/>
      <c r="BX69" s="14"/>
      <c r="BY69" s="23"/>
      <c r="BZ69" s="15"/>
    </row>
    <row r="70" customFormat="false" ht="15" hidden="false" customHeight="false" outlineLevel="0" collapsed="false">
      <c r="A70" s="14"/>
      <c r="B70" s="17" t="str">
        <f aca="false">IF($A70="","",IFERROR(INDEX(Policy!$B$2:$B$301,MATCH($A70,Policy!$A$2:$A$301,0)),"MRO không có"))</f>
        <v/>
      </c>
      <c r="C70" s="17" t="str">
        <f aca="false">IF($A70="","",IFERROR(INDEX(Policy!$E$2:$E$301,MATCH($A70,Policy!$A$2:$A$301,0)),"MRO không có"))</f>
        <v/>
      </c>
      <c r="D70" s="14"/>
      <c r="E70" s="15"/>
      <c r="F70" s="15"/>
      <c r="G70" s="25"/>
      <c r="H70" s="23"/>
      <c r="I70" s="15"/>
      <c r="J70" s="14"/>
      <c r="K70" s="23"/>
      <c r="L70" s="15"/>
      <c r="M70" s="25"/>
      <c r="N70" s="23"/>
      <c r="O70" s="15"/>
      <c r="P70" s="14"/>
      <c r="Q70" s="23"/>
      <c r="R70" s="15"/>
      <c r="S70" s="25"/>
      <c r="T70" s="23"/>
      <c r="U70" s="15"/>
      <c r="V70" s="14"/>
      <c r="W70" s="23"/>
      <c r="X70" s="15"/>
      <c r="Y70" s="25"/>
      <c r="Z70" s="23"/>
      <c r="AA70" s="15"/>
      <c r="AB70" s="14"/>
      <c r="AC70" s="23"/>
      <c r="AD70" s="15"/>
      <c r="AE70" s="25"/>
      <c r="AF70" s="23"/>
      <c r="AG70" s="15"/>
      <c r="AH70" s="14"/>
      <c r="AI70" s="23"/>
      <c r="AJ70" s="15"/>
      <c r="AK70" s="25"/>
      <c r="AL70" s="23"/>
      <c r="AM70" s="15"/>
      <c r="AN70" s="14"/>
      <c r="AO70" s="23"/>
      <c r="AP70" s="15"/>
      <c r="AQ70" s="25"/>
      <c r="AR70" s="23"/>
      <c r="AS70" s="15"/>
      <c r="AT70" s="14"/>
      <c r="AU70" s="23"/>
      <c r="AV70" s="15"/>
      <c r="AW70" s="25"/>
      <c r="AX70" s="23"/>
      <c r="AY70" s="15"/>
      <c r="AZ70" s="14"/>
      <c r="BA70" s="23"/>
      <c r="BB70" s="15"/>
      <c r="BC70" s="25"/>
      <c r="BD70" s="23"/>
      <c r="BE70" s="15"/>
      <c r="BF70" s="14"/>
      <c r="BG70" s="23"/>
      <c r="BH70" s="15"/>
      <c r="BI70" s="25"/>
      <c r="BJ70" s="23"/>
      <c r="BK70" s="15"/>
      <c r="BL70" s="14"/>
      <c r="BM70" s="23"/>
      <c r="BN70" s="15"/>
      <c r="BO70" s="25"/>
      <c r="BP70" s="23"/>
      <c r="BQ70" s="15"/>
      <c r="BR70" s="14"/>
      <c r="BS70" s="23"/>
      <c r="BT70" s="15"/>
      <c r="BU70" s="25"/>
      <c r="BV70" s="23"/>
      <c r="BW70" s="15"/>
      <c r="BX70" s="14"/>
      <c r="BY70" s="23"/>
      <c r="BZ70" s="15"/>
    </row>
    <row r="71" customFormat="false" ht="15" hidden="false" customHeight="false" outlineLevel="0" collapsed="false">
      <c r="A71" s="14"/>
      <c r="B71" s="17" t="str">
        <f aca="false">IF($A71="","",IFERROR(INDEX(Policy!$B$2:$B$301,MATCH($A71,Policy!$A$2:$A$301,0)),"MRO không có"))</f>
        <v/>
      </c>
      <c r="C71" s="17" t="str">
        <f aca="false">IF($A71="","",IFERROR(INDEX(Policy!$E$2:$E$301,MATCH($A71,Policy!$A$2:$A$301,0)),"MRO không có"))</f>
        <v/>
      </c>
      <c r="D71" s="14"/>
      <c r="E71" s="15"/>
      <c r="F71" s="15"/>
      <c r="G71" s="25"/>
      <c r="H71" s="23"/>
      <c r="I71" s="15"/>
      <c r="J71" s="14"/>
      <c r="K71" s="23"/>
      <c r="L71" s="15"/>
      <c r="M71" s="25"/>
      <c r="N71" s="23"/>
      <c r="O71" s="15"/>
      <c r="P71" s="14"/>
      <c r="Q71" s="23"/>
      <c r="R71" s="15"/>
      <c r="S71" s="25"/>
      <c r="T71" s="23"/>
      <c r="U71" s="15"/>
      <c r="V71" s="14"/>
      <c r="W71" s="23"/>
      <c r="X71" s="15"/>
      <c r="Y71" s="25"/>
      <c r="Z71" s="23"/>
      <c r="AA71" s="15"/>
      <c r="AB71" s="14"/>
      <c r="AC71" s="23"/>
      <c r="AD71" s="15"/>
      <c r="AE71" s="25"/>
      <c r="AF71" s="23"/>
      <c r="AG71" s="15"/>
      <c r="AH71" s="14"/>
      <c r="AI71" s="23"/>
      <c r="AJ71" s="15"/>
      <c r="AK71" s="25"/>
      <c r="AL71" s="23"/>
      <c r="AM71" s="15"/>
      <c r="AN71" s="14"/>
      <c r="AO71" s="23"/>
      <c r="AP71" s="15"/>
      <c r="AQ71" s="25"/>
      <c r="AR71" s="23"/>
      <c r="AS71" s="15"/>
      <c r="AT71" s="14"/>
      <c r="AU71" s="23"/>
      <c r="AV71" s="15"/>
      <c r="AW71" s="25"/>
      <c r="AX71" s="23"/>
      <c r="AY71" s="15"/>
      <c r="AZ71" s="14"/>
      <c r="BA71" s="23"/>
      <c r="BB71" s="15"/>
      <c r="BC71" s="25"/>
      <c r="BD71" s="23"/>
      <c r="BE71" s="15"/>
      <c r="BF71" s="14"/>
      <c r="BG71" s="23"/>
      <c r="BH71" s="15"/>
      <c r="BI71" s="25"/>
      <c r="BJ71" s="23"/>
      <c r="BK71" s="15"/>
      <c r="BL71" s="14"/>
      <c r="BM71" s="23"/>
      <c r="BN71" s="15"/>
      <c r="BO71" s="25"/>
      <c r="BP71" s="23"/>
      <c r="BQ71" s="15"/>
      <c r="BR71" s="14"/>
      <c r="BS71" s="23"/>
      <c r="BT71" s="15"/>
      <c r="BU71" s="25"/>
      <c r="BV71" s="23"/>
      <c r="BW71" s="15"/>
      <c r="BX71" s="14"/>
      <c r="BY71" s="23"/>
      <c r="BZ71" s="15"/>
    </row>
    <row r="72" customFormat="false" ht="15" hidden="false" customHeight="false" outlineLevel="0" collapsed="false">
      <c r="A72" s="14"/>
      <c r="B72" s="17" t="str">
        <f aca="false">IF($A72="","",IFERROR(INDEX(Policy!$B$2:$B$301,MATCH($A72,Policy!$A$2:$A$301,0)),"MRO không có"))</f>
        <v/>
      </c>
      <c r="C72" s="17" t="str">
        <f aca="false">IF($A72="","",IFERROR(INDEX(Policy!$E$2:$E$301,MATCH($A72,Policy!$A$2:$A$301,0)),"MRO không có"))</f>
        <v/>
      </c>
      <c r="D72" s="14"/>
      <c r="E72" s="15"/>
      <c r="F72" s="15"/>
      <c r="G72" s="25"/>
      <c r="H72" s="23"/>
      <c r="I72" s="15"/>
      <c r="J72" s="14"/>
      <c r="K72" s="23"/>
      <c r="L72" s="15"/>
      <c r="M72" s="25"/>
      <c r="N72" s="23"/>
      <c r="O72" s="15"/>
      <c r="P72" s="14"/>
      <c r="Q72" s="23"/>
      <c r="R72" s="15"/>
      <c r="S72" s="25"/>
      <c r="T72" s="23"/>
      <c r="U72" s="15"/>
      <c r="V72" s="14"/>
      <c r="W72" s="23"/>
      <c r="X72" s="15"/>
      <c r="Y72" s="25"/>
      <c r="Z72" s="23"/>
      <c r="AA72" s="15"/>
      <c r="AB72" s="14"/>
      <c r="AC72" s="23"/>
      <c r="AD72" s="15"/>
      <c r="AE72" s="25"/>
      <c r="AF72" s="23"/>
      <c r="AG72" s="15"/>
      <c r="AH72" s="14"/>
      <c r="AI72" s="23"/>
      <c r="AJ72" s="15"/>
      <c r="AK72" s="25"/>
      <c r="AL72" s="23"/>
      <c r="AM72" s="15"/>
      <c r="AN72" s="14"/>
      <c r="AO72" s="23"/>
      <c r="AP72" s="15"/>
      <c r="AQ72" s="25"/>
      <c r="AR72" s="23"/>
      <c r="AS72" s="15"/>
      <c r="AT72" s="14"/>
      <c r="AU72" s="23"/>
      <c r="AV72" s="15"/>
      <c r="AW72" s="25"/>
      <c r="AX72" s="23"/>
      <c r="AY72" s="15"/>
      <c r="AZ72" s="14"/>
      <c r="BA72" s="23"/>
      <c r="BB72" s="15"/>
      <c r="BC72" s="25"/>
      <c r="BD72" s="23"/>
      <c r="BE72" s="15"/>
      <c r="BF72" s="14"/>
      <c r="BG72" s="23"/>
      <c r="BH72" s="15"/>
      <c r="BI72" s="25"/>
      <c r="BJ72" s="23"/>
      <c r="BK72" s="15"/>
      <c r="BL72" s="14"/>
      <c r="BM72" s="23"/>
      <c r="BN72" s="15"/>
      <c r="BO72" s="25"/>
      <c r="BP72" s="23"/>
      <c r="BQ72" s="15"/>
      <c r="BR72" s="14"/>
      <c r="BS72" s="23"/>
      <c r="BT72" s="15"/>
      <c r="BU72" s="25"/>
      <c r="BV72" s="23"/>
      <c r="BW72" s="15"/>
      <c r="BX72" s="14"/>
      <c r="BY72" s="23"/>
      <c r="BZ72" s="15"/>
    </row>
    <row r="73" customFormat="false" ht="15" hidden="false" customHeight="false" outlineLevel="0" collapsed="false">
      <c r="A73" s="14"/>
      <c r="B73" s="17" t="str">
        <f aca="false">IF($A73="","",IFERROR(INDEX(Policy!$B$2:$B$301,MATCH($A73,Policy!$A$2:$A$301,0)),"MRO không có"))</f>
        <v/>
      </c>
      <c r="C73" s="17" t="str">
        <f aca="false">IF($A73="","",IFERROR(INDEX(Policy!$E$2:$E$301,MATCH($A73,Policy!$A$2:$A$301,0)),"MRO không có"))</f>
        <v/>
      </c>
      <c r="D73" s="14"/>
      <c r="E73" s="15"/>
      <c r="F73" s="15"/>
      <c r="G73" s="25"/>
      <c r="H73" s="23"/>
      <c r="I73" s="15"/>
      <c r="J73" s="14"/>
      <c r="K73" s="23"/>
      <c r="L73" s="15"/>
      <c r="M73" s="25"/>
      <c r="N73" s="23"/>
      <c r="O73" s="15"/>
      <c r="P73" s="14"/>
      <c r="Q73" s="23"/>
      <c r="R73" s="15"/>
      <c r="S73" s="25"/>
      <c r="T73" s="23"/>
      <c r="U73" s="15"/>
      <c r="V73" s="14"/>
      <c r="W73" s="23"/>
      <c r="X73" s="15"/>
      <c r="Y73" s="25"/>
      <c r="Z73" s="23"/>
      <c r="AA73" s="15"/>
      <c r="AB73" s="14"/>
      <c r="AC73" s="23"/>
      <c r="AD73" s="15"/>
      <c r="AE73" s="25"/>
      <c r="AF73" s="23"/>
      <c r="AG73" s="15"/>
      <c r="AH73" s="14"/>
      <c r="AI73" s="23"/>
      <c r="AJ73" s="15"/>
      <c r="AK73" s="25"/>
      <c r="AL73" s="23"/>
      <c r="AM73" s="15"/>
      <c r="AN73" s="14"/>
      <c r="AO73" s="23"/>
      <c r="AP73" s="15"/>
      <c r="AQ73" s="25"/>
      <c r="AR73" s="23"/>
      <c r="AS73" s="15"/>
      <c r="AT73" s="14"/>
      <c r="AU73" s="23"/>
      <c r="AV73" s="15"/>
      <c r="AW73" s="25"/>
      <c r="AX73" s="23"/>
      <c r="AY73" s="15"/>
      <c r="AZ73" s="14"/>
      <c r="BA73" s="23"/>
      <c r="BB73" s="15"/>
      <c r="BC73" s="25"/>
      <c r="BD73" s="23"/>
      <c r="BE73" s="15"/>
      <c r="BF73" s="14"/>
      <c r="BG73" s="23"/>
      <c r="BH73" s="15"/>
      <c r="BI73" s="25"/>
      <c r="BJ73" s="23"/>
      <c r="BK73" s="15"/>
      <c r="BL73" s="14"/>
      <c r="BM73" s="23"/>
      <c r="BN73" s="15"/>
      <c r="BO73" s="25"/>
      <c r="BP73" s="23"/>
      <c r="BQ73" s="15"/>
      <c r="BR73" s="14"/>
      <c r="BS73" s="23"/>
      <c r="BT73" s="15"/>
      <c r="BU73" s="25"/>
      <c r="BV73" s="23"/>
      <c r="BW73" s="15"/>
      <c r="BX73" s="14"/>
      <c r="BY73" s="23"/>
      <c r="BZ73" s="15"/>
    </row>
    <row r="74" customFormat="false" ht="15" hidden="false" customHeight="false" outlineLevel="0" collapsed="false">
      <c r="A74" s="14"/>
      <c r="B74" s="17" t="str">
        <f aca="false">IF($A74="","",IFERROR(INDEX(Policy!$B$2:$B$301,MATCH($A74,Policy!$A$2:$A$301,0)),"MRO không có"))</f>
        <v/>
      </c>
      <c r="C74" s="17" t="str">
        <f aca="false">IF($A74="","",IFERROR(INDEX(Policy!$E$2:$E$301,MATCH($A74,Policy!$A$2:$A$301,0)),"MRO không có"))</f>
        <v/>
      </c>
      <c r="D74" s="14"/>
      <c r="E74" s="15"/>
      <c r="F74" s="15"/>
      <c r="G74" s="25"/>
      <c r="H74" s="23"/>
      <c r="I74" s="15"/>
      <c r="J74" s="14"/>
      <c r="K74" s="23"/>
      <c r="L74" s="15"/>
      <c r="M74" s="25"/>
      <c r="N74" s="23"/>
      <c r="O74" s="15"/>
      <c r="P74" s="14"/>
      <c r="Q74" s="23"/>
      <c r="R74" s="15"/>
      <c r="S74" s="25"/>
      <c r="T74" s="23"/>
      <c r="U74" s="15"/>
      <c r="V74" s="14"/>
      <c r="W74" s="23"/>
      <c r="X74" s="15"/>
      <c r="Y74" s="25"/>
      <c r="Z74" s="23"/>
      <c r="AA74" s="15"/>
      <c r="AB74" s="14"/>
      <c r="AC74" s="23"/>
      <c r="AD74" s="15"/>
      <c r="AE74" s="25"/>
      <c r="AF74" s="23"/>
      <c r="AG74" s="15"/>
      <c r="AH74" s="14"/>
      <c r="AI74" s="23"/>
      <c r="AJ74" s="15"/>
      <c r="AK74" s="25"/>
      <c r="AL74" s="23"/>
      <c r="AM74" s="15"/>
      <c r="AN74" s="14"/>
      <c r="AO74" s="23"/>
      <c r="AP74" s="15"/>
      <c r="AQ74" s="25"/>
      <c r="AR74" s="23"/>
      <c r="AS74" s="15"/>
      <c r="AT74" s="14"/>
      <c r="AU74" s="23"/>
      <c r="AV74" s="15"/>
      <c r="AW74" s="25"/>
      <c r="AX74" s="23"/>
      <c r="AY74" s="15"/>
      <c r="AZ74" s="14"/>
      <c r="BA74" s="23"/>
      <c r="BB74" s="15"/>
      <c r="BC74" s="25"/>
      <c r="BD74" s="23"/>
      <c r="BE74" s="15"/>
      <c r="BF74" s="14"/>
      <c r="BG74" s="23"/>
      <c r="BH74" s="15"/>
      <c r="BI74" s="25"/>
      <c r="BJ74" s="23"/>
      <c r="BK74" s="15"/>
      <c r="BL74" s="14"/>
      <c r="BM74" s="23"/>
      <c r="BN74" s="15"/>
      <c r="BO74" s="25"/>
      <c r="BP74" s="23"/>
      <c r="BQ74" s="15"/>
      <c r="BR74" s="14"/>
      <c r="BS74" s="23"/>
      <c r="BT74" s="15"/>
      <c r="BU74" s="25"/>
      <c r="BV74" s="23"/>
      <c r="BW74" s="15"/>
      <c r="BX74" s="14"/>
      <c r="BY74" s="23"/>
      <c r="BZ74" s="15"/>
    </row>
    <row r="75" customFormat="false" ht="15" hidden="false" customHeight="false" outlineLevel="0" collapsed="false">
      <c r="A75" s="14"/>
      <c r="B75" s="17" t="str">
        <f aca="false">IF($A75="","",IFERROR(INDEX(Policy!$B$2:$B$301,MATCH($A75,Policy!$A$2:$A$301,0)),"MRO không có"))</f>
        <v/>
      </c>
      <c r="C75" s="17" t="str">
        <f aca="false">IF($A75="","",IFERROR(INDEX(Policy!$E$2:$E$301,MATCH($A75,Policy!$A$2:$A$301,0)),"MRO không có"))</f>
        <v/>
      </c>
      <c r="D75" s="14"/>
      <c r="E75" s="15"/>
      <c r="F75" s="15"/>
      <c r="G75" s="25"/>
      <c r="H75" s="23"/>
      <c r="I75" s="15"/>
      <c r="J75" s="14"/>
      <c r="K75" s="23"/>
      <c r="L75" s="15"/>
      <c r="M75" s="25"/>
      <c r="N75" s="23"/>
      <c r="O75" s="15"/>
      <c r="P75" s="14"/>
      <c r="Q75" s="23"/>
      <c r="R75" s="15"/>
      <c r="S75" s="25"/>
      <c r="T75" s="23"/>
      <c r="U75" s="15"/>
      <c r="V75" s="14"/>
      <c r="W75" s="23"/>
      <c r="X75" s="15"/>
      <c r="Y75" s="25"/>
      <c r="Z75" s="23"/>
      <c r="AA75" s="15"/>
      <c r="AB75" s="14"/>
      <c r="AC75" s="23"/>
      <c r="AD75" s="15"/>
      <c r="AE75" s="25"/>
      <c r="AF75" s="23"/>
      <c r="AG75" s="15"/>
      <c r="AH75" s="14"/>
      <c r="AI75" s="23"/>
      <c r="AJ75" s="15"/>
      <c r="AK75" s="25"/>
      <c r="AL75" s="23"/>
      <c r="AM75" s="15"/>
      <c r="AN75" s="14"/>
      <c r="AO75" s="23"/>
      <c r="AP75" s="15"/>
      <c r="AQ75" s="25"/>
      <c r="AR75" s="23"/>
      <c r="AS75" s="15"/>
      <c r="AT75" s="14"/>
      <c r="AU75" s="23"/>
      <c r="AV75" s="15"/>
      <c r="AW75" s="25"/>
      <c r="AX75" s="23"/>
      <c r="AY75" s="15"/>
      <c r="AZ75" s="14"/>
      <c r="BA75" s="23"/>
      <c r="BB75" s="15"/>
      <c r="BC75" s="25"/>
      <c r="BD75" s="23"/>
      <c r="BE75" s="15"/>
      <c r="BF75" s="14"/>
      <c r="BG75" s="23"/>
      <c r="BH75" s="15"/>
      <c r="BI75" s="25"/>
      <c r="BJ75" s="23"/>
      <c r="BK75" s="15"/>
      <c r="BL75" s="14"/>
      <c r="BM75" s="23"/>
      <c r="BN75" s="15"/>
      <c r="BO75" s="25"/>
      <c r="BP75" s="23"/>
      <c r="BQ75" s="15"/>
      <c r="BR75" s="14"/>
      <c r="BS75" s="23"/>
      <c r="BT75" s="15"/>
      <c r="BU75" s="25"/>
      <c r="BV75" s="23"/>
      <c r="BW75" s="15"/>
      <c r="BX75" s="14"/>
      <c r="BY75" s="23"/>
      <c r="BZ75" s="15"/>
    </row>
    <row r="76" customFormat="false" ht="15" hidden="false" customHeight="false" outlineLevel="0" collapsed="false">
      <c r="A76" s="14"/>
      <c r="B76" s="17" t="str">
        <f aca="false">IF($A76="","",IFERROR(INDEX(Policy!$B$2:$B$301,MATCH($A76,Policy!$A$2:$A$301,0)),"MRO không có"))</f>
        <v/>
      </c>
      <c r="C76" s="17" t="str">
        <f aca="false">IF($A76="","",IFERROR(INDEX(Policy!$E$2:$E$301,MATCH($A76,Policy!$A$2:$A$301,0)),"MRO không có"))</f>
        <v/>
      </c>
      <c r="D76" s="14"/>
      <c r="E76" s="15"/>
      <c r="F76" s="15"/>
      <c r="G76" s="25"/>
      <c r="H76" s="23"/>
      <c r="I76" s="15"/>
      <c r="J76" s="14"/>
      <c r="K76" s="23"/>
      <c r="L76" s="15"/>
      <c r="M76" s="25"/>
      <c r="N76" s="23"/>
      <c r="O76" s="15"/>
      <c r="P76" s="14"/>
      <c r="Q76" s="23"/>
      <c r="R76" s="15"/>
      <c r="S76" s="25"/>
      <c r="T76" s="23"/>
      <c r="U76" s="15"/>
      <c r="V76" s="14"/>
      <c r="W76" s="23"/>
      <c r="X76" s="15"/>
      <c r="Y76" s="25"/>
      <c r="Z76" s="23"/>
      <c r="AA76" s="15"/>
      <c r="AB76" s="14"/>
      <c r="AC76" s="23"/>
      <c r="AD76" s="15"/>
      <c r="AE76" s="25"/>
      <c r="AF76" s="23"/>
      <c r="AG76" s="15"/>
      <c r="AH76" s="14"/>
      <c r="AI76" s="23"/>
      <c r="AJ76" s="15"/>
      <c r="AK76" s="25"/>
      <c r="AL76" s="23"/>
      <c r="AM76" s="15"/>
      <c r="AN76" s="14"/>
      <c r="AO76" s="23"/>
      <c r="AP76" s="15"/>
      <c r="AQ76" s="25"/>
      <c r="AR76" s="23"/>
      <c r="AS76" s="15"/>
      <c r="AT76" s="14"/>
      <c r="AU76" s="23"/>
      <c r="AV76" s="15"/>
      <c r="AW76" s="25"/>
      <c r="AX76" s="23"/>
      <c r="AY76" s="15"/>
      <c r="AZ76" s="14"/>
      <c r="BA76" s="23"/>
      <c r="BB76" s="15"/>
      <c r="BC76" s="25"/>
      <c r="BD76" s="23"/>
      <c r="BE76" s="15"/>
      <c r="BF76" s="14"/>
      <c r="BG76" s="23"/>
      <c r="BH76" s="15"/>
      <c r="BI76" s="25"/>
      <c r="BJ76" s="23"/>
      <c r="BK76" s="15"/>
      <c r="BL76" s="14"/>
      <c r="BM76" s="23"/>
      <c r="BN76" s="15"/>
      <c r="BO76" s="25"/>
      <c r="BP76" s="23"/>
      <c r="BQ76" s="15"/>
      <c r="BR76" s="14"/>
      <c r="BS76" s="23"/>
      <c r="BT76" s="15"/>
      <c r="BU76" s="25"/>
      <c r="BV76" s="23"/>
      <c r="BW76" s="15"/>
      <c r="BX76" s="14"/>
      <c r="BY76" s="23"/>
      <c r="BZ76" s="15"/>
    </row>
    <row r="77" customFormat="false" ht="15" hidden="false" customHeight="false" outlineLevel="0" collapsed="false">
      <c r="A77" s="14"/>
      <c r="B77" s="17" t="str">
        <f aca="false">IF($A77="","",IFERROR(INDEX(Policy!$B$2:$B$301,MATCH($A77,Policy!$A$2:$A$301,0)),"MRO không có"))</f>
        <v/>
      </c>
      <c r="C77" s="17" t="str">
        <f aca="false">IF($A77="","",IFERROR(INDEX(Policy!$E$2:$E$301,MATCH($A77,Policy!$A$2:$A$301,0)),"MRO không có"))</f>
        <v/>
      </c>
      <c r="D77" s="14"/>
      <c r="E77" s="15"/>
      <c r="F77" s="15"/>
      <c r="G77" s="25"/>
      <c r="H77" s="23"/>
      <c r="I77" s="15"/>
      <c r="J77" s="14"/>
      <c r="K77" s="23"/>
      <c r="L77" s="15"/>
      <c r="M77" s="25"/>
      <c r="N77" s="23"/>
      <c r="O77" s="15"/>
      <c r="P77" s="14"/>
      <c r="Q77" s="23"/>
      <c r="R77" s="15"/>
      <c r="S77" s="25"/>
      <c r="T77" s="23"/>
      <c r="U77" s="15"/>
      <c r="V77" s="14"/>
      <c r="W77" s="23"/>
      <c r="X77" s="15"/>
      <c r="Y77" s="25"/>
      <c r="Z77" s="23"/>
      <c r="AA77" s="15"/>
      <c r="AB77" s="14"/>
      <c r="AC77" s="23"/>
      <c r="AD77" s="15"/>
      <c r="AE77" s="25"/>
      <c r="AF77" s="23"/>
      <c r="AG77" s="15"/>
      <c r="AH77" s="14"/>
      <c r="AI77" s="23"/>
      <c r="AJ77" s="15"/>
      <c r="AK77" s="25"/>
      <c r="AL77" s="23"/>
      <c r="AM77" s="15"/>
      <c r="AN77" s="14"/>
      <c r="AO77" s="23"/>
      <c r="AP77" s="15"/>
      <c r="AQ77" s="25"/>
      <c r="AR77" s="23"/>
      <c r="AS77" s="15"/>
      <c r="AT77" s="14"/>
      <c r="AU77" s="23"/>
      <c r="AV77" s="15"/>
      <c r="AW77" s="25"/>
      <c r="AX77" s="23"/>
      <c r="AY77" s="15"/>
      <c r="AZ77" s="14"/>
      <c r="BA77" s="23"/>
      <c r="BB77" s="15"/>
      <c r="BC77" s="25"/>
      <c r="BD77" s="23"/>
      <c r="BE77" s="15"/>
      <c r="BF77" s="14"/>
      <c r="BG77" s="23"/>
      <c r="BH77" s="15"/>
      <c r="BI77" s="25"/>
      <c r="BJ77" s="23"/>
      <c r="BK77" s="15"/>
      <c r="BL77" s="14"/>
      <c r="BM77" s="23"/>
      <c r="BN77" s="15"/>
      <c r="BO77" s="25"/>
      <c r="BP77" s="23"/>
      <c r="BQ77" s="15"/>
      <c r="BR77" s="14"/>
      <c r="BS77" s="23"/>
      <c r="BT77" s="15"/>
      <c r="BU77" s="25"/>
      <c r="BV77" s="23"/>
      <c r="BW77" s="15"/>
      <c r="BX77" s="14"/>
      <c r="BY77" s="23"/>
      <c r="BZ77" s="15"/>
    </row>
    <row r="78" customFormat="false" ht="15" hidden="false" customHeight="false" outlineLevel="0" collapsed="false">
      <c r="A78" s="14"/>
      <c r="B78" s="17" t="str">
        <f aca="false">IF($A78="","",IFERROR(INDEX(Policy!$B$2:$B$301,MATCH($A78,Policy!$A$2:$A$301,0)),"MRO không có"))</f>
        <v/>
      </c>
      <c r="C78" s="17" t="str">
        <f aca="false">IF($A78="","",IFERROR(INDEX(Policy!$E$2:$E$301,MATCH($A78,Policy!$A$2:$A$301,0)),"MRO không có"))</f>
        <v/>
      </c>
      <c r="D78" s="14"/>
      <c r="E78" s="15"/>
      <c r="F78" s="15"/>
      <c r="G78" s="25"/>
      <c r="H78" s="23"/>
      <c r="I78" s="15"/>
      <c r="J78" s="14"/>
      <c r="K78" s="23"/>
      <c r="L78" s="15"/>
      <c r="M78" s="25"/>
      <c r="N78" s="23"/>
      <c r="O78" s="15"/>
      <c r="P78" s="14"/>
      <c r="Q78" s="23"/>
      <c r="R78" s="15"/>
      <c r="S78" s="25"/>
      <c r="T78" s="23"/>
      <c r="U78" s="15"/>
      <c r="V78" s="14"/>
      <c r="W78" s="23"/>
      <c r="X78" s="15"/>
      <c r="Y78" s="25"/>
      <c r="Z78" s="23"/>
      <c r="AA78" s="15"/>
      <c r="AB78" s="14"/>
      <c r="AC78" s="23"/>
      <c r="AD78" s="15"/>
      <c r="AE78" s="25"/>
      <c r="AF78" s="23"/>
      <c r="AG78" s="15"/>
      <c r="AH78" s="14"/>
      <c r="AI78" s="23"/>
      <c r="AJ78" s="15"/>
      <c r="AK78" s="25"/>
      <c r="AL78" s="23"/>
      <c r="AM78" s="15"/>
      <c r="AN78" s="14"/>
      <c r="AO78" s="23"/>
      <c r="AP78" s="15"/>
      <c r="AQ78" s="25"/>
      <c r="AR78" s="23"/>
      <c r="AS78" s="15"/>
      <c r="AT78" s="14"/>
      <c r="AU78" s="23"/>
      <c r="AV78" s="15"/>
      <c r="AW78" s="25"/>
      <c r="AX78" s="23"/>
      <c r="AY78" s="15"/>
      <c r="AZ78" s="14"/>
      <c r="BA78" s="23"/>
      <c r="BB78" s="15"/>
      <c r="BC78" s="25"/>
      <c r="BD78" s="23"/>
      <c r="BE78" s="15"/>
      <c r="BF78" s="14"/>
      <c r="BG78" s="23"/>
      <c r="BH78" s="15"/>
      <c r="BI78" s="25"/>
      <c r="BJ78" s="23"/>
      <c r="BK78" s="15"/>
      <c r="BL78" s="14"/>
      <c r="BM78" s="23"/>
      <c r="BN78" s="15"/>
      <c r="BO78" s="25"/>
      <c r="BP78" s="23"/>
      <c r="BQ78" s="15"/>
      <c r="BR78" s="14"/>
      <c r="BS78" s="23"/>
      <c r="BT78" s="15"/>
      <c r="BU78" s="25"/>
      <c r="BV78" s="23"/>
      <c r="BW78" s="15"/>
      <c r="BX78" s="14"/>
      <c r="BY78" s="23"/>
      <c r="BZ78" s="15"/>
    </row>
    <row r="79" customFormat="false" ht="15" hidden="false" customHeight="false" outlineLevel="0" collapsed="false">
      <c r="A79" s="14"/>
      <c r="B79" s="17" t="str">
        <f aca="false">IF($A79="","",IFERROR(INDEX(Policy!$B$2:$B$301,MATCH($A79,Policy!$A$2:$A$301,0)),"MRO không có"))</f>
        <v/>
      </c>
      <c r="C79" s="17" t="str">
        <f aca="false">IF($A79="","",IFERROR(INDEX(Policy!$E$2:$E$301,MATCH($A79,Policy!$A$2:$A$301,0)),"MRO không có"))</f>
        <v/>
      </c>
      <c r="D79" s="14"/>
      <c r="E79" s="15"/>
      <c r="F79" s="15"/>
      <c r="G79" s="25"/>
      <c r="H79" s="23"/>
      <c r="I79" s="15"/>
      <c r="J79" s="14"/>
      <c r="K79" s="23"/>
      <c r="L79" s="15"/>
      <c r="M79" s="25"/>
      <c r="N79" s="23"/>
      <c r="O79" s="15"/>
      <c r="P79" s="14"/>
      <c r="Q79" s="23"/>
      <c r="R79" s="15"/>
      <c r="S79" s="25"/>
      <c r="T79" s="23"/>
      <c r="U79" s="15"/>
      <c r="V79" s="14"/>
      <c r="W79" s="23"/>
      <c r="X79" s="15"/>
      <c r="Y79" s="25"/>
      <c r="Z79" s="23"/>
      <c r="AA79" s="15"/>
      <c r="AB79" s="14"/>
      <c r="AC79" s="23"/>
      <c r="AD79" s="15"/>
      <c r="AE79" s="25"/>
      <c r="AF79" s="23"/>
      <c r="AG79" s="15"/>
      <c r="AH79" s="14"/>
      <c r="AI79" s="23"/>
      <c r="AJ79" s="15"/>
      <c r="AK79" s="25"/>
      <c r="AL79" s="23"/>
      <c r="AM79" s="15"/>
      <c r="AN79" s="14"/>
      <c r="AO79" s="23"/>
      <c r="AP79" s="15"/>
      <c r="AQ79" s="25"/>
      <c r="AR79" s="23"/>
      <c r="AS79" s="15"/>
      <c r="AT79" s="14"/>
      <c r="AU79" s="23"/>
      <c r="AV79" s="15"/>
      <c r="AW79" s="25"/>
      <c r="AX79" s="23"/>
      <c r="AY79" s="15"/>
      <c r="AZ79" s="14"/>
      <c r="BA79" s="23"/>
      <c r="BB79" s="15"/>
      <c r="BC79" s="25"/>
      <c r="BD79" s="23"/>
      <c r="BE79" s="15"/>
      <c r="BF79" s="14"/>
      <c r="BG79" s="23"/>
      <c r="BH79" s="15"/>
      <c r="BI79" s="25"/>
      <c r="BJ79" s="23"/>
      <c r="BK79" s="15"/>
      <c r="BL79" s="14"/>
      <c r="BM79" s="23"/>
      <c r="BN79" s="15"/>
      <c r="BO79" s="25"/>
      <c r="BP79" s="23"/>
      <c r="BQ79" s="15"/>
      <c r="BR79" s="14"/>
      <c r="BS79" s="23"/>
      <c r="BT79" s="15"/>
      <c r="BU79" s="25"/>
      <c r="BV79" s="23"/>
      <c r="BW79" s="15"/>
      <c r="BX79" s="14"/>
      <c r="BY79" s="23"/>
      <c r="BZ79" s="15"/>
    </row>
    <row r="80" customFormat="false" ht="15" hidden="false" customHeight="false" outlineLevel="0" collapsed="false">
      <c r="A80" s="14"/>
      <c r="B80" s="17" t="str">
        <f aca="false">IF($A80="","",IFERROR(INDEX(Policy!$B$2:$B$301,MATCH($A80,Policy!$A$2:$A$301,0)),"MRO không có"))</f>
        <v/>
      </c>
      <c r="C80" s="17" t="str">
        <f aca="false">IF($A80="","",IFERROR(INDEX(Policy!$E$2:$E$301,MATCH($A80,Policy!$A$2:$A$301,0)),"MRO không có"))</f>
        <v/>
      </c>
      <c r="D80" s="14"/>
      <c r="E80" s="15"/>
      <c r="F80" s="15"/>
      <c r="G80" s="25"/>
      <c r="H80" s="23"/>
      <c r="I80" s="15"/>
      <c r="J80" s="14"/>
      <c r="K80" s="23"/>
      <c r="L80" s="15"/>
      <c r="M80" s="25"/>
      <c r="N80" s="23"/>
      <c r="O80" s="15"/>
      <c r="P80" s="14"/>
      <c r="Q80" s="23"/>
      <c r="R80" s="15"/>
      <c r="S80" s="25"/>
      <c r="T80" s="23"/>
      <c r="U80" s="15"/>
      <c r="V80" s="14"/>
      <c r="W80" s="23"/>
      <c r="X80" s="15"/>
      <c r="Y80" s="25"/>
      <c r="Z80" s="23"/>
      <c r="AA80" s="15"/>
      <c r="AB80" s="14"/>
      <c r="AC80" s="23"/>
      <c r="AD80" s="15"/>
      <c r="AE80" s="25"/>
      <c r="AF80" s="23"/>
      <c r="AG80" s="15"/>
      <c r="AH80" s="14"/>
      <c r="AI80" s="23"/>
      <c r="AJ80" s="15"/>
      <c r="AK80" s="25"/>
      <c r="AL80" s="23"/>
      <c r="AM80" s="15"/>
      <c r="AN80" s="14"/>
      <c r="AO80" s="23"/>
      <c r="AP80" s="15"/>
      <c r="AQ80" s="25"/>
      <c r="AR80" s="23"/>
      <c r="AS80" s="15"/>
      <c r="AT80" s="14"/>
      <c r="AU80" s="23"/>
      <c r="AV80" s="15"/>
      <c r="AW80" s="25"/>
      <c r="AX80" s="23"/>
      <c r="AY80" s="15"/>
      <c r="AZ80" s="14"/>
      <c r="BA80" s="23"/>
      <c r="BB80" s="15"/>
      <c r="BC80" s="25"/>
      <c r="BD80" s="23"/>
      <c r="BE80" s="15"/>
      <c r="BF80" s="14"/>
      <c r="BG80" s="23"/>
      <c r="BH80" s="15"/>
      <c r="BI80" s="25"/>
      <c r="BJ80" s="23"/>
      <c r="BK80" s="15"/>
      <c r="BL80" s="14"/>
      <c r="BM80" s="23"/>
      <c r="BN80" s="15"/>
      <c r="BO80" s="25"/>
      <c r="BP80" s="23"/>
      <c r="BQ80" s="15"/>
      <c r="BR80" s="14"/>
      <c r="BS80" s="23"/>
      <c r="BT80" s="15"/>
      <c r="BU80" s="25"/>
      <c r="BV80" s="23"/>
      <c r="BW80" s="15"/>
      <c r="BX80" s="14"/>
      <c r="BY80" s="23"/>
      <c r="BZ80" s="15"/>
    </row>
    <row r="81" customFormat="false" ht="15" hidden="false" customHeight="false" outlineLevel="0" collapsed="false">
      <c r="A81" s="14"/>
      <c r="B81" s="17" t="str">
        <f aca="false">IF($A81="","",IFERROR(INDEX(Policy!$B$2:$B$301,MATCH($A81,Policy!$A$2:$A$301,0)),"MRO không có"))</f>
        <v/>
      </c>
      <c r="C81" s="17" t="str">
        <f aca="false">IF($A81="","",IFERROR(INDEX(Policy!$E$2:$E$301,MATCH($A81,Policy!$A$2:$A$301,0)),"MRO không có"))</f>
        <v/>
      </c>
      <c r="D81" s="14"/>
      <c r="E81" s="15"/>
      <c r="F81" s="15"/>
      <c r="G81" s="25"/>
      <c r="H81" s="23"/>
      <c r="I81" s="15"/>
      <c r="J81" s="14"/>
      <c r="K81" s="23"/>
      <c r="L81" s="15"/>
      <c r="M81" s="25"/>
      <c r="N81" s="23"/>
      <c r="O81" s="15"/>
      <c r="P81" s="14"/>
      <c r="Q81" s="23"/>
      <c r="R81" s="15"/>
      <c r="S81" s="25"/>
      <c r="T81" s="23"/>
      <c r="U81" s="15"/>
      <c r="V81" s="14"/>
      <c r="W81" s="23"/>
      <c r="X81" s="15"/>
      <c r="Y81" s="25"/>
      <c r="Z81" s="23"/>
      <c r="AA81" s="15"/>
      <c r="AB81" s="14"/>
      <c r="AC81" s="23"/>
      <c r="AD81" s="15"/>
      <c r="AE81" s="25"/>
      <c r="AF81" s="23"/>
      <c r="AG81" s="15"/>
      <c r="AH81" s="14"/>
      <c r="AI81" s="23"/>
      <c r="AJ81" s="15"/>
      <c r="AK81" s="25"/>
      <c r="AL81" s="23"/>
      <c r="AM81" s="15"/>
      <c r="AN81" s="14"/>
      <c r="AO81" s="23"/>
      <c r="AP81" s="15"/>
      <c r="AQ81" s="25"/>
      <c r="AR81" s="23"/>
      <c r="AS81" s="15"/>
      <c r="AT81" s="14"/>
      <c r="AU81" s="23"/>
      <c r="AV81" s="15"/>
      <c r="AW81" s="25"/>
      <c r="AX81" s="23"/>
      <c r="AY81" s="15"/>
      <c r="AZ81" s="14"/>
      <c r="BA81" s="23"/>
      <c r="BB81" s="15"/>
      <c r="BC81" s="25"/>
      <c r="BD81" s="23"/>
      <c r="BE81" s="15"/>
      <c r="BF81" s="14"/>
      <c r="BG81" s="23"/>
      <c r="BH81" s="15"/>
      <c r="BI81" s="25"/>
      <c r="BJ81" s="23"/>
      <c r="BK81" s="15"/>
      <c r="BL81" s="14"/>
      <c r="BM81" s="23"/>
      <c r="BN81" s="15"/>
      <c r="BO81" s="25"/>
      <c r="BP81" s="23"/>
      <c r="BQ81" s="15"/>
      <c r="BR81" s="14"/>
      <c r="BS81" s="23"/>
      <c r="BT81" s="15"/>
      <c r="BU81" s="25"/>
      <c r="BV81" s="23"/>
      <c r="BW81" s="15"/>
      <c r="BX81" s="14"/>
      <c r="BY81" s="23"/>
      <c r="BZ81" s="15"/>
    </row>
    <row r="82" customFormat="false" ht="15" hidden="false" customHeight="false" outlineLevel="0" collapsed="false">
      <c r="A82" s="14"/>
      <c r="B82" s="17" t="str">
        <f aca="false">IF($A82="","",IFERROR(INDEX(Policy!$B$2:$B$301,MATCH($A82,Policy!$A$2:$A$301,0)),"MRO không có"))</f>
        <v/>
      </c>
      <c r="C82" s="17" t="str">
        <f aca="false">IF($A82="","",IFERROR(INDEX(Policy!$E$2:$E$301,MATCH($A82,Policy!$A$2:$A$301,0)),"MRO không có"))</f>
        <v/>
      </c>
      <c r="D82" s="14"/>
      <c r="E82" s="15"/>
      <c r="F82" s="15"/>
      <c r="G82" s="25"/>
      <c r="H82" s="23"/>
      <c r="I82" s="15"/>
      <c r="J82" s="14"/>
      <c r="K82" s="23"/>
      <c r="L82" s="15"/>
      <c r="M82" s="25"/>
      <c r="N82" s="23"/>
      <c r="O82" s="15"/>
      <c r="P82" s="14"/>
      <c r="Q82" s="23"/>
      <c r="R82" s="15"/>
      <c r="S82" s="25"/>
      <c r="T82" s="23"/>
      <c r="U82" s="15"/>
      <c r="V82" s="14"/>
      <c r="W82" s="23"/>
      <c r="X82" s="15"/>
      <c r="Y82" s="25"/>
      <c r="Z82" s="23"/>
      <c r="AA82" s="15"/>
      <c r="AB82" s="14"/>
      <c r="AC82" s="23"/>
      <c r="AD82" s="15"/>
      <c r="AE82" s="25"/>
      <c r="AF82" s="23"/>
      <c r="AG82" s="15"/>
      <c r="AH82" s="14"/>
      <c r="AI82" s="23"/>
      <c r="AJ82" s="15"/>
      <c r="AK82" s="25"/>
      <c r="AL82" s="23"/>
      <c r="AM82" s="15"/>
      <c r="AN82" s="14"/>
      <c r="AO82" s="23"/>
      <c r="AP82" s="15"/>
      <c r="AQ82" s="25"/>
      <c r="AR82" s="23"/>
      <c r="AS82" s="15"/>
      <c r="AT82" s="14"/>
      <c r="AU82" s="23"/>
      <c r="AV82" s="15"/>
      <c r="AW82" s="25"/>
      <c r="AX82" s="23"/>
      <c r="AY82" s="15"/>
      <c r="AZ82" s="14"/>
      <c r="BA82" s="23"/>
      <c r="BB82" s="15"/>
      <c r="BC82" s="25"/>
      <c r="BD82" s="23"/>
      <c r="BE82" s="15"/>
      <c r="BF82" s="14"/>
      <c r="BG82" s="23"/>
      <c r="BH82" s="15"/>
      <c r="BI82" s="25"/>
      <c r="BJ82" s="23"/>
      <c r="BK82" s="15"/>
      <c r="BL82" s="14"/>
      <c r="BM82" s="23"/>
      <c r="BN82" s="15"/>
      <c r="BO82" s="25"/>
      <c r="BP82" s="23"/>
      <c r="BQ82" s="15"/>
      <c r="BR82" s="14"/>
      <c r="BS82" s="23"/>
      <c r="BT82" s="15"/>
      <c r="BU82" s="25"/>
      <c r="BV82" s="23"/>
      <c r="BW82" s="15"/>
      <c r="BX82" s="14"/>
      <c r="BY82" s="23"/>
      <c r="BZ82" s="15"/>
    </row>
    <row r="83" customFormat="false" ht="15" hidden="false" customHeight="false" outlineLevel="0" collapsed="false">
      <c r="A83" s="14"/>
      <c r="B83" s="17" t="str">
        <f aca="false">IF($A83="","",IFERROR(INDEX(Policy!$B$2:$B$301,MATCH($A83,Policy!$A$2:$A$301,0)),"MRO không có"))</f>
        <v/>
      </c>
      <c r="C83" s="17" t="str">
        <f aca="false">IF($A83="","",IFERROR(INDEX(Policy!$E$2:$E$301,MATCH($A83,Policy!$A$2:$A$301,0)),"MRO không có"))</f>
        <v/>
      </c>
      <c r="D83" s="14"/>
      <c r="E83" s="15"/>
      <c r="F83" s="15"/>
      <c r="G83" s="25"/>
      <c r="H83" s="23"/>
      <c r="I83" s="15"/>
      <c r="J83" s="14"/>
      <c r="K83" s="23"/>
      <c r="L83" s="15"/>
      <c r="M83" s="25"/>
      <c r="N83" s="23"/>
      <c r="O83" s="15"/>
      <c r="P83" s="14"/>
      <c r="Q83" s="23"/>
      <c r="R83" s="15"/>
      <c r="S83" s="25"/>
      <c r="T83" s="23"/>
      <c r="U83" s="15"/>
      <c r="V83" s="14"/>
      <c r="W83" s="23"/>
      <c r="X83" s="15"/>
      <c r="Y83" s="25"/>
      <c r="Z83" s="23"/>
      <c r="AA83" s="15"/>
      <c r="AB83" s="14"/>
      <c r="AC83" s="23"/>
      <c r="AD83" s="15"/>
      <c r="AE83" s="25"/>
      <c r="AF83" s="23"/>
      <c r="AG83" s="15"/>
      <c r="AH83" s="14"/>
      <c r="AI83" s="23"/>
      <c r="AJ83" s="15"/>
      <c r="AK83" s="25"/>
      <c r="AL83" s="23"/>
      <c r="AM83" s="15"/>
      <c r="AN83" s="14"/>
      <c r="AO83" s="23"/>
      <c r="AP83" s="15"/>
      <c r="AQ83" s="25"/>
      <c r="AR83" s="23"/>
      <c r="AS83" s="15"/>
      <c r="AT83" s="14"/>
      <c r="AU83" s="23"/>
      <c r="AV83" s="15"/>
      <c r="AW83" s="25"/>
      <c r="AX83" s="23"/>
      <c r="AY83" s="15"/>
      <c r="AZ83" s="14"/>
      <c r="BA83" s="23"/>
      <c r="BB83" s="15"/>
      <c r="BC83" s="25"/>
      <c r="BD83" s="23"/>
      <c r="BE83" s="15"/>
      <c r="BF83" s="14"/>
      <c r="BG83" s="23"/>
      <c r="BH83" s="15"/>
      <c r="BI83" s="25"/>
      <c r="BJ83" s="23"/>
      <c r="BK83" s="15"/>
      <c r="BL83" s="14"/>
      <c r="BM83" s="23"/>
      <c r="BN83" s="15"/>
      <c r="BO83" s="25"/>
      <c r="BP83" s="23"/>
      <c r="BQ83" s="15"/>
      <c r="BR83" s="14"/>
      <c r="BS83" s="23"/>
      <c r="BT83" s="15"/>
      <c r="BU83" s="25"/>
      <c r="BV83" s="23"/>
      <c r="BW83" s="15"/>
      <c r="BX83" s="14"/>
      <c r="BY83" s="23"/>
      <c r="BZ83" s="15"/>
    </row>
    <row r="84" customFormat="false" ht="15" hidden="false" customHeight="false" outlineLevel="0" collapsed="false">
      <c r="A84" s="14"/>
      <c r="B84" s="17" t="str">
        <f aca="false">IF($A84="","",IFERROR(INDEX(Policy!$B$2:$B$301,MATCH($A84,Policy!$A$2:$A$301,0)),"MRO không có"))</f>
        <v/>
      </c>
      <c r="C84" s="17" t="str">
        <f aca="false">IF($A84="","",IFERROR(INDEX(Policy!$E$2:$E$301,MATCH($A84,Policy!$A$2:$A$301,0)),"MRO không có"))</f>
        <v/>
      </c>
      <c r="D84" s="14"/>
      <c r="E84" s="15"/>
      <c r="F84" s="15"/>
      <c r="G84" s="25"/>
      <c r="H84" s="23"/>
      <c r="I84" s="15"/>
      <c r="J84" s="14"/>
      <c r="K84" s="23"/>
      <c r="L84" s="15"/>
      <c r="M84" s="25"/>
      <c r="N84" s="23"/>
      <c r="O84" s="15"/>
      <c r="P84" s="14"/>
      <c r="Q84" s="23"/>
      <c r="R84" s="15"/>
      <c r="S84" s="25"/>
      <c r="T84" s="23"/>
      <c r="U84" s="15"/>
      <c r="V84" s="14"/>
      <c r="W84" s="23"/>
      <c r="X84" s="15"/>
      <c r="Y84" s="25"/>
      <c r="Z84" s="23"/>
      <c r="AA84" s="15"/>
      <c r="AB84" s="14"/>
      <c r="AC84" s="23"/>
      <c r="AD84" s="15"/>
      <c r="AE84" s="25"/>
      <c r="AF84" s="23"/>
      <c r="AG84" s="15"/>
      <c r="AH84" s="14"/>
      <c r="AI84" s="23"/>
      <c r="AJ84" s="15"/>
      <c r="AK84" s="25"/>
      <c r="AL84" s="23"/>
      <c r="AM84" s="15"/>
      <c r="AN84" s="14"/>
      <c r="AO84" s="23"/>
      <c r="AP84" s="15"/>
      <c r="AQ84" s="25"/>
      <c r="AR84" s="23"/>
      <c r="AS84" s="15"/>
      <c r="AT84" s="14"/>
      <c r="AU84" s="23"/>
      <c r="AV84" s="15"/>
      <c r="AW84" s="25"/>
      <c r="AX84" s="23"/>
      <c r="AY84" s="15"/>
      <c r="AZ84" s="14"/>
      <c r="BA84" s="23"/>
      <c r="BB84" s="15"/>
      <c r="BC84" s="25"/>
      <c r="BD84" s="23"/>
      <c r="BE84" s="15"/>
      <c r="BF84" s="14"/>
      <c r="BG84" s="23"/>
      <c r="BH84" s="15"/>
      <c r="BI84" s="25"/>
      <c r="BJ84" s="23"/>
      <c r="BK84" s="15"/>
      <c r="BL84" s="14"/>
      <c r="BM84" s="23"/>
      <c r="BN84" s="15"/>
      <c r="BO84" s="25"/>
      <c r="BP84" s="23"/>
      <c r="BQ84" s="15"/>
      <c r="BR84" s="14"/>
      <c r="BS84" s="23"/>
      <c r="BT84" s="15"/>
      <c r="BU84" s="25"/>
      <c r="BV84" s="23"/>
      <c r="BW84" s="15"/>
      <c r="BX84" s="14"/>
      <c r="BY84" s="23"/>
      <c r="BZ84" s="15"/>
    </row>
    <row r="85" customFormat="false" ht="15" hidden="false" customHeight="false" outlineLevel="0" collapsed="false">
      <c r="A85" s="14"/>
      <c r="B85" s="17" t="str">
        <f aca="false">IF($A85="","",IFERROR(INDEX(Policy!$B$2:$B$301,MATCH($A85,Policy!$A$2:$A$301,0)),"MRO không có"))</f>
        <v/>
      </c>
      <c r="C85" s="17" t="str">
        <f aca="false">IF($A85="","",IFERROR(INDEX(Policy!$E$2:$E$301,MATCH($A85,Policy!$A$2:$A$301,0)),"MRO không có"))</f>
        <v/>
      </c>
      <c r="D85" s="14"/>
      <c r="E85" s="15"/>
      <c r="F85" s="15"/>
      <c r="G85" s="25"/>
      <c r="H85" s="23"/>
      <c r="I85" s="15"/>
      <c r="J85" s="14"/>
      <c r="K85" s="23"/>
      <c r="L85" s="15"/>
      <c r="M85" s="25"/>
      <c r="N85" s="23"/>
      <c r="O85" s="15"/>
      <c r="P85" s="14"/>
      <c r="Q85" s="23"/>
      <c r="R85" s="15"/>
      <c r="S85" s="25"/>
      <c r="T85" s="23"/>
      <c r="U85" s="15"/>
      <c r="V85" s="14"/>
      <c r="W85" s="23"/>
      <c r="X85" s="15"/>
      <c r="Y85" s="25"/>
      <c r="Z85" s="23"/>
      <c r="AA85" s="15"/>
      <c r="AB85" s="14"/>
      <c r="AC85" s="23"/>
      <c r="AD85" s="15"/>
      <c r="AE85" s="25"/>
      <c r="AF85" s="23"/>
      <c r="AG85" s="15"/>
      <c r="AH85" s="14"/>
      <c r="AI85" s="23"/>
      <c r="AJ85" s="15"/>
      <c r="AK85" s="25"/>
      <c r="AL85" s="23"/>
      <c r="AM85" s="15"/>
      <c r="AN85" s="14"/>
      <c r="AO85" s="23"/>
      <c r="AP85" s="15"/>
      <c r="AQ85" s="25"/>
      <c r="AR85" s="23"/>
      <c r="AS85" s="15"/>
      <c r="AT85" s="14"/>
      <c r="AU85" s="23"/>
      <c r="AV85" s="15"/>
      <c r="AW85" s="25"/>
      <c r="AX85" s="23"/>
      <c r="AY85" s="15"/>
      <c r="AZ85" s="14"/>
      <c r="BA85" s="23"/>
      <c r="BB85" s="15"/>
      <c r="BC85" s="25"/>
      <c r="BD85" s="23"/>
      <c r="BE85" s="15"/>
      <c r="BF85" s="14"/>
      <c r="BG85" s="23"/>
      <c r="BH85" s="15"/>
      <c r="BI85" s="25"/>
      <c r="BJ85" s="23"/>
      <c r="BK85" s="15"/>
      <c r="BL85" s="14"/>
      <c r="BM85" s="23"/>
      <c r="BN85" s="15"/>
      <c r="BO85" s="25"/>
      <c r="BP85" s="23"/>
      <c r="BQ85" s="15"/>
      <c r="BR85" s="14"/>
      <c r="BS85" s="23"/>
      <c r="BT85" s="15"/>
      <c r="BU85" s="25"/>
      <c r="BV85" s="23"/>
      <c r="BW85" s="15"/>
      <c r="BX85" s="14"/>
      <c r="BY85" s="23"/>
      <c r="BZ85" s="15"/>
    </row>
    <row r="86" customFormat="false" ht="15" hidden="false" customHeight="false" outlineLevel="0" collapsed="false">
      <c r="A86" s="14"/>
      <c r="B86" s="17" t="str">
        <f aca="false">IF($A86="","",IFERROR(INDEX(Policy!$B$2:$B$301,MATCH($A86,Policy!$A$2:$A$301,0)),"MRO không có"))</f>
        <v/>
      </c>
      <c r="C86" s="17" t="str">
        <f aca="false">IF($A86="","",IFERROR(INDEX(Policy!$E$2:$E$301,MATCH($A86,Policy!$A$2:$A$301,0)),"MRO không có"))</f>
        <v/>
      </c>
      <c r="D86" s="14"/>
      <c r="E86" s="15"/>
      <c r="F86" s="15"/>
      <c r="G86" s="25"/>
      <c r="H86" s="23"/>
      <c r="I86" s="15"/>
      <c r="J86" s="14"/>
      <c r="K86" s="23"/>
      <c r="L86" s="15"/>
      <c r="M86" s="25"/>
      <c r="N86" s="23"/>
      <c r="O86" s="15"/>
      <c r="P86" s="14"/>
      <c r="Q86" s="23"/>
      <c r="R86" s="15"/>
      <c r="S86" s="25"/>
      <c r="T86" s="23"/>
      <c r="U86" s="15"/>
      <c r="V86" s="14"/>
      <c r="W86" s="23"/>
      <c r="X86" s="15"/>
      <c r="Y86" s="25"/>
      <c r="Z86" s="23"/>
      <c r="AA86" s="15"/>
      <c r="AB86" s="14"/>
      <c r="AC86" s="23"/>
      <c r="AD86" s="15"/>
      <c r="AE86" s="25"/>
      <c r="AF86" s="23"/>
      <c r="AG86" s="15"/>
      <c r="AH86" s="14"/>
      <c r="AI86" s="23"/>
      <c r="AJ86" s="15"/>
      <c r="AK86" s="25"/>
      <c r="AL86" s="23"/>
      <c r="AM86" s="15"/>
      <c r="AN86" s="14"/>
      <c r="AO86" s="23"/>
      <c r="AP86" s="15"/>
      <c r="AQ86" s="25"/>
      <c r="AR86" s="23"/>
      <c r="AS86" s="15"/>
      <c r="AT86" s="14"/>
      <c r="AU86" s="23"/>
      <c r="AV86" s="15"/>
      <c r="AW86" s="25"/>
      <c r="AX86" s="23"/>
      <c r="AY86" s="15"/>
      <c r="AZ86" s="14"/>
      <c r="BA86" s="23"/>
      <c r="BB86" s="15"/>
      <c r="BC86" s="25"/>
      <c r="BD86" s="23"/>
      <c r="BE86" s="15"/>
      <c r="BF86" s="14"/>
      <c r="BG86" s="23"/>
      <c r="BH86" s="15"/>
      <c r="BI86" s="25"/>
      <c r="BJ86" s="23"/>
      <c r="BK86" s="15"/>
      <c r="BL86" s="14"/>
      <c r="BM86" s="23"/>
      <c r="BN86" s="15"/>
      <c r="BO86" s="25"/>
      <c r="BP86" s="23"/>
      <c r="BQ86" s="15"/>
      <c r="BR86" s="14"/>
      <c r="BS86" s="23"/>
      <c r="BT86" s="15"/>
      <c r="BU86" s="25"/>
      <c r="BV86" s="23"/>
      <c r="BW86" s="15"/>
      <c r="BX86" s="14"/>
      <c r="BY86" s="23"/>
      <c r="BZ86" s="15"/>
    </row>
    <row r="87" customFormat="false" ht="15" hidden="false" customHeight="false" outlineLevel="0" collapsed="false">
      <c r="A87" s="14"/>
      <c r="B87" s="17" t="str">
        <f aca="false">IF($A87="","",IFERROR(INDEX(Policy!$B$2:$B$301,MATCH($A87,Policy!$A$2:$A$301,0)),"MRO không có"))</f>
        <v/>
      </c>
      <c r="C87" s="17" t="str">
        <f aca="false">IF($A87="","",IFERROR(INDEX(Policy!$E$2:$E$301,MATCH($A87,Policy!$A$2:$A$301,0)),"MRO không có"))</f>
        <v/>
      </c>
      <c r="D87" s="14"/>
      <c r="E87" s="15"/>
      <c r="F87" s="15"/>
      <c r="G87" s="25"/>
      <c r="H87" s="23"/>
      <c r="I87" s="15"/>
      <c r="J87" s="14"/>
      <c r="K87" s="23"/>
      <c r="L87" s="15"/>
      <c r="M87" s="25"/>
      <c r="N87" s="23"/>
      <c r="O87" s="15"/>
      <c r="P87" s="14"/>
      <c r="Q87" s="23"/>
      <c r="R87" s="15"/>
      <c r="S87" s="25"/>
      <c r="T87" s="23"/>
      <c r="U87" s="15"/>
      <c r="V87" s="14"/>
      <c r="W87" s="23"/>
      <c r="X87" s="15"/>
      <c r="Y87" s="25"/>
      <c r="Z87" s="23"/>
      <c r="AA87" s="15"/>
      <c r="AB87" s="14"/>
      <c r="AC87" s="23"/>
      <c r="AD87" s="15"/>
      <c r="AE87" s="25"/>
      <c r="AF87" s="23"/>
      <c r="AG87" s="15"/>
      <c r="AH87" s="14"/>
      <c r="AI87" s="23"/>
      <c r="AJ87" s="15"/>
      <c r="AK87" s="25"/>
      <c r="AL87" s="23"/>
      <c r="AM87" s="15"/>
      <c r="AN87" s="14"/>
      <c r="AO87" s="23"/>
      <c r="AP87" s="15"/>
      <c r="AQ87" s="25"/>
      <c r="AR87" s="23"/>
      <c r="AS87" s="15"/>
      <c r="AT87" s="14"/>
      <c r="AU87" s="23"/>
      <c r="AV87" s="15"/>
      <c r="AW87" s="25"/>
      <c r="AX87" s="23"/>
      <c r="AY87" s="15"/>
      <c r="AZ87" s="14"/>
      <c r="BA87" s="23"/>
      <c r="BB87" s="15"/>
      <c r="BC87" s="25"/>
      <c r="BD87" s="23"/>
      <c r="BE87" s="15"/>
      <c r="BF87" s="14"/>
      <c r="BG87" s="23"/>
      <c r="BH87" s="15"/>
      <c r="BI87" s="25"/>
      <c r="BJ87" s="23"/>
      <c r="BK87" s="15"/>
      <c r="BL87" s="14"/>
      <c r="BM87" s="23"/>
      <c r="BN87" s="15"/>
      <c r="BO87" s="25"/>
      <c r="BP87" s="23"/>
      <c r="BQ87" s="15"/>
      <c r="BR87" s="14"/>
      <c r="BS87" s="23"/>
      <c r="BT87" s="15"/>
      <c r="BU87" s="25"/>
      <c r="BV87" s="23"/>
      <c r="BW87" s="15"/>
      <c r="BX87" s="14"/>
      <c r="BY87" s="23"/>
      <c r="BZ87" s="15"/>
    </row>
    <row r="88" customFormat="false" ht="15" hidden="false" customHeight="false" outlineLevel="0" collapsed="false">
      <c r="A88" s="14"/>
      <c r="B88" s="17" t="str">
        <f aca="false">IF($A88="","",IFERROR(INDEX(Policy!$B$2:$B$301,MATCH($A88,Policy!$A$2:$A$301,0)),"MRO không có"))</f>
        <v/>
      </c>
      <c r="C88" s="17" t="str">
        <f aca="false">IF($A88="","",IFERROR(INDEX(Policy!$E$2:$E$301,MATCH($A88,Policy!$A$2:$A$301,0)),"MRO không có"))</f>
        <v/>
      </c>
      <c r="D88" s="14"/>
      <c r="E88" s="15"/>
      <c r="F88" s="15"/>
      <c r="G88" s="25"/>
      <c r="H88" s="23"/>
      <c r="I88" s="15"/>
      <c r="J88" s="14"/>
      <c r="K88" s="23"/>
      <c r="L88" s="15"/>
      <c r="M88" s="25"/>
      <c r="N88" s="23"/>
      <c r="O88" s="15"/>
      <c r="P88" s="14"/>
      <c r="Q88" s="23"/>
      <c r="R88" s="15"/>
      <c r="S88" s="25"/>
      <c r="T88" s="23"/>
      <c r="U88" s="15"/>
      <c r="V88" s="14"/>
      <c r="W88" s="23"/>
      <c r="X88" s="15"/>
      <c r="Y88" s="25"/>
      <c r="Z88" s="23"/>
      <c r="AA88" s="15"/>
      <c r="AB88" s="14"/>
      <c r="AC88" s="23"/>
      <c r="AD88" s="15"/>
      <c r="AE88" s="25"/>
      <c r="AF88" s="23"/>
      <c r="AG88" s="15"/>
      <c r="AH88" s="14"/>
      <c r="AI88" s="23"/>
      <c r="AJ88" s="15"/>
      <c r="AK88" s="25"/>
      <c r="AL88" s="23"/>
      <c r="AM88" s="15"/>
      <c r="AN88" s="14"/>
      <c r="AO88" s="23"/>
      <c r="AP88" s="15"/>
      <c r="AQ88" s="25"/>
      <c r="AR88" s="23"/>
      <c r="AS88" s="15"/>
      <c r="AT88" s="14"/>
      <c r="AU88" s="23"/>
      <c r="AV88" s="15"/>
      <c r="AW88" s="25"/>
      <c r="AX88" s="23"/>
      <c r="AY88" s="15"/>
      <c r="AZ88" s="14"/>
      <c r="BA88" s="23"/>
      <c r="BB88" s="15"/>
      <c r="BC88" s="25"/>
      <c r="BD88" s="23"/>
      <c r="BE88" s="15"/>
      <c r="BF88" s="14"/>
      <c r="BG88" s="23"/>
      <c r="BH88" s="15"/>
      <c r="BI88" s="25"/>
      <c r="BJ88" s="23"/>
      <c r="BK88" s="15"/>
      <c r="BL88" s="14"/>
      <c r="BM88" s="23"/>
      <c r="BN88" s="15"/>
      <c r="BO88" s="25"/>
      <c r="BP88" s="23"/>
      <c r="BQ88" s="15"/>
      <c r="BR88" s="14"/>
      <c r="BS88" s="23"/>
      <c r="BT88" s="15"/>
      <c r="BU88" s="25"/>
      <c r="BV88" s="23"/>
      <c r="BW88" s="15"/>
      <c r="BX88" s="14"/>
      <c r="BY88" s="23"/>
      <c r="BZ88" s="15"/>
    </row>
    <row r="89" customFormat="false" ht="15" hidden="false" customHeight="false" outlineLevel="0" collapsed="false">
      <c r="A89" s="14"/>
      <c r="B89" s="17" t="str">
        <f aca="false">IF($A89="","",IFERROR(INDEX(Policy!$B$2:$B$301,MATCH($A89,Policy!$A$2:$A$301,0)),"MRO không có"))</f>
        <v/>
      </c>
      <c r="C89" s="17" t="str">
        <f aca="false">IF($A89="","",IFERROR(INDEX(Policy!$E$2:$E$301,MATCH($A89,Policy!$A$2:$A$301,0)),"MRO không có"))</f>
        <v/>
      </c>
      <c r="D89" s="14"/>
      <c r="E89" s="15"/>
      <c r="F89" s="15"/>
      <c r="G89" s="25"/>
      <c r="H89" s="23"/>
      <c r="I89" s="15"/>
      <c r="J89" s="14"/>
      <c r="K89" s="23"/>
      <c r="L89" s="15"/>
      <c r="M89" s="25"/>
      <c r="N89" s="23"/>
      <c r="O89" s="15"/>
      <c r="P89" s="14"/>
      <c r="Q89" s="23"/>
      <c r="R89" s="15"/>
      <c r="S89" s="25"/>
      <c r="T89" s="23"/>
      <c r="U89" s="15"/>
      <c r="V89" s="14"/>
      <c r="W89" s="23"/>
      <c r="X89" s="15"/>
      <c r="Y89" s="25"/>
      <c r="Z89" s="23"/>
      <c r="AA89" s="15"/>
      <c r="AB89" s="14"/>
      <c r="AC89" s="23"/>
      <c r="AD89" s="15"/>
      <c r="AE89" s="25"/>
      <c r="AF89" s="23"/>
      <c r="AG89" s="15"/>
      <c r="AH89" s="14"/>
      <c r="AI89" s="23"/>
      <c r="AJ89" s="15"/>
      <c r="AK89" s="25"/>
      <c r="AL89" s="23"/>
      <c r="AM89" s="15"/>
      <c r="AN89" s="14"/>
      <c r="AO89" s="23"/>
      <c r="AP89" s="15"/>
      <c r="AQ89" s="25"/>
      <c r="AR89" s="23"/>
      <c r="AS89" s="15"/>
      <c r="AT89" s="14"/>
      <c r="AU89" s="23"/>
      <c r="AV89" s="15"/>
      <c r="AW89" s="25"/>
      <c r="AX89" s="23"/>
      <c r="AY89" s="15"/>
      <c r="AZ89" s="14"/>
      <c r="BA89" s="23"/>
      <c r="BB89" s="15"/>
      <c r="BC89" s="25"/>
      <c r="BD89" s="23"/>
      <c r="BE89" s="15"/>
      <c r="BF89" s="14"/>
      <c r="BG89" s="23"/>
      <c r="BH89" s="15"/>
      <c r="BI89" s="25"/>
      <c r="BJ89" s="23"/>
      <c r="BK89" s="15"/>
      <c r="BL89" s="14"/>
      <c r="BM89" s="23"/>
      <c r="BN89" s="15"/>
      <c r="BO89" s="25"/>
      <c r="BP89" s="23"/>
      <c r="BQ89" s="15"/>
      <c r="BR89" s="14"/>
      <c r="BS89" s="23"/>
      <c r="BT89" s="15"/>
      <c r="BU89" s="25"/>
      <c r="BV89" s="23"/>
      <c r="BW89" s="15"/>
      <c r="BX89" s="14"/>
      <c r="BY89" s="23"/>
      <c r="BZ89" s="15"/>
    </row>
    <row r="90" customFormat="false" ht="15" hidden="false" customHeight="false" outlineLevel="0" collapsed="false">
      <c r="A90" s="14"/>
      <c r="B90" s="17" t="str">
        <f aca="false">IF($A90="","",IFERROR(INDEX(Policy!$B$2:$B$301,MATCH($A90,Policy!$A$2:$A$301,0)),"MRO không có"))</f>
        <v/>
      </c>
      <c r="C90" s="17" t="str">
        <f aca="false">IF($A90="","",IFERROR(INDEX(Policy!$E$2:$E$301,MATCH($A90,Policy!$A$2:$A$301,0)),"MRO không có"))</f>
        <v/>
      </c>
      <c r="D90" s="14"/>
      <c r="E90" s="15"/>
      <c r="F90" s="15"/>
      <c r="G90" s="25"/>
      <c r="H90" s="23"/>
      <c r="I90" s="15"/>
      <c r="J90" s="14"/>
      <c r="K90" s="23"/>
      <c r="L90" s="15"/>
      <c r="M90" s="25"/>
      <c r="N90" s="23"/>
      <c r="O90" s="15"/>
      <c r="P90" s="14"/>
      <c r="Q90" s="23"/>
      <c r="R90" s="15"/>
      <c r="S90" s="25"/>
      <c r="T90" s="23"/>
      <c r="U90" s="15"/>
      <c r="V90" s="14"/>
      <c r="W90" s="23"/>
      <c r="X90" s="15"/>
      <c r="Y90" s="25"/>
      <c r="Z90" s="23"/>
      <c r="AA90" s="15"/>
      <c r="AB90" s="14"/>
      <c r="AC90" s="23"/>
      <c r="AD90" s="15"/>
      <c r="AE90" s="25"/>
      <c r="AF90" s="23"/>
      <c r="AG90" s="15"/>
      <c r="AH90" s="14"/>
      <c r="AI90" s="23"/>
      <c r="AJ90" s="15"/>
      <c r="AK90" s="25"/>
      <c r="AL90" s="23"/>
      <c r="AM90" s="15"/>
      <c r="AN90" s="14"/>
      <c r="AO90" s="23"/>
      <c r="AP90" s="15"/>
      <c r="AQ90" s="25"/>
      <c r="AR90" s="23"/>
      <c r="AS90" s="15"/>
      <c r="AT90" s="14"/>
      <c r="AU90" s="23"/>
      <c r="AV90" s="15"/>
      <c r="AW90" s="25"/>
      <c r="AX90" s="23"/>
      <c r="AY90" s="15"/>
      <c r="AZ90" s="14"/>
      <c r="BA90" s="23"/>
      <c r="BB90" s="15"/>
      <c r="BC90" s="25"/>
      <c r="BD90" s="23"/>
      <c r="BE90" s="15"/>
      <c r="BF90" s="14"/>
      <c r="BG90" s="23"/>
      <c r="BH90" s="15"/>
      <c r="BI90" s="25"/>
      <c r="BJ90" s="23"/>
      <c r="BK90" s="15"/>
      <c r="BL90" s="14"/>
      <c r="BM90" s="23"/>
      <c r="BN90" s="15"/>
      <c r="BO90" s="25"/>
      <c r="BP90" s="23"/>
      <c r="BQ90" s="15"/>
      <c r="BR90" s="14"/>
      <c r="BS90" s="23"/>
      <c r="BT90" s="15"/>
      <c r="BU90" s="25"/>
      <c r="BV90" s="23"/>
      <c r="BW90" s="15"/>
      <c r="BX90" s="14"/>
      <c r="BY90" s="23"/>
      <c r="BZ90" s="15"/>
    </row>
    <row r="91" customFormat="false" ht="15" hidden="false" customHeight="false" outlineLevel="0" collapsed="false">
      <c r="A91" s="14"/>
      <c r="B91" s="17" t="str">
        <f aca="false">IF($A91="","",IFERROR(INDEX(Policy!$B$2:$B$301,MATCH($A91,Policy!$A$2:$A$301,0)),"MRO không có"))</f>
        <v/>
      </c>
      <c r="C91" s="17" t="str">
        <f aca="false">IF($A91="","",IFERROR(INDEX(Policy!$E$2:$E$301,MATCH($A91,Policy!$A$2:$A$301,0)),"MRO không có"))</f>
        <v/>
      </c>
      <c r="D91" s="14"/>
      <c r="E91" s="15"/>
      <c r="F91" s="15"/>
      <c r="G91" s="25"/>
      <c r="H91" s="23"/>
      <c r="I91" s="15"/>
      <c r="J91" s="14"/>
      <c r="K91" s="23"/>
      <c r="L91" s="15"/>
      <c r="M91" s="25"/>
      <c r="N91" s="23"/>
      <c r="O91" s="15"/>
      <c r="P91" s="14"/>
      <c r="Q91" s="23"/>
      <c r="R91" s="15"/>
      <c r="S91" s="25"/>
      <c r="T91" s="23"/>
      <c r="U91" s="15"/>
      <c r="V91" s="14"/>
      <c r="W91" s="23"/>
      <c r="X91" s="15"/>
      <c r="Y91" s="25"/>
      <c r="Z91" s="23"/>
      <c r="AA91" s="15"/>
      <c r="AB91" s="14"/>
      <c r="AC91" s="23"/>
      <c r="AD91" s="15"/>
      <c r="AE91" s="25"/>
      <c r="AF91" s="23"/>
      <c r="AG91" s="15"/>
      <c r="AH91" s="14"/>
      <c r="AI91" s="23"/>
      <c r="AJ91" s="15"/>
      <c r="AK91" s="25"/>
      <c r="AL91" s="23"/>
      <c r="AM91" s="15"/>
      <c r="AN91" s="14"/>
      <c r="AO91" s="23"/>
      <c r="AP91" s="15"/>
      <c r="AQ91" s="25"/>
      <c r="AR91" s="23"/>
      <c r="AS91" s="15"/>
      <c r="AT91" s="14"/>
      <c r="AU91" s="23"/>
      <c r="AV91" s="15"/>
      <c r="AW91" s="25"/>
      <c r="AX91" s="23"/>
      <c r="AY91" s="15"/>
      <c r="AZ91" s="14"/>
      <c r="BA91" s="23"/>
      <c r="BB91" s="15"/>
      <c r="BC91" s="25"/>
      <c r="BD91" s="23"/>
      <c r="BE91" s="15"/>
      <c r="BF91" s="14"/>
      <c r="BG91" s="23"/>
      <c r="BH91" s="15"/>
      <c r="BI91" s="25"/>
      <c r="BJ91" s="23"/>
      <c r="BK91" s="15"/>
      <c r="BL91" s="14"/>
      <c r="BM91" s="23"/>
      <c r="BN91" s="15"/>
      <c r="BO91" s="25"/>
      <c r="BP91" s="23"/>
      <c r="BQ91" s="15"/>
      <c r="BR91" s="14"/>
      <c r="BS91" s="23"/>
      <c r="BT91" s="15"/>
      <c r="BU91" s="25"/>
      <c r="BV91" s="23"/>
      <c r="BW91" s="15"/>
      <c r="BX91" s="14"/>
      <c r="BY91" s="23"/>
      <c r="BZ91" s="15"/>
    </row>
    <row r="92" customFormat="false" ht="15" hidden="false" customHeight="false" outlineLevel="0" collapsed="false">
      <c r="A92" s="14"/>
      <c r="B92" s="17" t="str">
        <f aca="false">IF($A92="","",IFERROR(INDEX(Policy!$B$2:$B$301,MATCH($A92,Policy!$A$2:$A$301,0)),"MRO không có"))</f>
        <v/>
      </c>
      <c r="C92" s="17" t="str">
        <f aca="false">IF($A92="","",IFERROR(INDEX(Policy!$E$2:$E$301,MATCH($A92,Policy!$A$2:$A$301,0)),"MRO không có"))</f>
        <v/>
      </c>
      <c r="D92" s="14"/>
      <c r="E92" s="15"/>
      <c r="F92" s="15"/>
      <c r="G92" s="25"/>
      <c r="H92" s="23"/>
      <c r="I92" s="15"/>
      <c r="J92" s="14"/>
      <c r="K92" s="23"/>
      <c r="L92" s="15"/>
      <c r="M92" s="25"/>
      <c r="N92" s="23"/>
      <c r="O92" s="15"/>
      <c r="P92" s="14"/>
      <c r="Q92" s="23"/>
      <c r="R92" s="15"/>
      <c r="S92" s="25"/>
      <c r="T92" s="23"/>
      <c r="U92" s="15"/>
      <c r="V92" s="14"/>
      <c r="W92" s="23"/>
      <c r="X92" s="15"/>
      <c r="Y92" s="25"/>
      <c r="Z92" s="23"/>
      <c r="AA92" s="15"/>
      <c r="AB92" s="14"/>
      <c r="AC92" s="23"/>
      <c r="AD92" s="15"/>
      <c r="AE92" s="25"/>
      <c r="AF92" s="23"/>
      <c r="AG92" s="15"/>
      <c r="AH92" s="14"/>
      <c r="AI92" s="23"/>
      <c r="AJ92" s="15"/>
      <c r="AK92" s="25"/>
      <c r="AL92" s="23"/>
      <c r="AM92" s="15"/>
      <c r="AN92" s="14"/>
      <c r="AO92" s="23"/>
      <c r="AP92" s="15"/>
      <c r="AQ92" s="25"/>
      <c r="AR92" s="23"/>
      <c r="AS92" s="15"/>
      <c r="AT92" s="14"/>
      <c r="AU92" s="23"/>
      <c r="AV92" s="15"/>
      <c r="AW92" s="25"/>
      <c r="AX92" s="23"/>
      <c r="AY92" s="15"/>
      <c r="AZ92" s="14"/>
      <c r="BA92" s="23"/>
      <c r="BB92" s="15"/>
      <c r="BC92" s="25"/>
      <c r="BD92" s="23"/>
      <c r="BE92" s="15"/>
      <c r="BF92" s="14"/>
      <c r="BG92" s="23"/>
      <c r="BH92" s="15"/>
      <c r="BI92" s="25"/>
      <c r="BJ92" s="23"/>
      <c r="BK92" s="15"/>
      <c r="BL92" s="14"/>
      <c r="BM92" s="23"/>
      <c r="BN92" s="15"/>
      <c r="BO92" s="25"/>
      <c r="BP92" s="23"/>
      <c r="BQ92" s="15"/>
      <c r="BR92" s="14"/>
      <c r="BS92" s="23"/>
      <c r="BT92" s="15"/>
      <c r="BU92" s="25"/>
      <c r="BV92" s="23"/>
      <c r="BW92" s="15"/>
      <c r="BX92" s="14"/>
      <c r="BY92" s="23"/>
      <c r="BZ92" s="15"/>
    </row>
    <row r="93" customFormat="false" ht="15" hidden="false" customHeight="false" outlineLevel="0" collapsed="false">
      <c r="A93" s="14"/>
      <c r="B93" s="17" t="str">
        <f aca="false">IF($A93="","",IFERROR(INDEX(Policy!$B$2:$B$301,MATCH($A93,Policy!$A$2:$A$301,0)),"MRO không có"))</f>
        <v/>
      </c>
      <c r="C93" s="17" t="str">
        <f aca="false">IF($A93="","",IFERROR(INDEX(Policy!$E$2:$E$301,MATCH($A93,Policy!$A$2:$A$301,0)),"MRO không có"))</f>
        <v/>
      </c>
      <c r="D93" s="14"/>
      <c r="E93" s="15"/>
      <c r="F93" s="15"/>
      <c r="G93" s="25"/>
      <c r="H93" s="23"/>
      <c r="I93" s="15"/>
      <c r="J93" s="14"/>
      <c r="K93" s="23"/>
      <c r="L93" s="15"/>
      <c r="M93" s="25"/>
      <c r="N93" s="23"/>
      <c r="O93" s="15"/>
      <c r="P93" s="14"/>
      <c r="Q93" s="23"/>
      <c r="R93" s="15"/>
      <c r="S93" s="25"/>
      <c r="T93" s="23"/>
      <c r="U93" s="15"/>
      <c r="V93" s="14"/>
      <c r="W93" s="23"/>
      <c r="X93" s="15"/>
      <c r="Y93" s="25"/>
      <c r="Z93" s="23"/>
      <c r="AA93" s="15"/>
      <c r="AB93" s="14"/>
      <c r="AC93" s="23"/>
      <c r="AD93" s="15"/>
      <c r="AE93" s="25"/>
      <c r="AF93" s="23"/>
      <c r="AG93" s="15"/>
      <c r="AH93" s="14"/>
      <c r="AI93" s="23"/>
      <c r="AJ93" s="15"/>
      <c r="AK93" s="25"/>
      <c r="AL93" s="23"/>
      <c r="AM93" s="15"/>
      <c r="AN93" s="14"/>
      <c r="AO93" s="23"/>
      <c r="AP93" s="15"/>
      <c r="AQ93" s="25"/>
      <c r="AR93" s="23"/>
      <c r="AS93" s="15"/>
      <c r="AT93" s="14"/>
      <c r="AU93" s="23"/>
      <c r="AV93" s="15"/>
      <c r="AW93" s="25"/>
      <c r="AX93" s="23"/>
      <c r="AY93" s="15"/>
      <c r="AZ93" s="14"/>
      <c r="BA93" s="23"/>
      <c r="BB93" s="15"/>
      <c r="BC93" s="25"/>
      <c r="BD93" s="23"/>
      <c r="BE93" s="15"/>
      <c r="BF93" s="14"/>
      <c r="BG93" s="23"/>
      <c r="BH93" s="15"/>
      <c r="BI93" s="25"/>
      <c r="BJ93" s="23"/>
      <c r="BK93" s="15"/>
      <c r="BL93" s="14"/>
      <c r="BM93" s="23"/>
      <c r="BN93" s="15"/>
      <c r="BO93" s="25"/>
      <c r="BP93" s="23"/>
      <c r="BQ93" s="15"/>
      <c r="BR93" s="14"/>
      <c r="BS93" s="23"/>
      <c r="BT93" s="15"/>
      <c r="BU93" s="25"/>
      <c r="BV93" s="23"/>
      <c r="BW93" s="15"/>
      <c r="BX93" s="14"/>
      <c r="BY93" s="23"/>
      <c r="BZ93" s="15"/>
    </row>
    <row r="94" customFormat="false" ht="15" hidden="false" customHeight="false" outlineLevel="0" collapsed="false">
      <c r="A94" s="14"/>
      <c r="B94" s="17" t="str">
        <f aca="false">IF($A94="","",IFERROR(INDEX(Policy!$B$2:$B$301,MATCH($A94,Policy!$A$2:$A$301,0)),"MRO không có"))</f>
        <v/>
      </c>
      <c r="C94" s="17" t="str">
        <f aca="false">IF($A94="","",IFERROR(INDEX(Policy!$E$2:$E$301,MATCH($A94,Policy!$A$2:$A$301,0)),"MRO không có"))</f>
        <v/>
      </c>
      <c r="D94" s="14"/>
      <c r="E94" s="15"/>
      <c r="F94" s="15"/>
      <c r="G94" s="25"/>
      <c r="H94" s="23"/>
      <c r="I94" s="15"/>
      <c r="J94" s="14"/>
      <c r="K94" s="23"/>
      <c r="L94" s="15"/>
      <c r="M94" s="25"/>
      <c r="N94" s="23"/>
      <c r="O94" s="15"/>
      <c r="P94" s="14"/>
      <c r="Q94" s="23"/>
      <c r="R94" s="15"/>
      <c r="S94" s="25"/>
      <c r="T94" s="23"/>
      <c r="U94" s="15"/>
      <c r="V94" s="14"/>
      <c r="W94" s="23"/>
      <c r="X94" s="15"/>
      <c r="Y94" s="25"/>
      <c r="Z94" s="23"/>
      <c r="AA94" s="15"/>
      <c r="AB94" s="14"/>
      <c r="AC94" s="23"/>
      <c r="AD94" s="15"/>
      <c r="AE94" s="25"/>
      <c r="AF94" s="23"/>
      <c r="AG94" s="15"/>
      <c r="AH94" s="14"/>
      <c r="AI94" s="23"/>
      <c r="AJ94" s="15"/>
      <c r="AK94" s="25"/>
      <c r="AL94" s="23"/>
      <c r="AM94" s="15"/>
      <c r="AN94" s="14"/>
      <c r="AO94" s="23"/>
      <c r="AP94" s="15"/>
      <c r="AQ94" s="25"/>
      <c r="AR94" s="23"/>
      <c r="AS94" s="15"/>
      <c r="AT94" s="14"/>
      <c r="AU94" s="23"/>
      <c r="AV94" s="15"/>
      <c r="AW94" s="25"/>
      <c r="AX94" s="23"/>
      <c r="AY94" s="15"/>
      <c r="AZ94" s="14"/>
      <c r="BA94" s="23"/>
      <c r="BB94" s="15"/>
      <c r="BC94" s="25"/>
      <c r="BD94" s="23"/>
      <c r="BE94" s="15"/>
      <c r="BF94" s="14"/>
      <c r="BG94" s="23"/>
      <c r="BH94" s="15"/>
      <c r="BI94" s="25"/>
      <c r="BJ94" s="23"/>
      <c r="BK94" s="15"/>
      <c r="BL94" s="14"/>
      <c r="BM94" s="23"/>
      <c r="BN94" s="15"/>
      <c r="BO94" s="25"/>
      <c r="BP94" s="23"/>
      <c r="BQ94" s="15"/>
      <c r="BR94" s="14"/>
      <c r="BS94" s="23"/>
      <c r="BT94" s="15"/>
      <c r="BU94" s="25"/>
      <c r="BV94" s="23"/>
      <c r="BW94" s="15"/>
      <c r="BX94" s="14"/>
      <c r="BY94" s="23"/>
      <c r="BZ94" s="15"/>
    </row>
    <row r="95" customFormat="false" ht="15" hidden="false" customHeight="false" outlineLevel="0" collapsed="false">
      <c r="A95" s="14"/>
      <c r="B95" s="17" t="str">
        <f aca="false">IF($A95="","",IFERROR(INDEX(Policy!$B$2:$B$301,MATCH($A95,Policy!$A$2:$A$301,0)),"MRO không có"))</f>
        <v/>
      </c>
      <c r="C95" s="17" t="str">
        <f aca="false">IF($A95="","",IFERROR(INDEX(Policy!$E$2:$E$301,MATCH($A95,Policy!$A$2:$A$301,0)),"MRO không có"))</f>
        <v/>
      </c>
      <c r="D95" s="14"/>
      <c r="E95" s="15"/>
      <c r="F95" s="15"/>
      <c r="G95" s="25"/>
      <c r="H95" s="23"/>
      <c r="I95" s="15"/>
      <c r="J95" s="14"/>
      <c r="K95" s="23"/>
      <c r="L95" s="15"/>
      <c r="M95" s="25"/>
      <c r="N95" s="23"/>
      <c r="O95" s="15"/>
      <c r="P95" s="14"/>
      <c r="Q95" s="23"/>
      <c r="R95" s="15"/>
      <c r="S95" s="25"/>
      <c r="T95" s="23"/>
      <c r="U95" s="15"/>
      <c r="V95" s="14"/>
      <c r="W95" s="23"/>
      <c r="X95" s="15"/>
      <c r="Y95" s="25"/>
      <c r="Z95" s="23"/>
      <c r="AA95" s="15"/>
      <c r="AB95" s="14"/>
      <c r="AC95" s="23"/>
      <c r="AD95" s="15"/>
      <c r="AE95" s="25"/>
      <c r="AF95" s="23"/>
      <c r="AG95" s="15"/>
      <c r="AH95" s="14"/>
      <c r="AI95" s="23"/>
      <c r="AJ95" s="15"/>
      <c r="AK95" s="25"/>
      <c r="AL95" s="23"/>
      <c r="AM95" s="15"/>
      <c r="AN95" s="14"/>
      <c r="AO95" s="23"/>
      <c r="AP95" s="15"/>
      <c r="AQ95" s="25"/>
      <c r="AR95" s="23"/>
      <c r="AS95" s="15"/>
      <c r="AT95" s="14"/>
      <c r="AU95" s="23"/>
      <c r="AV95" s="15"/>
      <c r="AW95" s="25"/>
      <c r="AX95" s="23"/>
      <c r="AY95" s="15"/>
      <c r="AZ95" s="14"/>
      <c r="BA95" s="23"/>
      <c r="BB95" s="15"/>
      <c r="BC95" s="25"/>
      <c r="BD95" s="23"/>
      <c r="BE95" s="15"/>
      <c r="BF95" s="14"/>
      <c r="BG95" s="23"/>
      <c r="BH95" s="15"/>
      <c r="BI95" s="25"/>
      <c r="BJ95" s="23"/>
      <c r="BK95" s="15"/>
      <c r="BL95" s="14"/>
      <c r="BM95" s="23"/>
      <c r="BN95" s="15"/>
      <c r="BO95" s="25"/>
      <c r="BP95" s="23"/>
      <c r="BQ95" s="15"/>
      <c r="BR95" s="14"/>
      <c r="BS95" s="23"/>
      <c r="BT95" s="15"/>
      <c r="BU95" s="25"/>
      <c r="BV95" s="23"/>
      <c r="BW95" s="15"/>
      <c r="BX95" s="14"/>
      <c r="BY95" s="23"/>
      <c r="BZ95" s="15"/>
    </row>
    <row r="96" customFormat="false" ht="15" hidden="false" customHeight="false" outlineLevel="0" collapsed="false">
      <c r="A96" s="14"/>
      <c r="B96" s="17" t="str">
        <f aca="false">IF($A96="","",IFERROR(INDEX(Policy!$B$2:$B$301,MATCH($A96,Policy!$A$2:$A$301,0)),"MRO không có"))</f>
        <v/>
      </c>
      <c r="C96" s="17" t="str">
        <f aca="false">IF($A96="","",IFERROR(INDEX(Policy!$E$2:$E$301,MATCH($A96,Policy!$A$2:$A$301,0)),"MRO không có"))</f>
        <v/>
      </c>
      <c r="D96" s="14"/>
      <c r="E96" s="15"/>
      <c r="F96" s="15"/>
      <c r="G96" s="25"/>
      <c r="H96" s="23"/>
      <c r="I96" s="15"/>
      <c r="J96" s="14"/>
      <c r="K96" s="23"/>
      <c r="L96" s="15"/>
      <c r="M96" s="25"/>
      <c r="N96" s="23"/>
      <c r="O96" s="15"/>
      <c r="P96" s="14"/>
      <c r="Q96" s="23"/>
      <c r="R96" s="15"/>
      <c r="S96" s="25"/>
      <c r="T96" s="23"/>
      <c r="U96" s="15"/>
      <c r="V96" s="14"/>
      <c r="W96" s="23"/>
      <c r="X96" s="15"/>
      <c r="Y96" s="25"/>
      <c r="Z96" s="23"/>
      <c r="AA96" s="15"/>
      <c r="AB96" s="14"/>
      <c r="AC96" s="23"/>
      <c r="AD96" s="15"/>
      <c r="AE96" s="25"/>
      <c r="AF96" s="23"/>
      <c r="AG96" s="15"/>
      <c r="AH96" s="14"/>
      <c r="AI96" s="23"/>
      <c r="AJ96" s="15"/>
      <c r="AK96" s="25"/>
      <c r="AL96" s="23"/>
      <c r="AM96" s="15"/>
      <c r="AN96" s="14"/>
      <c r="AO96" s="23"/>
      <c r="AP96" s="15"/>
      <c r="AQ96" s="25"/>
      <c r="AR96" s="23"/>
      <c r="AS96" s="15"/>
      <c r="AT96" s="14"/>
      <c r="AU96" s="23"/>
      <c r="AV96" s="15"/>
      <c r="AW96" s="25"/>
      <c r="AX96" s="23"/>
      <c r="AY96" s="15"/>
      <c r="AZ96" s="14"/>
      <c r="BA96" s="23"/>
      <c r="BB96" s="15"/>
      <c r="BC96" s="25"/>
      <c r="BD96" s="23"/>
      <c r="BE96" s="15"/>
      <c r="BF96" s="14"/>
      <c r="BG96" s="23"/>
      <c r="BH96" s="15"/>
      <c r="BI96" s="25"/>
      <c r="BJ96" s="23"/>
      <c r="BK96" s="15"/>
      <c r="BL96" s="14"/>
      <c r="BM96" s="23"/>
      <c r="BN96" s="15"/>
      <c r="BO96" s="25"/>
      <c r="BP96" s="23"/>
      <c r="BQ96" s="15"/>
      <c r="BR96" s="14"/>
      <c r="BS96" s="23"/>
      <c r="BT96" s="15"/>
      <c r="BU96" s="25"/>
      <c r="BV96" s="23"/>
      <c r="BW96" s="15"/>
      <c r="BX96" s="14"/>
      <c r="BY96" s="23"/>
      <c r="BZ96" s="15"/>
    </row>
    <row r="97" customFormat="false" ht="15" hidden="false" customHeight="false" outlineLevel="0" collapsed="false">
      <c r="A97" s="14"/>
      <c r="B97" s="17" t="str">
        <f aca="false">IF($A97="","",IFERROR(INDEX(Policy!$B$2:$B$301,MATCH($A97,Policy!$A$2:$A$301,0)),"MRO không có"))</f>
        <v/>
      </c>
      <c r="C97" s="17" t="str">
        <f aca="false">IF($A97="","",IFERROR(INDEX(Policy!$E$2:$E$301,MATCH($A97,Policy!$A$2:$A$301,0)),"MRO không có"))</f>
        <v/>
      </c>
      <c r="D97" s="14"/>
      <c r="E97" s="15"/>
      <c r="F97" s="15"/>
      <c r="G97" s="25"/>
      <c r="H97" s="23"/>
      <c r="I97" s="15"/>
      <c r="J97" s="14"/>
      <c r="K97" s="23"/>
      <c r="L97" s="15"/>
      <c r="M97" s="25"/>
      <c r="N97" s="23"/>
      <c r="O97" s="15"/>
      <c r="P97" s="14"/>
      <c r="Q97" s="23"/>
      <c r="R97" s="15"/>
      <c r="S97" s="25"/>
      <c r="T97" s="23"/>
      <c r="U97" s="15"/>
      <c r="V97" s="14"/>
      <c r="W97" s="23"/>
      <c r="X97" s="15"/>
      <c r="Y97" s="25"/>
      <c r="Z97" s="23"/>
      <c r="AA97" s="15"/>
      <c r="AB97" s="14"/>
      <c r="AC97" s="23"/>
      <c r="AD97" s="15"/>
      <c r="AE97" s="25"/>
      <c r="AF97" s="23"/>
      <c r="AG97" s="15"/>
      <c r="AH97" s="14"/>
      <c r="AI97" s="23"/>
      <c r="AJ97" s="15"/>
      <c r="AK97" s="25"/>
      <c r="AL97" s="23"/>
      <c r="AM97" s="15"/>
      <c r="AN97" s="14"/>
      <c r="AO97" s="23"/>
      <c r="AP97" s="15"/>
      <c r="AQ97" s="25"/>
      <c r="AR97" s="23"/>
      <c r="AS97" s="15"/>
      <c r="AT97" s="14"/>
      <c r="AU97" s="23"/>
      <c r="AV97" s="15"/>
      <c r="AW97" s="25"/>
      <c r="AX97" s="23"/>
      <c r="AY97" s="15"/>
      <c r="AZ97" s="14"/>
      <c r="BA97" s="23"/>
      <c r="BB97" s="15"/>
      <c r="BC97" s="25"/>
      <c r="BD97" s="23"/>
      <c r="BE97" s="15"/>
      <c r="BF97" s="14"/>
      <c r="BG97" s="23"/>
      <c r="BH97" s="15"/>
      <c r="BI97" s="25"/>
      <c r="BJ97" s="23"/>
      <c r="BK97" s="15"/>
      <c r="BL97" s="14"/>
      <c r="BM97" s="23"/>
      <c r="BN97" s="15"/>
      <c r="BO97" s="25"/>
      <c r="BP97" s="23"/>
      <c r="BQ97" s="15"/>
      <c r="BR97" s="14"/>
      <c r="BS97" s="23"/>
      <c r="BT97" s="15"/>
      <c r="BU97" s="25"/>
      <c r="BV97" s="23"/>
      <c r="BW97" s="15"/>
      <c r="BX97" s="14"/>
      <c r="BY97" s="23"/>
      <c r="BZ97" s="15"/>
    </row>
    <row r="98" customFormat="false" ht="15" hidden="false" customHeight="false" outlineLevel="0" collapsed="false">
      <c r="A98" s="14"/>
      <c r="B98" s="17" t="str">
        <f aca="false">IF($A98="","",IFERROR(INDEX(Policy!$B$2:$B$301,MATCH($A98,Policy!$A$2:$A$301,0)),"MRO không có"))</f>
        <v/>
      </c>
      <c r="C98" s="17" t="str">
        <f aca="false">IF($A98="","",IFERROR(INDEX(Policy!$E$2:$E$301,MATCH($A98,Policy!$A$2:$A$301,0)),"MRO không có"))</f>
        <v/>
      </c>
      <c r="D98" s="14"/>
      <c r="E98" s="15"/>
      <c r="F98" s="15"/>
      <c r="G98" s="25"/>
      <c r="H98" s="23"/>
      <c r="I98" s="15"/>
      <c r="J98" s="14"/>
      <c r="K98" s="23"/>
      <c r="L98" s="15"/>
      <c r="M98" s="25"/>
      <c r="N98" s="23"/>
      <c r="O98" s="15"/>
      <c r="P98" s="14"/>
      <c r="Q98" s="23"/>
      <c r="R98" s="15"/>
      <c r="S98" s="25"/>
      <c r="T98" s="23"/>
      <c r="U98" s="15"/>
      <c r="V98" s="14"/>
      <c r="W98" s="23"/>
      <c r="X98" s="15"/>
      <c r="Y98" s="25"/>
      <c r="Z98" s="23"/>
      <c r="AA98" s="15"/>
      <c r="AB98" s="14"/>
      <c r="AC98" s="23"/>
      <c r="AD98" s="15"/>
      <c r="AE98" s="25"/>
      <c r="AF98" s="23"/>
      <c r="AG98" s="15"/>
      <c r="AH98" s="14"/>
      <c r="AI98" s="23"/>
      <c r="AJ98" s="15"/>
      <c r="AK98" s="25"/>
      <c r="AL98" s="23"/>
      <c r="AM98" s="15"/>
      <c r="AN98" s="14"/>
      <c r="AO98" s="23"/>
      <c r="AP98" s="15"/>
      <c r="AQ98" s="25"/>
      <c r="AR98" s="23"/>
      <c r="AS98" s="15"/>
      <c r="AT98" s="14"/>
      <c r="AU98" s="23"/>
      <c r="AV98" s="15"/>
      <c r="AW98" s="25"/>
      <c r="AX98" s="23"/>
      <c r="AY98" s="15"/>
      <c r="AZ98" s="14"/>
      <c r="BA98" s="23"/>
      <c r="BB98" s="15"/>
      <c r="BC98" s="25"/>
      <c r="BD98" s="23"/>
      <c r="BE98" s="15"/>
      <c r="BF98" s="14"/>
      <c r="BG98" s="23"/>
      <c r="BH98" s="15"/>
      <c r="BI98" s="25"/>
      <c r="BJ98" s="23"/>
      <c r="BK98" s="15"/>
      <c r="BL98" s="14"/>
      <c r="BM98" s="23"/>
      <c r="BN98" s="15"/>
      <c r="BO98" s="25"/>
      <c r="BP98" s="23"/>
      <c r="BQ98" s="15"/>
      <c r="BR98" s="14"/>
      <c r="BS98" s="23"/>
      <c r="BT98" s="15"/>
      <c r="BU98" s="25"/>
      <c r="BV98" s="23"/>
      <c r="BW98" s="15"/>
      <c r="BX98" s="14"/>
      <c r="BY98" s="23"/>
      <c r="BZ98" s="15"/>
    </row>
    <row r="99" customFormat="false" ht="15" hidden="false" customHeight="false" outlineLevel="0" collapsed="false">
      <c r="A99" s="14"/>
      <c r="B99" s="17" t="str">
        <f aca="false">IF($A99="","",IFERROR(INDEX(Policy!$B$2:$B$301,MATCH($A99,Policy!$A$2:$A$301,0)),"MRO không có"))</f>
        <v/>
      </c>
      <c r="C99" s="17" t="str">
        <f aca="false">IF($A99="","",IFERROR(INDEX(Policy!$E$2:$E$301,MATCH($A99,Policy!$A$2:$A$301,0)),"MRO không có"))</f>
        <v/>
      </c>
      <c r="D99" s="14"/>
      <c r="E99" s="15"/>
      <c r="F99" s="15"/>
      <c r="G99" s="25"/>
      <c r="H99" s="23"/>
      <c r="I99" s="15"/>
      <c r="J99" s="14"/>
      <c r="K99" s="23"/>
      <c r="L99" s="15"/>
      <c r="M99" s="25"/>
      <c r="N99" s="23"/>
      <c r="O99" s="15"/>
      <c r="P99" s="14"/>
      <c r="Q99" s="23"/>
      <c r="R99" s="15"/>
      <c r="S99" s="25"/>
      <c r="T99" s="23"/>
      <c r="U99" s="15"/>
      <c r="V99" s="14"/>
      <c r="W99" s="23"/>
      <c r="X99" s="15"/>
      <c r="Y99" s="25"/>
      <c r="Z99" s="23"/>
      <c r="AA99" s="15"/>
      <c r="AB99" s="14"/>
      <c r="AC99" s="23"/>
      <c r="AD99" s="15"/>
      <c r="AE99" s="25"/>
      <c r="AF99" s="23"/>
      <c r="AG99" s="15"/>
      <c r="AH99" s="14"/>
      <c r="AI99" s="23"/>
      <c r="AJ99" s="15"/>
      <c r="AK99" s="25"/>
      <c r="AL99" s="23"/>
      <c r="AM99" s="15"/>
      <c r="AN99" s="14"/>
      <c r="AO99" s="23"/>
      <c r="AP99" s="15"/>
      <c r="AQ99" s="25"/>
      <c r="AR99" s="23"/>
      <c r="AS99" s="15"/>
      <c r="AT99" s="14"/>
      <c r="AU99" s="23"/>
      <c r="AV99" s="15"/>
      <c r="AW99" s="25"/>
      <c r="AX99" s="23"/>
      <c r="AY99" s="15"/>
      <c r="AZ99" s="14"/>
      <c r="BA99" s="23"/>
      <c r="BB99" s="15"/>
      <c r="BC99" s="25"/>
      <c r="BD99" s="23"/>
      <c r="BE99" s="15"/>
      <c r="BF99" s="14"/>
      <c r="BG99" s="23"/>
      <c r="BH99" s="15"/>
      <c r="BI99" s="25"/>
      <c r="BJ99" s="23"/>
      <c r="BK99" s="15"/>
      <c r="BL99" s="14"/>
      <c r="BM99" s="23"/>
      <c r="BN99" s="15"/>
      <c r="BO99" s="25"/>
      <c r="BP99" s="23"/>
      <c r="BQ99" s="15"/>
      <c r="BR99" s="14"/>
      <c r="BS99" s="23"/>
      <c r="BT99" s="15"/>
      <c r="BU99" s="25"/>
      <c r="BV99" s="23"/>
      <c r="BW99" s="15"/>
      <c r="BX99" s="14"/>
      <c r="BY99" s="23"/>
      <c r="BZ99" s="15"/>
    </row>
    <row r="100" customFormat="false" ht="15" hidden="false" customHeight="false" outlineLevel="0" collapsed="false">
      <c r="A100" s="14"/>
      <c r="B100" s="17" t="str">
        <f aca="false">IF($A100="","",IFERROR(INDEX(Policy!$B$2:$B$301,MATCH($A100,Policy!$A$2:$A$301,0)),"MRO không có"))</f>
        <v/>
      </c>
      <c r="C100" s="17" t="str">
        <f aca="false">IF($A100="","",IFERROR(INDEX(Policy!$E$2:$E$301,MATCH($A100,Policy!$A$2:$A$301,0)),"MRO không có"))</f>
        <v/>
      </c>
      <c r="D100" s="14"/>
      <c r="E100" s="15"/>
      <c r="F100" s="15"/>
      <c r="G100" s="25"/>
      <c r="H100" s="23"/>
      <c r="I100" s="15"/>
      <c r="J100" s="14"/>
      <c r="K100" s="23"/>
      <c r="L100" s="15"/>
      <c r="M100" s="25"/>
      <c r="N100" s="23"/>
      <c r="O100" s="15"/>
      <c r="P100" s="14"/>
      <c r="Q100" s="23"/>
      <c r="R100" s="15"/>
      <c r="S100" s="25"/>
      <c r="T100" s="23"/>
      <c r="U100" s="15"/>
      <c r="V100" s="14"/>
      <c r="W100" s="23"/>
      <c r="X100" s="15"/>
      <c r="Y100" s="25"/>
      <c r="Z100" s="23"/>
      <c r="AA100" s="15"/>
      <c r="AB100" s="14"/>
      <c r="AC100" s="23"/>
      <c r="AD100" s="15"/>
      <c r="AE100" s="25"/>
      <c r="AF100" s="23"/>
      <c r="AG100" s="15"/>
      <c r="AH100" s="14"/>
      <c r="AI100" s="23"/>
      <c r="AJ100" s="15"/>
      <c r="AK100" s="25"/>
      <c r="AL100" s="23"/>
      <c r="AM100" s="15"/>
      <c r="AN100" s="14"/>
      <c r="AO100" s="23"/>
      <c r="AP100" s="15"/>
      <c r="AQ100" s="25"/>
      <c r="AR100" s="23"/>
      <c r="AS100" s="15"/>
      <c r="AT100" s="14"/>
      <c r="AU100" s="23"/>
      <c r="AV100" s="15"/>
      <c r="AW100" s="25"/>
      <c r="AX100" s="23"/>
      <c r="AY100" s="15"/>
      <c r="AZ100" s="14"/>
      <c r="BA100" s="23"/>
      <c r="BB100" s="15"/>
      <c r="BC100" s="25"/>
      <c r="BD100" s="23"/>
      <c r="BE100" s="15"/>
      <c r="BF100" s="14"/>
      <c r="BG100" s="23"/>
      <c r="BH100" s="15"/>
      <c r="BI100" s="25"/>
      <c r="BJ100" s="23"/>
      <c r="BK100" s="15"/>
      <c r="BL100" s="14"/>
      <c r="BM100" s="23"/>
      <c r="BN100" s="15"/>
      <c r="BO100" s="25"/>
      <c r="BP100" s="23"/>
      <c r="BQ100" s="15"/>
      <c r="BR100" s="14"/>
      <c r="BS100" s="23"/>
      <c r="BT100" s="15"/>
      <c r="BU100" s="25"/>
      <c r="BV100" s="23"/>
      <c r="BW100" s="15"/>
      <c r="BX100" s="14"/>
      <c r="BY100" s="23"/>
      <c r="BZ100" s="15"/>
    </row>
    <row r="101" customFormat="false" ht="15" hidden="false" customHeight="false" outlineLevel="0" collapsed="false">
      <c r="A101" s="14"/>
      <c r="B101" s="17" t="str">
        <f aca="false">IF($A101="","",IFERROR(INDEX(Policy!$B$2:$B$301,MATCH($A101,Policy!$A$2:$A$301,0)),"MRO không có"))</f>
        <v/>
      </c>
      <c r="C101" s="17" t="str">
        <f aca="false">IF($A101="","",IFERROR(INDEX(Policy!$E$2:$E$301,MATCH($A101,Policy!$A$2:$A$301,0)),"MRO không có"))</f>
        <v/>
      </c>
      <c r="D101" s="14"/>
      <c r="E101" s="15"/>
      <c r="F101" s="15"/>
      <c r="G101" s="25"/>
      <c r="H101" s="23"/>
      <c r="I101" s="15"/>
      <c r="J101" s="14"/>
      <c r="K101" s="23"/>
      <c r="L101" s="15"/>
      <c r="M101" s="25"/>
      <c r="N101" s="23"/>
      <c r="O101" s="15"/>
      <c r="P101" s="14"/>
      <c r="Q101" s="23"/>
      <c r="R101" s="15"/>
      <c r="S101" s="25"/>
      <c r="T101" s="23"/>
      <c r="U101" s="15"/>
      <c r="V101" s="14"/>
      <c r="W101" s="23"/>
      <c r="X101" s="15"/>
      <c r="Y101" s="25"/>
      <c r="Z101" s="23"/>
      <c r="AA101" s="15"/>
      <c r="AB101" s="14"/>
      <c r="AC101" s="23"/>
      <c r="AD101" s="15"/>
      <c r="AE101" s="25"/>
      <c r="AF101" s="23"/>
      <c r="AG101" s="15"/>
      <c r="AH101" s="14"/>
      <c r="AI101" s="23"/>
      <c r="AJ101" s="15"/>
      <c r="AK101" s="25"/>
      <c r="AL101" s="23"/>
      <c r="AM101" s="15"/>
      <c r="AN101" s="14"/>
      <c r="AO101" s="23"/>
      <c r="AP101" s="15"/>
      <c r="AQ101" s="25"/>
      <c r="AR101" s="23"/>
      <c r="AS101" s="15"/>
      <c r="AT101" s="14"/>
      <c r="AU101" s="23"/>
      <c r="AV101" s="15"/>
      <c r="AW101" s="25"/>
      <c r="AX101" s="23"/>
      <c r="AY101" s="15"/>
      <c r="AZ101" s="14"/>
      <c r="BA101" s="23"/>
      <c r="BB101" s="15"/>
      <c r="BC101" s="25"/>
      <c r="BD101" s="23"/>
      <c r="BE101" s="15"/>
      <c r="BF101" s="14"/>
      <c r="BG101" s="23"/>
      <c r="BH101" s="15"/>
      <c r="BI101" s="25"/>
      <c r="BJ101" s="23"/>
      <c r="BK101" s="15"/>
      <c r="BL101" s="14"/>
      <c r="BM101" s="23"/>
      <c r="BN101" s="15"/>
      <c r="BO101" s="25"/>
      <c r="BP101" s="23"/>
      <c r="BQ101" s="15"/>
      <c r="BR101" s="14"/>
      <c r="BS101" s="23"/>
      <c r="BT101" s="15"/>
      <c r="BU101" s="25"/>
      <c r="BV101" s="23"/>
      <c r="BW101" s="15"/>
      <c r="BX101" s="14"/>
      <c r="BY101" s="23"/>
      <c r="BZ101" s="15"/>
    </row>
    <row r="102" customFormat="false" ht="15" hidden="false" customHeight="false" outlineLevel="0" collapsed="false">
      <c r="A102" s="14"/>
      <c r="B102" s="17" t="str">
        <f aca="false">IF($A102="","",IFERROR(INDEX(Policy!$B$2:$B$301,MATCH($A102,Policy!$A$2:$A$301,0)),"MRO không có"))</f>
        <v/>
      </c>
      <c r="C102" s="17" t="str">
        <f aca="false">IF($A102="","",IFERROR(INDEX(Policy!$E$2:$E$301,MATCH($A102,Policy!$A$2:$A$301,0)),"MRO không có"))</f>
        <v/>
      </c>
      <c r="D102" s="14"/>
      <c r="E102" s="15"/>
      <c r="F102" s="15"/>
      <c r="G102" s="25"/>
      <c r="H102" s="23"/>
      <c r="I102" s="15"/>
      <c r="J102" s="14"/>
      <c r="K102" s="23"/>
      <c r="L102" s="15"/>
      <c r="M102" s="25"/>
      <c r="N102" s="23"/>
      <c r="O102" s="15"/>
      <c r="P102" s="14"/>
      <c r="Q102" s="23"/>
      <c r="R102" s="15"/>
      <c r="S102" s="25"/>
      <c r="T102" s="23"/>
      <c r="U102" s="15"/>
      <c r="V102" s="14"/>
      <c r="W102" s="23"/>
      <c r="X102" s="15"/>
      <c r="Y102" s="25"/>
      <c r="Z102" s="23"/>
      <c r="AA102" s="15"/>
      <c r="AB102" s="14"/>
      <c r="AC102" s="23"/>
      <c r="AD102" s="15"/>
      <c r="AE102" s="25"/>
      <c r="AF102" s="23"/>
      <c r="AG102" s="15"/>
      <c r="AH102" s="14"/>
      <c r="AI102" s="23"/>
      <c r="AJ102" s="15"/>
      <c r="AK102" s="25"/>
      <c r="AL102" s="23"/>
      <c r="AM102" s="15"/>
      <c r="AN102" s="14"/>
      <c r="AO102" s="23"/>
      <c r="AP102" s="15"/>
      <c r="AQ102" s="25"/>
      <c r="AR102" s="23"/>
      <c r="AS102" s="15"/>
      <c r="AT102" s="14"/>
      <c r="AU102" s="23"/>
      <c r="AV102" s="15"/>
      <c r="AW102" s="25"/>
      <c r="AX102" s="23"/>
      <c r="AY102" s="15"/>
      <c r="AZ102" s="14"/>
      <c r="BA102" s="23"/>
      <c r="BB102" s="15"/>
      <c r="BC102" s="25"/>
      <c r="BD102" s="23"/>
      <c r="BE102" s="15"/>
      <c r="BF102" s="14"/>
      <c r="BG102" s="23"/>
      <c r="BH102" s="15"/>
      <c r="BI102" s="25"/>
      <c r="BJ102" s="23"/>
      <c r="BK102" s="15"/>
      <c r="BL102" s="14"/>
      <c r="BM102" s="23"/>
      <c r="BN102" s="15"/>
      <c r="BO102" s="25"/>
      <c r="BP102" s="23"/>
      <c r="BQ102" s="15"/>
      <c r="BR102" s="14"/>
      <c r="BS102" s="23"/>
      <c r="BT102" s="15"/>
      <c r="BU102" s="25"/>
      <c r="BV102" s="23"/>
      <c r="BW102" s="15"/>
      <c r="BX102" s="14"/>
      <c r="BY102" s="23"/>
      <c r="BZ102" s="15"/>
    </row>
    <row r="103" customFormat="false" ht="15" hidden="false" customHeight="false" outlineLevel="0" collapsed="false">
      <c r="A103" s="14"/>
      <c r="B103" s="17" t="str">
        <f aca="false">IF($A103="","",IFERROR(INDEX(Policy!$B$2:$B$301,MATCH($A103,Policy!$A$2:$A$301,0)),"MRO không có"))</f>
        <v/>
      </c>
      <c r="C103" s="17" t="str">
        <f aca="false">IF($A103="","",IFERROR(INDEX(Policy!$E$2:$E$301,MATCH($A103,Policy!$A$2:$A$301,0)),"MRO không có"))</f>
        <v/>
      </c>
      <c r="D103" s="14"/>
      <c r="E103" s="15"/>
      <c r="F103" s="15"/>
      <c r="G103" s="25"/>
      <c r="H103" s="23"/>
      <c r="I103" s="15"/>
      <c r="J103" s="14"/>
      <c r="K103" s="23"/>
      <c r="L103" s="15"/>
      <c r="M103" s="25"/>
      <c r="N103" s="23"/>
      <c r="O103" s="15"/>
      <c r="P103" s="14"/>
      <c r="Q103" s="23"/>
      <c r="R103" s="15"/>
      <c r="S103" s="25"/>
      <c r="T103" s="23"/>
      <c r="U103" s="15"/>
      <c r="V103" s="14"/>
      <c r="W103" s="23"/>
      <c r="X103" s="15"/>
      <c r="Y103" s="25"/>
      <c r="Z103" s="23"/>
      <c r="AA103" s="15"/>
      <c r="AB103" s="14"/>
      <c r="AC103" s="23"/>
      <c r="AD103" s="15"/>
      <c r="AE103" s="25"/>
      <c r="AF103" s="23"/>
      <c r="AG103" s="15"/>
      <c r="AH103" s="14"/>
      <c r="AI103" s="23"/>
      <c r="AJ103" s="15"/>
      <c r="AK103" s="25"/>
      <c r="AL103" s="23"/>
      <c r="AM103" s="15"/>
      <c r="AN103" s="14"/>
      <c r="AO103" s="23"/>
      <c r="AP103" s="15"/>
      <c r="AQ103" s="25"/>
      <c r="AR103" s="23"/>
      <c r="AS103" s="15"/>
      <c r="AT103" s="14"/>
      <c r="AU103" s="23"/>
      <c r="AV103" s="15"/>
      <c r="AW103" s="25"/>
      <c r="AX103" s="23"/>
      <c r="AY103" s="15"/>
      <c r="AZ103" s="14"/>
      <c r="BA103" s="23"/>
      <c r="BB103" s="15"/>
      <c r="BC103" s="25"/>
      <c r="BD103" s="23"/>
      <c r="BE103" s="15"/>
      <c r="BF103" s="14"/>
      <c r="BG103" s="23"/>
      <c r="BH103" s="15"/>
      <c r="BI103" s="25"/>
      <c r="BJ103" s="23"/>
      <c r="BK103" s="15"/>
      <c r="BL103" s="14"/>
      <c r="BM103" s="23"/>
      <c r="BN103" s="15"/>
      <c r="BO103" s="25"/>
      <c r="BP103" s="23"/>
      <c r="BQ103" s="15"/>
      <c r="BR103" s="14"/>
      <c r="BS103" s="23"/>
      <c r="BT103" s="15"/>
      <c r="BU103" s="25"/>
      <c r="BV103" s="23"/>
      <c r="BW103" s="15"/>
      <c r="BX103" s="14"/>
      <c r="BY103" s="23"/>
      <c r="BZ103" s="15"/>
    </row>
    <row r="104" customFormat="false" ht="15" hidden="false" customHeight="false" outlineLevel="0" collapsed="false">
      <c r="A104" s="14"/>
      <c r="B104" s="17" t="str">
        <f aca="false">IF($A104="","",IFERROR(INDEX(Policy!$B$2:$B$301,MATCH($A104,Policy!$A$2:$A$301,0)),"MRO không có"))</f>
        <v/>
      </c>
      <c r="C104" s="17" t="str">
        <f aca="false">IF($A104="","",IFERROR(INDEX(Policy!$E$2:$E$301,MATCH($A104,Policy!$A$2:$A$301,0)),"MRO không có"))</f>
        <v/>
      </c>
      <c r="D104" s="14"/>
      <c r="E104" s="15"/>
      <c r="F104" s="15"/>
      <c r="G104" s="25"/>
      <c r="H104" s="23"/>
      <c r="I104" s="15"/>
      <c r="J104" s="14"/>
      <c r="K104" s="23"/>
      <c r="L104" s="15"/>
      <c r="M104" s="25"/>
      <c r="N104" s="23"/>
      <c r="O104" s="15"/>
      <c r="P104" s="14"/>
      <c r="Q104" s="23"/>
      <c r="R104" s="15"/>
      <c r="S104" s="25"/>
      <c r="T104" s="23"/>
      <c r="U104" s="15"/>
      <c r="V104" s="14"/>
      <c r="W104" s="23"/>
      <c r="X104" s="15"/>
      <c r="Y104" s="25"/>
      <c r="Z104" s="23"/>
      <c r="AA104" s="15"/>
      <c r="AB104" s="14"/>
      <c r="AC104" s="23"/>
      <c r="AD104" s="15"/>
      <c r="AE104" s="25"/>
      <c r="AF104" s="23"/>
      <c r="AG104" s="15"/>
      <c r="AH104" s="14"/>
      <c r="AI104" s="23"/>
      <c r="AJ104" s="15"/>
      <c r="AK104" s="25"/>
      <c r="AL104" s="23"/>
      <c r="AM104" s="15"/>
      <c r="AN104" s="14"/>
      <c r="AO104" s="23"/>
      <c r="AP104" s="15"/>
      <c r="AQ104" s="25"/>
      <c r="AR104" s="23"/>
      <c r="AS104" s="15"/>
      <c r="AT104" s="14"/>
      <c r="AU104" s="23"/>
      <c r="AV104" s="15"/>
      <c r="AW104" s="25"/>
      <c r="AX104" s="23"/>
      <c r="AY104" s="15"/>
      <c r="AZ104" s="14"/>
      <c r="BA104" s="23"/>
      <c r="BB104" s="15"/>
      <c r="BC104" s="25"/>
      <c r="BD104" s="23"/>
      <c r="BE104" s="15"/>
      <c r="BF104" s="14"/>
      <c r="BG104" s="23"/>
      <c r="BH104" s="15"/>
      <c r="BI104" s="25"/>
      <c r="BJ104" s="23"/>
      <c r="BK104" s="15"/>
      <c r="BL104" s="14"/>
      <c r="BM104" s="23"/>
      <c r="BN104" s="15"/>
      <c r="BO104" s="25"/>
      <c r="BP104" s="23"/>
      <c r="BQ104" s="15"/>
      <c r="BR104" s="14"/>
      <c r="BS104" s="23"/>
      <c r="BT104" s="15"/>
      <c r="BU104" s="25"/>
      <c r="BV104" s="23"/>
      <c r="BW104" s="15"/>
      <c r="BX104" s="14"/>
      <c r="BY104" s="23"/>
      <c r="BZ104" s="15"/>
    </row>
    <row r="105" customFormat="false" ht="15" hidden="false" customHeight="false" outlineLevel="0" collapsed="false">
      <c r="A105" s="14"/>
      <c r="B105" s="17" t="str">
        <f aca="false">IF($A105="","",IFERROR(INDEX(Policy!$B$2:$B$301,MATCH($A105,Policy!$A$2:$A$301,0)),"MRO không có"))</f>
        <v/>
      </c>
      <c r="C105" s="17" t="str">
        <f aca="false">IF($A105="","",IFERROR(INDEX(Policy!$E$2:$E$301,MATCH($A105,Policy!$A$2:$A$301,0)),"MRO không có"))</f>
        <v/>
      </c>
      <c r="D105" s="14"/>
      <c r="E105" s="15"/>
      <c r="F105" s="15"/>
      <c r="G105" s="25"/>
      <c r="H105" s="23"/>
      <c r="I105" s="15"/>
      <c r="J105" s="14"/>
      <c r="K105" s="23"/>
      <c r="L105" s="15"/>
      <c r="M105" s="25"/>
      <c r="N105" s="23"/>
      <c r="O105" s="15"/>
      <c r="P105" s="14"/>
      <c r="Q105" s="23"/>
      <c r="R105" s="15"/>
      <c r="S105" s="25"/>
      <c r="T105" s="23"/>
      <c r="U105" s="15"/>
      <c r="V105" s="14"/>
      <c r="W105" s="23"/>
      <c r="X105" s="15"/>
      <c r="Y105" s="25"/>
      <c r="Z105" s="23"/>
      <c r="AA105" s="15"/>
      <c r="AB105" s="14"/>
      <c r="AC105" s="23"/>
      <c r="AD105" s="15"/>
      <c r="AE105" s="25"/>
      <c r="AF105" s="23"/>
      <c r="AG105" s="15"/>
      <c r="AH105" s="14"/>
      <c r="AI105" s="23"/>
      <c r="AJ105" s="15"/>
      <c r="AK105" s="25"/>
      <c r="AL105" s="23"/>
      <c r="AM105" s="15"/>
      <c r="AN105" s="14"/>
      <c r="AO105" s="23"/>
      <c r="AP105" s="15"/>
      <c r="AQ105" s="25"/>
      <c r="AR105" s="23"/>
      <c r="AS105" s="15"/>
      <c r="AT105" s="14"/>
      <c r="AU105" s="23"/>
      <c r="AV105" s="15"/>
      <c r="AW105" s="25"/>
      <c r="AX105" s="23"/>
      <c r="AY105" s="15"/>
      <c r="AZ105" s="14"/>
      <c r="BA105" s="23"/>
      <c r="BB105" s="15"/>
      <c r="BC105" s="25"/>
      <c r="BD105" s="23"/>
      <c r="BE105" s="15"/>
      <c r="BF105" s="14"/>
      <c r="BG105" s="23"/>
      <c r="BH105" s="15"/>
      <c r="BI105" s="25"/>
      <c r="BJ105" s="23"/>
      <c r="BK105" s="15"/>
      <c r="BL105" s="14"/>
      <c r="BM105" s="23"/>
      <c r="BN105" s="15"/>
      <c r="BO105" s="25"/>
      <c r="BP105" s="23"/>
      <c r="BQ105" s="15"/>
      <c r="BR105" s="14"/>
      <c r="BS105" s="23"/>
      <c r="BT105" s="15"/>
      <c r="BU105" s="25"/>
      <c r="BV105" s="23"/>
      <c r="BW105" s="15"/>
      <c r="BX105" s="14"/>
      <c r="BY105" s="23"/>
      <c r="BZ105" s="15"/>
    </row>
    <row r="106" customFormat="false" ht="15" hidden="false" customHeight="false" outlineLevel="0" collapsed="false">
      <c r="A106" s="14"/>
      <c r="B106" s="17" t="str">
        <f aca="false">IF($A106="","",IFERROR(INDEX(Policy!$B$2:$B$301,MATCH($A106,Policy!$A$2:$A$301,0)),"MRO không có"))</f>
        <v/>
      </c>
      <c r="C106" s="17" t="str">
        <f aca="false">IF($A106="","",IFERROR(INDEX(Policy!$E$2:$E$301,MATCH($A106,Policy!$A$2:$A$301,0)),"MRO không có"))</f>
        <v/>
      </c>
      <c r="D106" s="14"/>
      <c r="E106" s="15"/>
      <c r="F106" s="15"/>
      <c r="G106" s="25"/>
      <c r="H106" s="23"/>
      <c r="I106" s="15"/>
      <c r="J106" s="14"/>
      <c r="K106" s="23"/>
      <c r="L106" s="15"/>
      <c r="M106" s="25"/>
      <c r="N106" s="23"/>
      <c r="O106" s="15"/>
      <c r="P106" s="14"/>
      <c r="Q106" s="23"/>
      <c r="R106" s="15"/>
      <c r="S106" s="25"/>
      <c r="T106" s="23"/>
      <c r="U106" s="15"/>
      <c r="V106" s="14"/>
      <c r="W106" s="23"/>
      <c r="X106" s="15"/>
      <c r="Y106" s="25"/>
      <c r="Z106" s="23"/>
      <c r="AA106" s="15"/>
      <c r="AB106" s="14"/>
      <c r="AC106" s="23"/>
      <c r="AD106" s="15"/>
      <c r="AE106" s="25"/>
      <c r="AF106" s="23"/>
      <c r="AG106" s="15"/>
      <c r="AH106" s="14"/>
      <c r="AI106" s="23"/>
      <c r="AJ106" s="15"/>
      <c r="AK106" s="25"/>
      <c r="AL106" s="23"/>
      <c r="AM106" s="15"/>
      <c r="AN106" s="14"/>
      <c r="AO106" s="23"/>
      <c r="AP106" s="15"/>
      <c r="AQ106" s="25"/>
      <c r="AR106" s="23"/>
      <c r="AS106" s="15"/>
      <c r="AT106" s="14"/>
      <c r="AU106" s="23"/>
      <c r="AV106" s="15"/>
      <c r="AW106" s="25"/>
      <c r="AX106" s="23"/>
      <c r="AY106" s="15"/>
      <c r="AZ106" s="14"/>
      <c r="BA106" s="23"/>
      <c r="BB106" s="15"/>
      <c r="BC106" s="25"/>
      <c r="BD106" s="23"/>
      <c r="BE106" s="15"/>
      <c r="BF106" s="14"/>
      <c r="BG106" s="23"/>
      <c r="BH106" s="15"/>
      <c r="BI106" s="25"/>
      <c r="BJ106" s="23"/>
      <c r="BK106" s="15"/>
      <c r="BL106" s="14"/>
      <c r="BM106" s="23"/>
      <c r="BN106" s="15"/>
      <c r="BO106" s="25"/>
      <c r="BP106" s="23"/>
      <c r="BQ106" s="15"/>
      <c r="BR106" s="14"/>
      <c r="BS106" s="23"/>
      <c r="BT106" s="15"/>
      <c r="BU106" s="25"/>
      <c r="BV106" s="23"/>
      <c r="BW106" s="15"/>
      <c r="BX106" s="14"/>
      <c r="BY106" s="23"/>
      <c r="BZ106" s="15"/>
    </row>
    <row r="107" customFormat="false" ht="15" hidden="false" customHeight="false" outlineLevel="0" collapsed="false">
      <c r="A107" s="14"/>
      <c r="B107" s="17" t="str">
        <f aca="false">IF($A107="","",IFERROR(INDEX(Policy!$B$2:$B$301,MATCH($A107,Policy!$A$2:$A$301,0)),"MRO không có"))</f>
        <v/>
      </c>
      <c r="C107" s="17" t="str">
        <f aca="false">IF($A107="","",IFERROR(INDEX(Policy!$E$2:$E$301,MATCH($A107,Policy!$A$2:$A$301,0)),"MRO không có"))</f>
        <v/>
      </c>
      <c r="D107" s="14"/>
      <c r="E107" s="15"/>
      <c r="F107" s="15"/>
      <c r="G107" s="25"/>
      <c r="H107" s="23"/>
      <c r="I107" s="15"/>
      <c r="J107" s="14"/>
      <c r="K107" s="23"/>
      <c r="L107" s="15"/>
      <c r="M107" s="25"/>
      <c r="N107" s="23"/>
      <c r="O107" s="15"/>
      <c r="P107" s="14"/>
      <c r="Q107" s="23"/>
      <c r="R107" s="15"/>
      <c r="S107" s="25"/>
      <c r="T107" s="23"/>
      <c r="U107" s="15"/>
      <c r="V107" s="14"/>
      <c r="W107" s="23"/>
      <c r="X107" s="15"/>
      <c r="Y107" s="25"/>
      <c r="Z107" s="23"/>
      <c r="AA107" s="15"/>
      <c r="AB107" s="14"/>
      <c r="AC107" s="23"/>
      <c r="AD107" s="15"/>
      <c r="AE107" s="25"/>
      <c r="AF107" s="23"/>
      <c r="AG107" s="15"/>
      <c r="AH107" s="14"/>
      <c r="AI107" s="23"/>
      <c r="AJ107" s="15"/>
      <c r="AK107" s="25"/>
      <c r="AL107" s="23"/>
      <c r="AM107" s="15"/>
      <c r="AN107" s="14"/>
      <c r="AO107" s="23"/>
      <c r="AP107" s="15"/>
      <c r="AQ107" s="25"/>
      <c r="AR107" s="23"/>
      <c r="AS107" s="15"/>
      <c r="AT107" s="14"/>
      <c r="AU107" s="23"/>
      <c r="AV107" s="15"/>
      <c r="AW107" s="25"/>
      <c r="AX107" s="23"/>
      <c r="AY107" s="15"/>
      <c r="AZ107" s="14"/>
      <c r="BA107" s="23"/>
      <c r="BB107" s="15"/>
      <c r="BC107" s="25"/>
      <c r="BD107" s="23"/>
      <c r="BE107" s="15"/>
      <c r="BF107" s="14"/>
      <c r="BG107" s="23"/>
      <c r="BH107" s="15"/>
      <c r="BI107" s="25"/>
      <c r="BJ107" s="23"/>
      <c r="BK107" s="15"/>
      <c r="BL107" s="14"/>
      <c r="BM107" s="23"/>
      <c r="BN107" s="15"/>
      <c r="BO107" s="25"/>
      <c r="BP107" s="23"/>
      <c r="BQ107" s="15"/>
      <c r="BR107" s="14"/>
      <c r="BS107" s="23"/>
      <c r="BT107" s="15"/>
      <c r="BU107" s="25"/>
      <c r="BV107" s="23"/>
      <c r="BW107" s="15"/>
      <c r="BX107" s="14"/>
      <c r="BY107" s="23"/>
      <c r="BZ107" s="15"/>
    </row>
    <row r="108" customFormat="false" ht="15" hidden="false" customHeight="false" outlineLevel="0" collapsed="false">
      <c r="A108" s="14"/>
      <c r="B108" s="17" t="str">
        <f aca="false">IF($A108="","",IFERROR(INDEX(Policy!$B$2:$B$301,MATCH($A108,Policy!$A$2:$A$301,0)),"MRO không có"))</f>
        <v/>
      </c>
      <c r="C108" s="17" t="str">
        <f aca="false">IF($A108="","",IFERROR(INDEX(Policy!$E$2:$E$301,MATCH($A108,Policy!$A$2:$A$301,0)),"MRO không có"))</f>
        <v/>
      </c>
      <c r="D108" s="14"/>
      <c r="E108" s="15"/>
      <c r="F108" s="15"/>
      <c r="G108" s="25"/>
      <c r="H108" s="23"/>
      <c r="I108" s="15"/>
      <c r="J108" s="14"/>
      <c r="K108" s="23"/>
      <c r="L108" s="15"/>
      <c r="M108" s="25"/>
      <c r="N108" s="23"/>
      <c r="O108" s="15"/>
      <c r="P108" s="14"/>
      <c r="Q108" s="23"/>
      <c r="R108" s="15"/>
      <c r="S108" s="25"/>
      <c r="T108" s="23"/>
      <c r="U108" s="15"/>
      <c r="V108" s="14"/>
      <c r="W108" s="23"/>
      <c r="X108" s="15"/>
      <c r="Y108" s="25"/>
      <c r="Z108" s="23"/>
      <c r="AA108" s="15"/>
      <c r="AB108" s="14"/>
      <c r="AC108" s="23"/>
      <c r="AD108" s="15"/>
      <c r="AE108" s="25"/>
      <c r="AF108" s="23"/>
      <c r="AG108" s="15"/>
      <c r="AH108" s="14"/>
      <c r="AI108" s="23"/>
      <c r="AJ108" s="15"/>
      <c r="AK108" s="25"/>
      <c r="AL108" s="23"/>
      <c r="AM108" s="15"/>
      <c r="AN108" s="14"/>
      <c r="AO108" s="23"/>
      <c r="AP108" s="15"/>
      <c r="AQ108" s="25"/>
      <c r="AR108" s="23"/>
      <c r="AS108" s="15"/>
      <c r="AT108" s="14"/>
      <c r="AU108" s="23"/>
      <c r="AV108" s="15"/>
      <c r="AW108" s="25"/>
      <c r="AX108" s="23"/>
      <c r="AY108" s="15"/>
      <c r="AZ108" s="14"/>
      <c r="BA108" s="23"/>
      <c r="BB108" s="15"/>
      <c r="BC108" s="25"/>
      <c r="BD108" s="23"/>
      <c r="BE108" s="15"/>
      <c r="BF108" s="14"/>
      <c r="BG108" s="23"/>
      <c r="BH108" s="15"/>
      <c r="BI108" s="25"/>
      <c r="BJ108" s="23"/>
      <c r="BK108" s="15"/>
      <c r="BL108" s="14"/>
      <c r="BM108" s="23"/>
      <c r="BN108" s="15"/>
      <c r="BO108" s="25"/>
      <c r="BP108" s="23"/>
      <c r="BQ108" s="15"/>
      <c r="BR108" s="14"/>
      <c r="BS108" s="23"/>
      <c r="BT108" s="15"/>
      <c r="BU108" s="25"/>
      <c r="BV108" s="23"/>
      <c r="BW108" s="15"/>
      <c r="BX108" s="14"/>
      <c r="BY108" s="23"/>
      <c r="BZ108" s="15"/>
    </row>
    <row r="109" customFormat="false" ht="15" hidden="false" customHeight="false" outlineLevel="0" collapsed="false">
      <c r="A109" s="14"/>
      <c r="B109" s="17" t="str">
        <f aca="false">IF($A109="","",IFERROR(INDEX(Policy!$B$2:$B$301,MATCH($A109,Policy!$A$2:$A$301,0)),"MRO không có"))</f>
        <v/>
      </c>
      <c r="C109" s="17" t="str">
        <f aca="false">IF($A109="","",IFERROR(INDEX(Policy!$E$2:$E$301,MATCH($A109,Policy!$A$2:$A$301,0)),"MRO không có"))</f>
        <v/>
      </c>
      <c r="D109" s="14"/>
      <c r="E109" s="15"/>
      <c r="F109" s="15"/>
      <c r="G109" s="25"/>
      <c r="H109" s="23"/>
      <c r="I109" s="15"/>
      <c r="J109" s="14"/>
      <c r="K109" s="23"/>
      <c r="L109" s="15"/>
      <c r="M109" s="25"/>
      <c r="N109" s="23"/>
      <c r="O109" s="15"/>
      <c r="P109" s="14"/>
      <c r="Q109" s="23"/>
      <c r="R109" s="15"/>
      <c r="S109" s="25"/>
      <c r="T109" s="23"/>
      <c r="U109" s="15"/>
      <c r="V109" s="14"/>
      <c r="W109" s="23"/>
      <c r="X109" s="15"/>
      <c r="Y109" s="25"/>
      <c r="Z109" s="23"/>
      <c r="AA109" s="15"/>
      <c r="AB109" s="14"/>
      <c r="AC109" s="23"/>
      <c r="AD109" s="15"/>
      <c r="AE109" s="25"/>
      <c r="AF109" s="23"/>
      <c r="AG109" s="15"/>
      <c r="AH109" s="14"/>
      <c r="AI109" s="23"/>
      <c r="AJ109" s="15"/>
      <c r="AK109" s="25"/>
      <c r="AL109" s="23"/>
      <c r="AM109" s="15"/>
      <c r="AN109" s="14"/>
      <c r="AO109" s="23"/>
      <c r="AP109" s="15"/>
      <c r="AQ109" s="25"/>
      <c r="AR109" s="23"/>
      <c r="AS109" s="15"/>
      <c r="AT109" s="14"/>
      <c r="AU109" s="23"/>
      <c r="AV109" s="15"/>
      <c r="AW109" s="25"/>
      <c r="AX109" s="23"/>
      <c r="AY109" s="15"/>
      <c r="AZ109" s="14"/>
      <c r="BA109" s="23"/>
      <c r="BB109" s="15"/>
      <c r="BC109" s="25"/>
      <c r="BD109" s="23"/>
      <c r="BE109" s="15"/>
      <c r="BF109" s="14"/>
      <c r="BG109" s="23"/>
      <c r="BH109" s="15"/>
      <c r="BI109" s="25"/>
      <c r="BJ109" s="23"/>
      <c r="BK109" s="15"/>
      <c r="BL109" s="14"/>
      <c r="BM109" s="23"/>
      <c r="BN109" s="15"/>
      <c r="BO109" s="25"/>
      <c r="BP109" s="23"/>
      <c r="BQ109" s="15"/>
      <c r="BR109" s="14"/>
      <c r="BS109" s="23"/>
      <c r="BT109" s="15"/>
      <c r="BU109" s="25"/>
      <c r="BV109" s="23"/>
      <c r="BW109" s="15"/>
      <c r="BX109" s="14"/>
      <c r="BY109" s="23"/>
      <c r="BZ109" s="15"/>
    </row>
    <row r="110" customFormat="false" ht="15" hidden="false" customHeight="false" outlineLevel="0" collapsed="false">
      <c r="A110" s="14"/>
      <c r="B110" s="17" t="str">
        <f aca="false">IF($A110="","",IFERROR(INDEX(Policy!$B$2:$B$301,MATCH($A110,Policy!$A$2:$A$301,0)),"MRO không có"))</f>
        <v/>
      </c>
      <c r="C110" s="17" t="str">
        <f aca="false">IF($A110="","",IFERROR(INDEX(Policy!$E$2:$E$301,MATCH($A110,Policy!$A$2:$A$301,0)),"MRO không có"))</f>
        <v/>
      </c>
      <c r="D110" s="14"/>
      <c r="E110" s="15"/>
      <c r="F110" s="15"/>
      <c r="G110" s="25"/>
      <c r="H110" s="23"/>
      <c r="I110" s="15"/>
      <c r="J110" s="14"/>
      <c r="K110" s="23"/>
      <c r="L110" s="15"/>
      <c r="M110" s="25"/>
      <c r="N110" s="23"/>
      <c r="O110" s="15"/>
      <c r="P110" s="14"/>
      <c r="Q110" s="23"/>
      <c r="R110" s="15"/>
      <c r="S110" s="25"/>
      <c r="T110" s="23"/>
      <c r="U110" s="15"/>
      <c r="V110" s="14"/>
      <c r="W110" s="23"/>
      <c r="X110" s="15"/>
      <c r="Y110" s="25"/>
      <c r="Z110" s="23"/>
      <c r="AA110" s="15"/>
      <c r="AB110" s="14"/>
      <c r="AC110" s="23"/>
      <c r="AD110" s="15"/>
      <c r="AE110" s="25"/>
      <c r="AF110" s="23"/>
      <c r="AG110" s="15"/>
      <c r="AH110" s="14"/>
      <c r="AI110" s="23"/>
      <c r="AJ110" s="15"/>
      <c r="AK110" s="25"/>
      <c r="AL110" s="23"/>
      <c r="AM110" s="15"/>
      <c r="AN110" s="14"/>
      <c r="AO110" s="23"/>
      <c r="AP110" s="15"/>
      <c r="AQ110" s="25"/>
      <c r="AR110" s="23"/>
      <c r="AS110" s="15"/>
      <c r="AT110" s="14"/>
      <c r="AU110" s="23"/>
      <c r="AV110" s="15"/>
      <c r="AW110" s="25"/>
      <c r="AX110" s="23"/>
      <c r="AY110" s="15"/>
      <c r="AZ110" s="14"/>
      <c r="BA110" s="23"/>
      <c r="BB110" s="15"/>
      <c r="BC110" s="25"/>
      <c r="BD110" s="23"/>
      <c r="BE110" s="15"/>
      <c r="BF110" s="14"/>
      <c r="BG110" s="23"/>
      <c r="BH110" s="15"/>
      <c r="BI110" s="25"/>
      <c r="BJ110" s="23"/>
      <c r="BK110" s="15"/>
      <c r="BL110" s="14"/>
      <c r="BM110" s="23"/>
      <c r="BN110" s="15"/>
      <c r="BO110" s="25"/>
      <c r="BP110" s="23"/>
      <c r="BQ110" s="15"/>
      <c r="BR110" s="14"/>
      <c r="BS110" s="23"/>
      <c r="BT110" s="15"/>
      <c r="BU110" s="25"/>
      <c r="BV110" s="23"/>
      <c r="BW110" s="15"/>
      <c r="BX110" s="14"/>
      <c r="BY110" s="23"/>
      <c r="BZ110" s="15"/>
    </row>
    <row r="111" customFormat="false" ht="15" hidden="false" customHeight="false" outlineLevel="0" collapsed="false">
      <c r="A111" s="14"/>
      <c r="B111" s="17" t="str">
        <f aca="false">IF($A111="","",IFERROR(INDEX(Policy!$B$2:$B$301,MATCH($A111,Policy!$A$2:$A$301,0)),"MRO không có"))</f>
        <v/>
      </c>
      <c r="C111" s="17" t="str">
        <f aca="false">IF($A111="","",IFERROR(INDEX(Policy!$E$2:$E$301,MATCH($A111,Policy!$A$2:$A$301,0)),"MRO không có"))</f>
        <v/>
      </c>
      <c r="D111" s="14"/>
      <c r="E111" s="15"/>
      <c r="F111" s="15"/>
      <c r="G111" s="25"/>
      <c r="H111" s="23"/>
      <c r="I111" s="15"/>
      <c r="J111" s="14"/>
      <c r="K111" s="23"/>
      <c r="L111" s="15"/>
      <c r="M111" s="25"/>
      <c r="N111" s="23"/>
      <c r="O111" s="15"/>
      <c r="P111" s="14"/>
      <c r="Q111" s="23"/>
      <c r="R111" s="15"/>
      <c r="S111" s="25"/>
      <c r="T111" s="23"/>
      <c r="U111" s="15"/>
      <c r="V111" s="14"/>
      <c r="W111" s="23"/>
      <c r="X111" s="15"/>
      <c r="Y111" s="25"/>
      <c r="Z111" s="23"/>
      <c r="AA111" s="15"/>
      <c r="AB111" s="14"/>
      <c r="AC111" s="23"/>
      <c r="AD111" s="15"/>
      <c r="AE111" s="25"/>
      <c r="AF111" s="23"/>
      <c r="AG111" s="15"/>
      <c r="AH111" s="14"/>
      <c r="AI111" s="23"/>
      <c r="AJ111" s="15"/>
      <c r="AK111" s="25"/>
      <c r="AL111" s="23"/>
      <c r="AM111" s="15"/>
      <c r="AN111" s="14"/>
      <c r="AO111" s="23"/>
      <c r="AP111" s="15"/>
      <c r="AQ111" s="25"/>
      <c r="AR111" s="23"/>
      <c r="AS111" s="15"/>
      <c r="AT111" s="14"/>
      <c r="AU111" s="23"/>
      <c r="AV111" s="15"/>
      <c r="AW111" s="25"/>
      <c r="AX111" s="23"/>
      <c r="AY111" s="15"/>
      <c r="AZ111" s="14"/>
      <c r="BA111" s="23"/>
      <c r="BB111" s="15"/>
      <c r="BC111" s="25"/>
      <c r="BD111" s="23"/>
      <c r="BE111" s="15"/>
      <c r="BF111" s="14"/>
      <c r="BG111" s="23"/>
      <c r="BH111" s="15"/>
      <c r="BI111" s="25"/>
      <c r="BJ111" s="23"/>
      <c r="BK111" s="15"/>
      <c r="BL111" s="14"/>
      <c r="BM111" s="23"/>
      <c r="BN111" s="15"/>
      <c r="BO111" s="25"/>
      <c r="BP111" s="23"/>
      <c r="BQ111" s="15"/>
      <c r="BR111" s="14"/>
      <c r="BS111" s="23"/>
      <c r="BT111" s="15"/>
      <c r="BU111" s="25"/>
      <c r="BV111" s="23"/>
      <c r="BW111" s="15"/>
      <c r="BX111" s="14"/>
      <c r="BY111" s="23"/>
      <c r="BZ111" s="15"/>
    </row>
    <row r="112" customFormat="false" ht="15" hidden="false" customHeight="false" outlineLevel="0" collapsed="false">
      <c r="A112" s="14"/>
      <c r="B112" s="17" t="str">
        <f aca="false">IF($A112="","",IFERROR(INDEX(Policy!$B$2:$B$301,MATCH($A112,Policy!$A$2:$A$301,0)),"MRO không có"))</f>
        <v/>
      </c>
      <c r="C112" s="17" t="str">
        <f aca="false">IF($A112="","",IFERROR(INDEX(Policy!$E$2:$E$301,MATCH($A112,Policy!$A$2:$A$301,0)),"MRO không có"))</f>
        <v/>
      </c>
      <c r="D112" s="14"/>
      <c r="E112" s="15"/>
      <c r="F112" s="15"/>
      <c r="G112" s="25"/>
      <c r="H112" s="23"/>
      <c r="I112" s="15"/>
      <c r="J112" s="14"/>
      <c r="K112" s="23"/>
      <c r="L112" s="15"/>
      <c r="M112" s="25"/>
      <c r="N112" s="23"/>
      <c r="O112" s="15"/>
      <c r="P112" s="14"/>
      <c r="Q112" s="23"/>
      <c r="R112" s="15"/>
      <c r="S112" s="25"/>
      <c r="T112" s="23"/>
      <c r="U112" s="15"/>
      <c r="V112" s="14"/>
      <c r="W112" s="23"/>
      <c r="X112" s="15"/>
      <c r="Y112" s="25"/>
      <c r="Z112" s="23"/>
      <c r="AA112" s="15"/>
      <c r="AB112" s="14"/>
      <c r="AC112" s="23"/>
      <c r="AD112" s="15"/>
      <c r="AE112" s="25"/>
      <c r="AF112" s="23"/>
      <c r="AG112" s="15"/>
      <c r="AH112" s="14"/>
      <c r="AI112" s="23"/>
      <c r="AJ112" s="15"/>
      <c r="AK112" s="25"/>
      <c r="AL112" s="23"/>
      <c r="AM112" s="15"/>
      <c r="AN112" s="14"/>
      <c r="AO112" s="23"/>
      <c r="AP112" s="15"/>
      <c r="AQ112" s="25"/>
      <c r="AR112" s="23"/>
      <c r="AS112" s="15"/>
      <c r="AT112" s="14"/>
      <c r="AU112" s="23"/>
      <c r="AV112" s="15"/>
      <c r="AW112" s="25"/>
      <c r="AX112" s="23"/>
      <c r="AY112" s="15"/>
      <c r="AZ112" s="14"/>
      <c r="BA112" s="23"/>
      <c r="BB112" s="15"/>
      <c r="BC112" s="25"/>
      <c r="BD112" s="23"/>
      <c r="BE112" s="15"/>
      <c r="BF112" s="14"/>
      <c r="BG112" s="23"/>
      <c r="BH112" s="15"/>
      <c r="BI112" s="25"/>
      <c r="BJ112" s="23"/>
      <c r="BK112" s="15"/>
      <c r="BL112" s="14"/>
      <c r="BM112" s="23"/>
      <c r="BN112" s="15"/>
      <c r="BO112" s="25"/>
      <c r="BP112" s="23"/>
      <c r="BQ112" s="15"/>
      <c r="BR112" s="14"/>
      <c r="BS112" s="23"/>
      <c r="BT112" s="15"/>
      <c r="BU112" s="25"/>
      <c r="BV112" s="23"/>
      <c r="BW112" s="15"/>
      <c r="BX112" s="14"/>
      <c r="BY112" s="23"/>
      <c r="BZ112" s="15"/>
    </row>
    <row r="113" customFormat="false" ht="15" hidden="false" customHeight="false" outlineLevel="0" collapsed="false">
      <c r="A113" s="14"/>
      <c r="B113" s="17" t="str">
        <f aca="false">IF($A113="","",IFERROR(INDEX(Policy!$B$2:$B$301,MATCH($A113,Policy!$A$2:$A$301,0)),"MRO không có"))</f>
        <v/>
      </c>
      <c r="C113" s="17" t="str">
        <f aca="false">IF($A113="","",IFERROR(INDEX(Policy!$E$2:$E$301,MATCH($A113,Policy!$A$2:$A$301,0)),"MRO không có"))</f>
        <v/>
      </c>
      <c r="D113" s="14"/>
      <c r="E113" s="15"/>
      <c r="F113" s="15"/>
      <c r="G113" s="25"/>
      <c r="H113" s="23"/>
      <c r="I113" s="15"/>
      <c r="J113" s="14"/>
      <c r="K113" s="23"/>
      <c r="L113" s="15"/>
      <c r="M113" s="25"/>
      <c r="N113" s="23"/>
      <c r="O113" s="15"/>
      <c r="P113" s="14"/>
      <c r="Q113" s="23"/>
      <c r="R113" s="15"/>
      <c r="S113" s="25"/>
      <c r="T113" s="23"/>
      <c r="U113" s="15"/>
      <c r="V113" s="14"/>
      <c r="W113" s="23"/>
      <c r="X113" s="15"/>
      <c r="Y113" s="25"/>
      <c r="Z113" s="23"/>
      <c r="AA113" s="15"/>
      <c r="AB113" s="14"/>
      <c r="AC113" s="23"/>
      <c r="AD113" s="15"/>
      <c r="AE113" s="25"/>
      <c r="AF113" s="23"/>
      <c r="AG113" s="15"/>
      <c r="AH113" s="14"/>
      <c r="AI113" s="23"/>
      <c r="AJ113" s="15"/>
      <c r="AK113" s="25"/>
      <c r="AL113" s="23"/>
      <c r="AM113" s="15"/>
      <c r="AN113" s="14"/>
      <c r="AO113" s="23"/>
      <c r="AP113" s="15"/>
      <c r="AQ113" s="25"/>
      <c r="AR113" s="23"/>
      <c r="AS113" s="15"/>
      <c r="AT113" s="14"/>
      <c r="AU113" s="23"/>
      <c r="AV113" s="15"/>
      <c r="AW113" s="25"/>
      <c r="AX113" s="23"/>
      <c r="AY113" s="15"/>
      <c r="AZ113" s="14"/>
      <c r="BA113" s="23"/>
      <c r="BB113" s="15"/>
      <c r="BC113" s="25"/>
      <c r="BD113" s="23"/>
      <c r="BE113" s="15"/>
      <c r="BF113" s="14"/>
      <c r="BG113" s="23"/>
      <c r="BH113" s="15"/>
      <c r="BI113" s="25"/>
      <c r="BJ113" s="23"/>
      <c r="BK113" s="15"/>
      <c r="BL113" s="14"/>
      <c r="BM113" s="23"/>
      <c r="BN113" s="15"/>
      <c r="BO113" s="25"/>
      <c r="BP113" s="23"/>
      <c r="BQ113" s="15"/>
      <c r="BR113" s="14"/>
      <c r="BS113" s="23"/>
      <c r="BT113" s="15"/>
      <c r="BU113" s="25"/>
      <c r="BV113" s="23"/>
      <c r="BW113" s="15"/>
      <c r="BX113" s="14"/>
      <c r="BY113" s="23"/>
      <c r="BZ113" s="15"/>
    </row>
    <row r="114" customFormat="false" ht="15" hidden="false" customHeight="false" outlineLevel="0" collapsed="false">
      <c r="A114" s="14"/>
      <c r="B114" s="17" t="str">
        <f aca="false">IF($A114="","",IFERROR(INDEX(Policy!$B$2:$B$301,MATCH($A114,Policy!$A$2:$A$301,0)),"MRO không có"))</f>
        <v/>
      </c>
      <c r="C114" s="17" t="str">
        <f aca="false">IF($A114="","",IFERROR(INDEX(Policy!$E$2:$E$301,MATCH($A114,Policy!$A$2:$A$301,0)),"MRO không có"))</f>
        <v/>
      </c>
      <c r="D114" s="14"/>
      <c r="E114" s="15"/>
      <c r="F114" s="15"/>
      <c r="G114" s="25"/>
      <c r="H114" s="23"/>
      <c r="I114" s="15"/>
      <c r="J114" s="14"/>
      <c r="K114" s="23"/>
      <c r="L114" s="15"/>
      <c r="M114" s="25"/>
      <c r="N114" s="23"/>
      <c r="O114" s="15"/>
      <c r="P114" s="14"/>
      <c r="Q114" s="23"/>
      <c r="R114" s="15"/>
      <c r="S114" s="25"/>
      <c r="T114" s="23"/>
      <c r="U114" s="15"/>
      <c r="V114" s="14"/>
      <c r="W114" s="23"/>
      <c r="X114" s="15"/>
      <c r="Y114" s="25"/>
      <c r="Z114" s="23"/>
      <c r="AA114" s="15"/>
      <c r="AB114" s="14"/>
      <c r="AC114" s="23"/>
      <c r="AD114" s="15"/>
      <c r="AE114" s="25"/>
      <c r="AF114" s="23"/>
      <c r="AG114" s="15"/>
      <c r="AH114" s="14"/>
      <c r="AI114" s="23"/>
      <c r="AJ114" s="15"/>
      <c r="AK114" s="25"/>
      <c r="AL114" s="23"/>
      <c r="AM114" s="15"/>
      <c r="AN114" s="14"/>
      <c r="AO114" s="23"/>
      <c r="AP114" s="15"/>
      <c r="AQ114" s="25"/>
      <c r="AR114" s="23"/>
      <c r="AS114" s="15"/>
      <c r="AT114" s="14"/>
      <c r="AU114" s="23"/>
      <c r="AV114" s="15"/>
      <c r="AW114" s="25"/>
      <c r="AX114" s="23"/>
      <c r="AY114" s="15"/>
      <c r="AZ114" s="14"/>
      <c r="BA114" s="23"/>
      <c r="BB114" s="15"/>
      <c r="BC114" s="25"/>
      <c r="BD114" s="23"/>
      <c r="BE114" s="15"/>
      <c r="BF114" s="14"/>
      <c r="BG114" s="23"/>
      <c r="BH114" s="15"/>
      <c r="BI114" s="25"/>
      <c r="BJ114" s="23"/>
      <c r="BK114" s="15"/>
      <c r="BL114" s="14"/>
      <c r="BM114" s="23"/>
      <c r="BN114" s="15"/>
      <c r="BO114" s="25"/>
      <c r="BP114" s="23"/>
      <c r="BQ114" s="15"/>
      <c r="BR114" s="14"/>
      <c r="BS114" s="23"/>
      <c r="BT114" s="15"/>
      <c r="BU114" s="25"/>
      <c r="BV114" s="23"/>
      <c r="BW114" s="15"/>
      <c r="BX114" s="14"/>
      <c r="BY114" s="23"/>
      <c r="BZ114" s="15"/>
    </row>
    <row r="115" customFormat="false" ht="15" hidden="false" customHeight="false" outlineLevel="0" collapsed="false">
      <c r="A115" s="14"/>
      <c r="B115" s="17" t="str">
        <f aca="false">IF($A115="","",IFERROR(INDEX(Policy!$B$2:$B$301,MATCH($A115,Policy!$A$2:$A$301,0)),"MRO không có"))</f>
        <v/>
      </c>
      <c r="C115" s="17" t="str">
        <f aca="false">IF($A115="","",IFERROR(INDEX(Policy!$E$2:$E$301,MATCH($A115,Policy!$A$2:$A$301,0)),"MRO không có"))</f>
        <v/>
      </c>
      <c r="D115" s="14"/>
      <c r="E115" s="15"/>
      <c r="F115" s="15"/>
      <c r="G115" s="25"/>
      <c r="H115" s="23"/>
      <c r="I115" s="15"/>
      <c r="J115" s="14"/>
      <c r="K115" s="23"/>
      <c r="L115" s="15"/>
      <c r="M115" s="25"/>
      <c r="N115" s="23"/>
      <c r="O115" s="15"/>
      <c r="P115" s="14"/>
      <c r="Q115" s="23"/>
      <c r="R115" s="15"/>
      <c r="S115" s="25"/>
      <c r="T115" s="23"/>
      <c r="U115" s="15"/>
      <c r="V115" s="14"/>
      <c r="W115" s="23"/>
      <c r="X115" s="15"/>
      <c r="Y115" s="25"/>
      <c r="Z115" s="23"/>
      <c r="AA115" s="15"/>
      <c r="AB115" s="14"/>
      <c r="AC115" s="23"/>
      <c r="AD115" s="15"/>
      <c r="AE115" s="25"/>
      <c r="AF115" s="23"/>
      <c r="AG115" s="15"/>
      <c r="AH115" s="14"/>
      <c r="AI115" s="23"/>
      <c r="AJ115" s="15"/>
      <c r="AK115" s="25"/>
      <c r="AL115" s="23"/>
      <c r="AM115" s="15"/>
      <c r="AN115" s="14"/>
      <c r="AO115" s="23"/>
      <c r="AP115" s="15"/>
      <c r="AQ115" s="25"/>
      <c r="AR115" s="23"/>
      <c r="AS115" s="15"/>
      <c r="AT115" s="14"/>
      <c r="AU115" s="23"/>
      <c r="AV115" s="15"/>
      <c r="AW115" s="25"/>
      <c r="AX115" s="23"/>
      <c r="AY115" s="15"/>
      <c r="AZ115" s="14"/>
      <c r="BA115" s="23"/>
      <c r="BB115" s="15"/>
      <c r="BC115" s="25"/>
      <c r="BD115" s="23"/>
      <c r="BE115" s="15"/>
      <c r="BF115" s="14"/>
      <c r="BG115" s="23"/>
      <c r="BH115" s="15"/>
      <c r="BI115" s="25"/>
      <c r="BJ115" s="23"/>
      <c r="BK115" s="15"/>
      <c r="BL115" s="14"/>
      <c r="BM115" s="23"/>
      <c r="BN115" s="15"/>
      <c r="BO115" s="25"/>
      <c r="BP115" s="23"/>
      <c r="BQ115" s="15"/>
      <c r="BR115" s="14"/>
      <c r="BS115" s="23"/>
      <c r="BT115" s="15"/>
      <c r="BU115" s="25"/>
      <c r="BV115" s="23"/>
      <c r="BW115" s="15"/>
      <c r="BX115" s="14"/>
      <c r="BY115" s="23"/>
      <c r="BZ115" s="15"/>
    </row>
    <row r="116" customFormat="false" ht="15" hidden="false" customHeight="false" outlineLevel="0" collapsed="false">
      <c r="A116" s="14"/>
      <c r="B116" s="17" t="str">
        <f aca="false">IF($A116="","",IFERROR(INDEX(Policy!$B$2:$B$301,MATCH($A116,Policy!$A$2:$A$301,0)),"MRO không có"))</f>
        <v/>
      </c>
      <c r="C116" s="17" t="str">
        <f aca="false">IF($A116="","",IFERROR(INDEX(Policy!$E$2:$E$301,MATCH($A116,Policy!$A$2:$A$301,0)),"MRO không có"))</f>
        <v/>
      </c>
      <c r="D116" s="14"/>
      <c r="E116" s="15"/>
      <c r="F116" s="15"/>
      <c r="G116" s="25"/>
      <c r="H116" s="23"/>
      <c r="I116" s="15"/>
      <c r="J116" s="14"/>
      <c r="K116" s="23"/>
      <c r="L116" s="15"/>
      <c r="M116" s="25"/>
      <c r="N116" s="23"/>
      <c r="O116" s="15"/>
      <c r="P116" s="14"/>
      <c r="Q116" s="23"/>
      <c r="R116" s="15"/>
      <c r="S116" s="25"/>
      <c r="T116" s="23"/>
      <c r="U116" s="15"/>
      <c r="V116" s="14"/>
      <c r="W116" s="23"/>
      <c r="X116" s="15"/>
      <c r="Y116" s="25"/>
      <c r="Z116" s="23"/>
      <c r="AA116" s="15"/>
      <c r="AB116" s="14"/>
      <c r="AC116" s="23"/>
      <c r="AD116" s="15"/>
      <c r="AE116" s="25"/>
      <c r="AF116" s="23"/>
      <c r="AG116" s="15"/>
      <c r="AH116" s="14"/>
      <c r="AI116" s="23"/>
      <c r="AJ116" s="15"/>
      <c r="AK116" s="25"/>
      <c r="AL116" s="23"/>
      <c r="AM116" s="15"/>
      <c r="AN116" s="14"/>
      <c r="AO116" s="23"/>
      <c r="AP116" s="15"/>
      <c r="AQ116" s="25"/>
      <c r="AR116" s="23"/>
      <c r="AS116" s="15"/>
      <c r="AT116" s="14"/>
      <c r="AU116" s="23"/>
      <c r="AV116" s="15"/>
      <c r="AW116" s="25"/>
      <c r="AX116" s="23"/>
      <c r="AY116" s="15"/>
      <c r="AZ116" s="14"/>
      <c r="BA116" s="23"/>
      <c r="BB116" s="15"/>
      <c r="BC116" s="25"/>
      <c r="BD116" s="23"/>
      <c r="BE116" s="15"/>
      <c r="BF116" s="14"/>
      <c r="BG116" s="23"/>
      <c r="BH116" s="15"/>
      <c r="BI116" s="25"/>
      <c r="BJ116" s="23"/>
      <c r="BK116" s="15"/>
      <c r="BL116" s="14"/>
      <c r="BM116" s="23"/>
      <c r="BN116" s="15"/>
      <c r="BO116" s="25"/>
      <c r="BP116" s="23"/>
      <c r="BQ116" s="15"/>
      <c r="BR116" s="14"/>
      <c r="BS116" s="23"/>
      <c r="BT116" s="15"/>
      <c r="BU116" s="25"/>
      <c r="BV116" s="23"/>
      <c r="BW116" s="15"/>
      <c r="BX116" s="14"/>
      <c r="BY116" s="23"/>
      <c r="BZ116" s="15"/>
    </row>
    <row r="117" customFormat="false" ht="15" hidden="false" customHeight="false" outlineLevel="0" collapsed="false">
      <c r="A117" s="14"/>
      <c r="B117" s="17" t="str">
        <f aca="false">IF($A117="","",IFERROR(INDEX(Policy!$B$2:$B$301,MATCH($A117,Policy!$A$2:$A$301,0)),"MRO không có"))</f>
        <v/>
      </c>
      <c r="C117" s="17" t="str">
        <f aca="false">IF($A117="","",IFERROR(INDEX(Policy!$E$2:$E$301,MATCH($A117,Policy!$A$2:$A$301,0)),"MRO không có"))</f>
        <v/>
      </c>
      <c r="D117" s="14"/>
      <c r="E117" s="15"/>
      <c r="F117" s="15"/>
      <c r="G117" s="25"/>
      <c r="H117" s="23"/>
      <c r="I117" s="15"/>
      <c r="J117" s="14"/>
      <c r="K117" s="23"/>
      <c r="L117" s="15"/>
      <c r="M117" s="25"/>
      <c r="N117" s="23"/>
      <c r="O117" s="15"/>
      <c r="P117" s="14"/>
      <c r="Q117" s="23"/>
      <c r="R117" s="15"/>
      <c r="S117" s="25"/>
      <c r="T117" s="23"/>
      <c r="U117" s="15"/>
      <c r="V117" s="14"/>
      <c r="W117" s="23"/>
      <c r="X117" s="15"/>
      <c r="Y117" s="25"/>
      <c r="Z117" s="23"/>
      <c r="AA117" s="15"/>
      <c r="AB117" s="14"/>
      <c r="AC117" s="23"/>
      <c r="AD117" s="15"/>
      <c r="AE117" s="25"/>
      <c r="AF117" s="23"/>
      <c r="AG117" s="15"/>
      <c r="AH117" s="14"/>
      <c r="AI117" s="23"/>
      <c r="AJ117" s="15"/>
      <c r="AK117" s="25"/>
      <c r="AL117" s="23"/>
      <c r="AM117" s="15"/>
      <c r="AN117" s="14"/>
      <c r="AO117" s="23"/>
      <c r="AP117" s="15"/>
      <c r="AQ117" s="25"/>
      <c r="AR117" s="23"/>
      <c r="AS117" s="15"/>
      <c r="AT117" s="14"/>
      <c r="AU117" s="23"/>
      <c r="AV117" s="15"/>
      <c r="AW117" s="25"/>
      <c r="AX117" s="23"/>
      <c r="AY117" s="15"/>
      <c r="AZ117" s="14"/>
      <c r="BA117" s="23"/>
      <c r="BB117" s="15"/>
      <c r="BC117" s="25"/>
      <c r="BD117" s="23"/>
      <c r="BE117" s="15"/>
      <c r="BF117" s="14"/>
      <c r="BG117" s="23"/>
      <c r="BH117" s="15"/>
      <c r="BI117" s="25"/>
      <c r="BJ117" s="23"/>
      <c r="BK117" s="15"/>
      <c r="BL117" s="14"/>
      <c r="BM117" s="23"/>
      <c r="BN117" s="15"/>
      <c r="BO117" s="25"/>
      <c r="BP117" s="23"/>
      <c r="BQ117" s="15"/>
      <c r="BR117" s="14"/>
      <c r="BS117" s="23"/>
      <c r="BT117" s="15"/>
      <c r="BU117" s="25"/>
      <c r="BV117" s="23"/>
      <c r="BW117" s="15"/>
      <c r="BX117" s="14"/>
      <c r="BY117" s="23"/>
      <c r="BZ117" s="15"/>
    </row>
    <row r="118" customFormat="false" ht="15" hidden="false" customHeight="false" outlineLevel="0" collapsed="false">
      <c r="A118" s="14"/>
      <c r="B118" s="17" t="str">
        <f aca="false">IF($A118="","",IFERROR(INDEX(Policy!$B$2:$B$301,MATCH($A118,Policy!$A$2:$A$301,0)),"MRO không có"))</f>
        <v/>
      </c>
      <c r="C118" s="17" t="str">
        <f aca="false">IF($A118="","",IFERROR(INDEX(Policy!$E$2:$E$301,MATCH($A118,Policy!$A$2:$A$301,0)),"MRO không có"))</f>
        <v/>
      </c>
      <c r="D118" s="14"/>
      <c r="E118" s="15"/>
      <c r="F118" s="15"/>
      <c r="G118" s="25"/>
      <c r="H118" s="23"/>
      <c r="I118" s="15"/>
      <c r="J118" s="14"/>
      <c r="K118" s="23"/>
      <c r="L118" s="15"/>
      <c r="M118" s="25"/>
      <c r="N118" s="23"/>
      <c r="O118" s="15"/>
      <c r="P118" s="14"/>
      <c r="Q118" s="23"/>
      <c r="R118" s="15"/>
      <c r="S118" s="25"/>
      <c r="T118" s="23"/>
      <c r="U118" s="15"/>
      <c r="V118" s="14"/>
      <c r="W118" s="23"/>
      <c r="X118" s="15"/>
      <c r="Y118" s="25"/>
      <c r="Z118" s="23"/>
      <c r="AA118" s="15"/>
      <c r="AB118" s="14"/>
      <c r="AC118" s="23"/>
      <c r="AD118" s="15"/>
      <c r="AE118" s="25"/>
      <c r="AF118" s="23"/>
      <c r="AG118" s="15"/>
      <c r="AH118" s="14"/>
      <c r="AI118" s="23"/>
      <c r="AJ118" s="15"/>
      <c r="AK118" s="25"/>
      <c r="AL118" s="23"/>
      <c r="AM118" s="15"/>
      <c r="AN118" s="14"/>
      <c r="AO118" s="23"/>
      <c r="AP118" s="15"/>
      <c r="AQ118" s="25"/>
      <c r="AR118" s="23"/>
      <c r="AS118" s="15"/>
      <c r="AT118" s="14"/>
      <c r="AU118" s="23"/>
      <c r="AV118" s="15"/>
      <c r="AW118" s="25"/>
      <c r="AX118" s="23"/>
      <c r="AY118" s="15"/>
      <c r="AZ118" s="14"/>
      <c r="BA118" s="23"/>
      <c r="BB118" s="15"/>
      <c r="BC118" s="25"/>
      <c r="BD118" s="23"/>
      <c r="BE118" s="15"/>
      <c r="BF118" s="14"/>
      <c r="BG118" s="23"/>
      <c r="BH118" s="15"/>
      <c r="BI118" s="25"/>
      <c r="BJ118" s="23"/>
      <c r="BK118" s="15"/>
      <c r="BL118" s="14"/>
      <c r="BM118" s="23"/>
      <c r="BN118" s="15"/>
      <c r="BO118" s="25"/>
      <c r="BP118" s="23"/>
      <c r="BQ118" s="15"/>
      <c r="BR118" s="14"/>
      <c r="BS118" s="23"/>
      <c r="BT118" s="15"/>
      <c r="BU118" s="25"/>
      <c r="BV118" s="23"/>
      <c r="BW118" s="15"/>
      <c r="BX118" s="14"/>
      <c r="BY118" s="23"/>
      <c r="BZ118" s="15"/>
    </row>
    <row r="119" customFormat="false" ht="15" hidden="false" customHeight="false" outlineLevel="0" collapsed="false">
      <c r="A119" s="14"/>
      <c r="B119" s="17" t="str">
        <f aca="false">IF($A119="","",IFERROR(INDEX(Policy!$B$2:$B$301,MATCH($A119,Policy!$A$2:$A$301,0)),"MRO không có"))</f>
        <v/>
      </c>
      <c r="C119" s="17" t="str">
        <f aca="false">IF($A119="","",IFERROR(INDEX(Policy!$E$2:$E$301,MATCH($A119,Policy!$A$2:$A$301,0)),"MRO không có"))</f>
        <v/>
      </c>
      <c r="D119" s="14"/>
      <c r="E119" s="15"/>
      <c r="F119" s="15"/>
      <c r="G119" s="25"/>
      <c r="H119" s="23"/>
      <c r="I119" s="15"/>
      <c r="J119" s="14"/>
      <c r="K119" s="23"/>
      <c r="L119" s="15"/>
      <c r="M119" s="25"/>
      <c r="N119" s="23"/>
      <c r="O119" s="15"/>
      <c r="P119" s="14"/>
      <c r="Q119" s="23"/>
      <c r="R119" s="15"/>
      <c r="S119" s="25"/>
      <c r="T119" s="23"/>
      <c r="U119" s="15"/>
      <c r="V119" s="14"/>
      <c r="W119" s="23"/>
      <c r="X119" s="15"/>
      <c r="Y119" s="25"/>
      <c r="Z119" s="23"/>
      <c r="AA119" s="15"/>
      <c r="AB119" s="14"/>
      <c r="AC119" s="23"/>
      <c r="AD119" s="15"/>
      <c r="AE119" s="25"/>
      <c r="AF119" s="23"/>
      <c r="AG119" s="15"/>
      <c r="AH119" s="14"/>
      <c r="AI119" s="23"/>
      <c r="AJ119" s="15"/>
      <c r="AK119" s="25"/>
      <c r="AL119" s="23"/>
      <c r="AM119" s="15"/>
      <c r="AN119" s="14"/>
      <c r="AO119" s="23"/>
      <c r="AP119" s="15"/>
      <c r="AQ119" s="25"/>
      <c r="AR119" s="23"/>
      <c r="AS119" s="15"/>
      <c r="AT119" s="14"/>
      <c r="AU119" s="23"/>
      <c r="AV119" s="15"/>
      <c r="AW119" s="25"/>
      <c r="AX119" s="23"/>
      <c r="AY119" s="15"/>
      <c r="AZ119" s="14"/>
      <c r="BA119" s="23"/>
      <c r="BB119" s="15"/>
      <c r="BC119" s="25"/>
      <c r="BD119" s="23"/>
      <c r="BE119" s="15"/>
      <c r="BF119" s="14"/>
      <c r="BG119" s="23"/>
      <c r="BH119" s="15"/>
      <c r="BI119" s="25"/>
      <c r="BJ119" s="23"/>
      <c r="BK119" s="15"/>
      <c r="BL119" s="14"/>
      <c r="BM119" s="23"/>
      <c r="BN119" s="15"/>
      <c r="BO119" s="25"/>
      <c r="BP119" s="23"/>
      <c r="BQ119" s="15"/>
      <c r="BR119" s="14"/>
      <c r="BS119" s="23"/>
      <c r="BT119" s="15"/>
      <c r="BU119" s="25"/>
      <c r="BV119" s="23"/>
      <c r="BW119" s="15"/>
      <c r="BX119" s="14"/>
      <c r="BY119" s="23"/>
      <c r="BZ119" s="15"/>
    </row>
    <row r="120" customFormat="false" ht="15" hidden="false" customHeight="false" outlineLevel="0" collapsed="false">
      <c r="A120" s="14"/>
      <c r="B120" s="17" t="str">
        <f aca="false">IF($A120="","",IFERROR(INDEX(Policy!$B$2:$B$301,MATCH($A120,Policy!$A$2:$A$301,0)),"MRO không có"))</f>
        <v/>
      </c>
      <c r="C120" s="17" t="str">
        <f aca="false">IF($A120="","",IFERROR(INDEX(Policy!$E$2:$E$301,MATCH($A120,Policy!$A$2:$A$301,0)),"MRO không có"))</f>
        <v/>
      </c>
      <c r="D120" s="14"/>
      <c r="E120" s="15"/>
      <c r="F120" s="15"/>
      <c r="G120" s="25"/>
      <c r="H120" s="23"/>
      <c r="I120" s="15"/>
      <c r="J120" s="14"/>
      <c r="K120" s="23"/>
      <c r="L120" s="15"/>
      <c r="M120" s="25"/>
      <c r="N120" s="23"/>
      <c r="O120" s="15"/>
      <c r="P120" s="14"/>
      <c r="Q120" s="23"/>
      <c r="R120" s="15"/>
      <c r="S120" s="25"/>
      <c r="T120" s="23"/>
      <c r="U120" s="15"/>
      <c r="V120" s="14"/>
      <c r="W120" s="23"/>
      <c r="X120" s="15"/>
      <c r="Y120" s="25"/>
      <c r="Z120" s="23"/>
      <c r="AA120" s="15"/>
      <c r="AB120" s="14"/>
      <c r="AC120" s="23"/>
      <c r="AD120" s="15"/>
      <c r="AE120" s="25"/>
      <c r="AF120" s="23"/>
      <c r="AG120" s="15"/>
      <c r="AH120" s="14"/>
      <c r="AI120" s="23"/>
      <c r="AJ120" s="15"/>
      <c r="AK120" s="25"/>
      <c r="AL120" s="23"/>
      <c r="AM120" s="15"/>
      <c r="AN120" s="14"/>
      <c r="AO120" s="23"/>
      <c r="AP120" s="15"/>
      <c r="AQ120" s="25"/>
      <c r="AR120" s="23"/>
      <c r="AS120" s="15"/>
      <c r="AT120" s="14"/>
      <c r="AU120" s="23"/>
      <c r="AV120" s="15"/>
      <c r="AW120" s="25"/>
      <c r="AX120" s="23"/>
      <c r="AY120" s="15"/>
      <c r="AZ120" s="14"/>
      <c r="BA120" s="23"/>
      <c r="BB120" s="15"/>
      <c r="BC120" s="25"/>
      <c r="BD120" s="23"/>
      <c r="BE120" s="15"/>
      <c r="BF120" s="14"/>
      <c r="BG120" s="23"/>
      <c r="BH120" s="15"/>
      <c r="BI120" s="25"/>
      <c r="BJ120" s="23"/>
      <c r="BK120" s="15"/>
      <c r="BL120" s="14"/>
      <c r="BM120" s="23"/>
      <c r="BN120" s="15"/>
      <c r="BO120" s="25"/>
      <c r="BP120" s="23"/>
      <c r="BQ120" s="15"/>
      <c r="BR120" s="14"/>
      <c r="BS120" s="23"/>
      <c r="BT120" s="15"/>
      <c r="BU120" s="25"/>
      <c r="BV120" s="23"/>
      <c r="BW120" s="15"/>
      <c r="BX120" s="14"/>
      <c r="BY120" s="23"/>
      <c r="BZ120" s="15"/>
    </row>
    <row r="121" customFormat="false" ht="15" hidden="false" customHeight="false" outlineLevel="0" collapsed="false">
      <c r="A121" s="14"/>
      <c r="B121" s="17" t="str">
        <f aca="false">IF($A121="","",IFERROR(INDEX(Policy!$B$2:$B$301,MATCH($A121,Policy!$A$2:$A$301,0)),"MRO không có"))</f>
        <v/>
      </c>
      <c r="C121" s="17" t="str">
        <f aca="false">IF($A121="","",IFERROR(INDEX(Policy!$E$2:$E$301,MATCH($A121,Policy!$A$2:$A$301,0)),"MRO không có"))</f>
        <v/>
      </c>
      <c r="D121" s="14"/>
      <c r="E121" s="15"/>
      <c r="F121" s="15"/>
      <c r="G121" s="25"/>
      <c r="H121" s="23"/>
      <c r="I121" s="15"/>
      <c r="J121" s="14"/>
      <c r="K121" s="23"/>
      <c r="L121" s="15"/>
      <c r="M121" s="25"/>
      <c r="N121" s="23"/>
      <c r="O121" s="15"/>
      <c r="P121" s="14"/>
      <c r="Q121" s="23"/>
      <c r="R121" s="15"/>
      <c r="S121" s="25"/>
      <c r="T121" s="23"/>
      <c r="U121" s="15"/>
      <c r="V121" s="14"/>
      <c r="W121" s="23"/>
      <c r="X121" s="15"/>
      <c r="Y121" s="25"/>
      <c r="Z121" s="23"/>
      <c r="AA121" s="15"/>
      <c r="AB121" s="14"/>
      <c r="AC121" s="23"/>
      <c r="AD121" s="15"/>
      <c r="AE121" s="25"/>
      <c r="AF121" s="23"/>
      <c r="AG121" s="15"/>
      <c r="AH121" s="14"/>
      <c r="AI121" s="23"/>
      <c r="AJ121" s="15"/>
      <c r="AK121" s="25"/>
      <c r="AL121" s="23"/>
      <c r="AM121" s="15"/>
      <c r="AN121" s="14"/>
      <c r="AO121" s="23"/>
      <c r="AP121" s="15"/>
      <c r="AQ121" s="25"/>
      <c r="AR121" s="23"/>
      <c r="AS121" s="15"/>
      <c r="AT121" s="14"/>
      <c r="AU121" s="23"/>
      <c r="AV121" s="15"/>
      <c r="AW121" s="25"/>
      <c r="AX121" s="23"/>
      <c r="AY121" s="15"/>
      <c r="AZ121" s="14"/>
      <c r="BA121" s="23"/>
      <c r="BB121" s="15"/>
      <c r="BC121" s="25"/>
      <c r="BD121" s="23"/>
      <c r="BE121" s="15"/>
      <c r="BF121" s="14"/>
      <c r="BG121" s="23"/>
      <c r="BH121" s="15"/>
      <c r="BI121" s="25"/>
      <c r="BJ121" s="23"/>
      <c r="BK121" s="15"/>
      <c r="BL121" s="14"/>
      <c r="BM121" s="23"/>
      <c r="BN121" s="15"/>
      <c r="BO121" s="25"/>
      <c r="BP121" s="23"/>
      <c r="BQ121" s="15"/>
      <c r="BR121" s="14"/>
      <c r="BS121" s="23"/>
      <c r="BT121" s="15"/>
      <c r="BU121" s="25"/>
      <c r="BV121" s="23"/>
      <c r="BW121" s="15"/>
      <c r="BX121" s="14"/>
      <c r="BY121" s="23"/>
      <c r="BZ121" s="15"/>
    </row>
    <row r="122" customFormat="false" ht="15" hidden="false" customHeight="false" outlineLevel="0" collapsed="false">
      <c r="A122" s="14"/>
      <c r="B122" s="17" t="str">
        <f aca="false">IF($A122="","",IFERROR(INDEX(Policy!$B$2:$B$301,MATCH($A122,Policy!$A$2:$A$301,0)),"MRO không có"))</f>
        <v/>
      </c>
      <c r="C122" s="17" t="str">
        <f aca="false">IF($A122="","",IFERROR(INDEX(Policy!$E$2:$E$301,MATCH($A122,Policy!$A$2:$A$301,0)),"MRO không có"))</f>
        <v/>
      </c>
      <c r="D122" s="14"/>
      <c r="E122" s="15"/>
      <c r="F122" s="15"/>
      <c r="G122" s="25"/>
      <c r="H122" s="23"/>
      <c r="I122" s="15"/>
      <c r="J122" s="14"/>
      <c r="K122" s="23"/>
      <c r="L122" s="15"/>
      <c r="M122" s="25"/>
      <c r="N122" s="23"/>
      <c r="O122" s="15"/>
      <c r="P122" s="14"/>
      <c r="Q122" s="23"/>
      <c r="R122" s="15"/>
      <c r="S122" s="25"/>
      <c r="T122" s="23"/>
      <c r="U122" s="15"/>
      <c r="V122" s="14"/>
      <c r="W122" s="23"/>
      <c r="X122" s="15"/>
      <c r="Y122" s="25"/>
      <c r="Z122" s="23"/>
      <c r="AA122" s="15"/>
      <c r="AB122" s="14"/>
      <c r="AC122" s="23"/>
      <c r="AD122" s="15"/>
      <c r="AE122" s="25"/>
      <c r="AF122" s="23"/>
      <c r="AG122" s="15"/>
      <c r="AH122" s="14"/>
      <c r="AI122" s="23"/>
      <c r="AJ122" s="15"/>
      <c r="AK122" s="25"/>
      <c r="AL122" s="23"/>
      <c r="AM122" s="15"/>
      <c r="AN122" s="14"/>
      <c r="AO122" s="23"/>
      <c r="AP122" s="15"/>
      <c r="AQ122" s="25"/>
      <c r="AR122" s="23"/>
      <c r="AS122" s="15"/>
      <c r="AT122" s="14"/>
      <c r="AU122" s="23"/>
      <c r="AV122" s="15"/>
      <c r="AW122" s="25"/>
      <c r="AX122" s="23"/>
      <c r="AY122" s="15"/>
      <c r="AZ122" s="14"/>
      <c r="BA122" s="23"/>
      <c r="BB122" s="15"/>
      <c r="BC122" s="25"/>
      <c r="BD122" s="23"/>
      <c r="BE122" s="15"/>
      <c r="BF122" s="14"/>
      <c r="BG122" s="23"/>
      <c r="BH122" s="15"/>
      <c r="BI122" s="25"/>
      <c r="BJ122" s="23"/>
      <c r="BK122" s="15"/>
      <c r="BL122" s="14"/>
      <c r="BM122" s="23"/>
      <c r="BN122" s="15"/>
      <c r="BO122" s="25"/>
      <c r="BP122" s="23"/>
      <c r="BQ122" s="15"/>
      <c r="BR122" s="14"/>
      <c r="BS122" s="23"/>
      <c r="BT122" s="15"/>
      <c r="BU122" s="25"/>
      <c r="BV122" s="23"/>
      <c r="BW122" s="15"/>
      <c r="BX122" s="14"/>
      <c r="BY122" s="23"/>
      <c r="BZ122" s="15"/>
    </row>
    <row r="123" customFormat="false" ht="15" hidden="false" customHeight="false" outlineLevel="0" collapsed="false">
      <c r="A123" s="14"/>
      <c r="B123" s="17" t="str">
        <f aca="false">IF($A123="","",IFERROR(INDEX(Policy!$B$2:$B$301,MATCH($A123,Policy!$A$2:$A$301,0)),"MRO không có"))</f>
        <v/>
      </c>
      <c r="C123" s="17" t="str">
        <f aca="false">IF($A123="","",IFERROR(INDEX(Policy!$E$2:$E$301,MATCH($A123,Policy!$A$2:$A$301,0)),"MRO không có"))</f>
        <v/>
      </c>
      <c r="D123" s="14"/>
      <c r="E123" s="15"/>
      <c r="F123" s="15"/>
      <c r="G123" s="25"/>
      <c r="H123" s="23"/>
      <c r="I123" s="15"/>
      <c r="J123" s="14"/>
      <c r="K123" s="23"/>
      <c r="L123" s="15"/>
      <c r="M123" s="25"/>
      <c r="N123" s="23"/>
      <c r="O123" s="15"/>
      <c r="P123" s="14"/>
      <c r="Q123" s="23"/>
      <c r="R123" s="15"/>
      <c r="S123" s="25"/>
      <c r="T123" s="23"/>
      <c r="U123" s="15"/>
      <c r="V123" s="14"/>
      <c r="W123" s="23"/>
      <c r="X123" s="15"/>
      <c r="Y123" s="25"/>
      <c r="Z123" s="23"/>
      <c r="AA123" s="15"/>
      <c r="AB123" s="14"/>
      <c r="AC123" s="23"/>
      <c r="AD123" s="15"/>
      <c r="AE123" s="25"/>
      <c r="AF123" s="23"/>
      <c r="AG123" s="15"/>
      <c r="AH123" s="14"/>
      <c r="AI123" s="23"/>
      <c r="AJ123" s="15"/>
      <c r="AK123" s="25"/>
      <c r="AL123" s="23"/>
      <c r="AM123" s="15"/>
      <c r="AN123" s="14"/>
      <c r="AO123" s="23"/>
      <c r="AP123" s="15"/>
      <c r="AQ123" s="25"/>
      <c r="AR123" s="23"/>
      <c r="AS123" s="15"/>
      <c r="AT123" s="14"/>
      <c r="AU123" s="23"/>
      <c r="AV123" s="15"/>
      <c r="AW123" s="25"/>
      <c r="AX123" s="23"/>
      <c r="AY123" s="15"/>
      <c r="AZ123" s="14"/>
      <c r="BA123" s="23"/>
      <c r="BB123" s="15"/>
      <c r="BC123" s="25"/>
      <c r="BD123" s="23"/>
      <c r="BE123" s="15"/>
      <c r="BF123" s="14"/>
      <c r="BG123" s="23"/>
      <c r="BH123" s="15"/>
      <c r="BI123" s="25"/>
      <c r="BJ123" s="23"/>
      <c r="BK123" s="15"/>
      <c r="BL123" s="14"/>
      <c r="BM123" s="23"/>
      <c r="BN123" s="15"/>
      <c r="BO123" s="25"/>
      <c r="BP123" s="23"/>
      <c r="BQ123" s="15"/>
      <c r="BR123" s="14"/>
      <c r="BS123" s="23"/>
      <c r="BT123" s="15"/>
      <c r="BU123" s="25"/>
      <c r="BV123" s="23"/>
      <c r="BW123" s="15"/>
      <c r="BX123" s="14"/>
      <c r="BY123" s="23"/>
      <c r="BZ123" s="15"/>
    </row>
    <row r="124" customFormat="false" ht="15" hidden="false" customHeight="false" outlineLevel="0" collapsed="false">
      <c r="A124" s="14"/>
      <c r="B124" s="17" t="str">
        <f aca="false">IF($A124="","",IFERROR(INDEX(Policy!$B$2:$B$301,MATCH($A124,Policy!$A$2:$A$301,0)),"MRO không có"))</f>
        <v/>
      </c>
      <c r="C124" s="17" t="str">
        <f aca="false">IF($A124="","",IFERROR(INDEX(Policy!$E$2:$E$301,MATCH($A124,Policy!$A$2:$A$301,0)),"MRO không có"))</f>
        <v/>
      </c>
      <c r="D124" s="14"/>
      <c r="E124" s="15"/>
      <c r="F124" s="15"/>
      <c r="G124" s="25"/>
      <c r="H124" s="23"/>
      <c r="I124" s="15"/>
      <c r="J124" s="14"/>
      <c r="K124" s="23"/>
      <c r="L124" s="15"/>
      <c r="M124" s="25"/>
      <c r="N124" s="23"/>
      <c r="O124" s="15"/>
      <c r="P124" s="14"/>
      <c r="Q124" s="23"/>
      <c r="R124" s="15"/>
      <c r="S124" s="25"/>
      <c r="T124" s="23"/>
      <c r="U124" s="15"/>
      <c r="V124" s="14"/>
      <c r="W124" s="23"/>
      <c r="X124" s="15"/>
      <c r="Y124" s="25"/>
      <c r="Z124" s="23"/>
      <c r="AA124" s="15"/>
      <c r="AB124" s="14"/>
      <c r="AC124" s="23"/>
      <c r="AD124" s="15"/>
      <c r="AE124" s="25"/>
      <c r="AF124" s="23"/>
      <c r="AG124" s="15"/>
      <c r="AH124" s="14"/>
      <c r="AI124" s="23"/>
      <c r="AJ124" s="15"/>
      <c r="AK124" s="25"/>
      <c r="AL124" s="23"/>
      <c r="AM124" s="15"/>
      <c r="AN124" s="14"/>
      <c r="AO124" s="23"/>
      <c r="AP124" s="15"/>
      <c r="AQ124" s="25"/>
      <c r="AR124" s="23"/>
      <c r="AS124" s="15"/>
      <c r="AT124" s="14"/>
      <c r="AU124" s="23"/>
      <c r="AV124" s="15"/>
      <c r="AW124" s="25"/>
      <c r="AX124" s="23"/>
      <c r="AY124" s="15"/>
      <c r="AZ124" s="14"/>
      <c r="BA124" s="23"/>
      <c r="BB124" s="15"/>
      <c r="BC124" s="25"/>
      <c r="BD124" s="23"/>
      <c r="BE124" s="15"/>
      <c r="BF124" s="14"/>
      <c r="BG124" s="23"/>
      <c r="BH124" s="15"/>
      <c r="BI124" s="25"/>
      <c r="BJ124" s="23"/>
      <c r="BK124" s="15"/>
      <c r="BL124" s="14"/>
      <c r="BM124" s="23"/>
      <c r="BN124" s="15"/>
      <c r="BO124" s="25"/>
      <c r="BP124" s="23"/>
      <c r="BQ124" s="15"/>
      <c r="BR124" s="14"/>
      <c r="BS124" s="23"/>
      <c r="BT124" s="15"/>
      <c r="BU124" s="25"/>
      <c r="BV124" s="23"/>
      <c r="BW124" s="15"/>
      <c r="BX124" s="14"/>
      <c r="BY124" s="23"/>
      <c r="BZ124" s="15"/>
    </row>
    <row r="125" customFormat="false" ht="15" hidden="false" customHeight="false" outlineLevel="0" collapsed="false">
      <c r="A125" s="14"/>
      <c r="B125" s="17" t="str">
        <f aca="false">IF($A125="","",IFERROR(INDEX(Policy!$B$2:$B$301,MATCH($A125,Policy!$A$2:$A$301,0)),"MRO không có"))</f>
        <v/>
      </c>
      <c r="C125" s="17" t="str">
        <f aca="false">IF($A125="","",IFERROR(INDEX(Policy!$E$2:$E$301,MATCH($A125,Policy!$A$2:$A$301,0)),"MRO không có"))</f>
        <v/>
      </c>
      <c r="D125" s="14"/>
      <c r="E125" s="15"/>
      <c r="F125" s="15"/>
      <c r="G125" s="25"/>
      <c r="H125" s="23"/>
      <c r="I125" s="15"/>
      <c r="J125" s="14"/>
      <c r="K125" s="23"/>
      <c r="L125" s="15"/>
      <c r="M125" s="25"/>
      <c r="N125" s="23"/>
      <c r="O125" s="15"/>
      <c r="P125" s="14"/>
      <c r="Q125" s="23"/>
      <c r="R125" s="15"/>
      <c r="S125" s="25"/>
      <c r="T125" s="23"/>
      <c r="U125" s="15"/>
      <c r="V125" s="14"/>
      <c r="W125" s="23"/>
      <c r="X125" s="15"/>
      <c r="Y125" s="25"/>
      <c r="Z125" s="23"/>
      <c r="AA125" s="15"/>
      <c r="AB125" s="14"/>
      <c r="AC125" s="23"/>
      <c r="AD125" s="15"/>
      <c r="AE125" s="25"/>
      <c r="AF125" s="23"/>
      <c r="AG125" s="15"/>
      <c r="AH125" s="14"/>
      <c r="AI125" s="23"/>
      <c r="AJ125" s="15"/>
      <c r="AK125" s="25"/>
      <c r="AL125" s="23"/>
      <c r="AM125" s="15"/>
      <c r="AN125" s="14"/>
      <c r="AO125" s="23"/>
      <c r="AP125" s="15"/>
      <c r="AQ125" s="25"/>
      <c r="AR125" s="23"/>
      <c r="AS125" s="15"/>
      <c r="AT125" s="14"/>
      <c r="AU125" s="23"/>
      <c r="AV125" s="15"/>
      <c r="AW125" s="25"/>
      <c r="AX125" s="23"/>
      <c r="AY125" s="15"/>
      <c r="AZ125" s="14"/>
      <c r="BA125" s="23"/>
      <c r="BB125" s="15"/>
      <c r="BC125" s="25"/>
      <c r="BD125" s="23"/>
      <c r="BE125" s="15"/>
      <c r="BF125" s="14"/>
      <c r="BG125" s="23"/>
      <c r="BH125" s="15"/>
      <c r="BI125" s="25"/>
      <c r="BJ125" s="23"/>
      <c r="BK125" s="15"/>
      <c r="BL125" s="14"/>
      <c r="BM125" s="23"/>
      <c r="BN125" s="15"/>
      <c r="BO125" s="25"/>
      <c r="BP125" s="23"/>
      <c r="BQ125" s="15"/>
      <c r="BR125" s="14"/>
      <c r="BS125" s="23"/>
      <c r="BT125" s="15"/>
      <c r="BU125" s="25"/>
      <c r="BV125" s="23"/>
      <c r="BW125" s="15"/>
      <c r="BX125" s="14"/>
      <c r="BY125" s="23"/>
      <c r="BZ125" s="15"/>
    </row>
    <row r="126" customFormat="false" ht="15" hidden="false" customHeight="false" outlineLevel="0" collapsed="false">
      <c r="A126" s="14"/>
      <c r="B126" s="17" t="str">
        <f aca="false">IF($A126="","",IFERROR(INDEX(Policy!$B$2:$B$301,MATCH($A126,Policy!$A$2:$A$301,0)),"MRO không có"))</f>
        <v/>
      </c>
      <c r="C126" s="17" t="str">
        <f aca="false">IF($A126="","",IFERROR(INDEX(Policy!$E$2:$E$301,MATCH($A126,Policy!$A$2:$A$301,0)),"MRO không có"))</f>
        <v/>
      </c>
      <c r="D126" s="14"/>
      <c r="E126" s="15"/>
      <c r="F126" s="15"/>
      <c r="G126" s="25"/>
      <c r="H126" s="23"/>
      <c r="I126" s="15"/>
      <c r="J126" s="14"/>
      <c r="K126" s="23"/>
      <c r="L126" s="15"/>
      <c r="M126" s="25"/>
      <c r="N126" s="23"/>
      <c r="O126" s="15"/>
      <c r="P126" s="14"/>
      <c r="Q126" s="23"/>
      <c r="R126" s="15"/>
      <c r="S126" s="25"/>
      <c r="T126" s="23"/>
      <c r="U126" s="15"/>
      <c r="V126" s="14"/>
      <c r="W126" s="23"/>
      <c r="X126" s="15"/>
      <c r="Y126" s="25"/>
      <c r="Z126" s="23"/>
      <c r="AA126" s="15"/>
      <c r="AB126" s="14"/>
      <c r="AC126" s="23"/>
      <c r="AD126" s="15"/>
      <c r="AE126" s="25"/>
      <c r="AF126" s="23"/>
      <c r="AG126" s="15"/>
      <c r="AH126" s="14"/>
      <c r="AI126" s="23"/>
      <c r="AJ126" s="15"/>
      <c r="AK126" s="25"/>
      <c r="AL126" s="23"/>
      <c r="AM126" s="15"/>
      <c r="AN126" s="14"/>
      <c r="AO126" s="23"/>
      <c r="AP126" s="15"/>
      <c r="AQ126" s="25"/>
      <c r="AR126" s="23"/>
      <c r="AS126" s="15"/>
      <c r="AT126" s="14"/>
      <c r="AU126" s="23"/>
      <c r="AV126" s="15"/>
      <c r="AW126" s="25"/>
      <c r="AX126" s="23"/>
      <c r="AY126" s="15"/>
      <c r="AZ126" s="14"/>
      <c r="BA126" s="23"/>
      <c r="BB126" s="15"/>
      <c r="BC126" s="25"/>
      <c r="BD126" s="23"/>
      <c r="BE126" s="15"/>
      <c r="BF126" s="14"/>
      <c r="BG126" s="23"/>
      <c r="BH126" s="15"/>
      <c r="BI126" s="25"/>
      <c r="BJ126" s="23"/>
      <c r="BK126" s="15"/>
      <c r="BL126" s="14"/>
      <c r="BM126" s="23"/>
      <c r="BN126" s="15"/>
      <c r="BO126" s="25"/>
      <c r="BP126" s="23"/>
      <c r="BQ126" s="15"/>
      <c r="BR126" s="14"/>
      <c r="BS126" s="23"/>
      <c r="BT126" s="15"/>
      <c r="BU126" s="25"/>
      <c r="BV126" s="23"/>
      <c r="BW126" s="15"/>
      <c r="BX126" s="14"/>
      <c r="BY126" s="23"/>
      <c r="BZ126" s="15"/>
    </row>
    <row r="127" customFormat="false" ht="15" hidden="false" customHeight="false" outlineLevel="0" collapsed="false">
      <c r="A127" s="14"/>
      <c r="B127" s="17" t="str">
        <f aca="false">IF($A127="","",IFERROR(INDEX(Policy!$B$2:$B$301,MATCH($A127,Policy!$A$2:$A$301,0)),"MRO không có"))</f>
        <v/>
      </c>
      <c r="C127" s="17" t="str">
        <f aca="false">IF($A127="","",IFERROR(INDEX(Policy!$E$2:$E$301,MATCH($A127,Policy!$A$2:$A$301,0)),"MRO không có"))</f>
        <v/>
      </c>
      <c r="D127" s="14"/>
      <c r="E127" s="15"/>
      <c r="F127" s="15"/>
      <c r="G127" s="25"/>
      <c r="H127" s="23"/>
      <c r="I127" s="15"/>
      <c r="J127" s="14"/>
      <c r="K127" s="23"/>
      <c r="L127" s="15"/>
      <c r="M127" s="25"/>
      <c r="N127" s="23"/>
      <c r="O127" s="15"/>
      <c r="P127" s="14"/>
      <c r="Q127" s="23"/>
      <c r="R127" s="15"/>
      <c r="S127" s="25"/>
      <c r="T127" s="23"/>
      <c r="U127" s="15"/>
      <c r="V127" s="14"/>
      <c r="W127" s="23"/>
      <c r="X127" s="15"/>
      <c r="Y127" s="25"/>
      <c r="Z127" s="23"/>
      <c r="AA127" s="15"/>
      <c r="AB127" s="14"/>
      <c r="AC127" s="23"/>
      <c r="AD127" s="15"/>
      <c r="AE127" s="25"/>
      <c r="AF127" s="23"/>
      <c r="AG127" s="15"/>
      <c r="AH127" s="14"/>
      <c r="AI127" s="23"/>
      <c r="AJ127" s="15"/>
      <c r="AK127" s="25"/>
      <c r="AL127" s="23"/>
      <c r="AM127" s="15"/>
      <c r="AN127" s="14"/>
      <c r="AO127" s="23"/>
      <c r="AP127" s="15"/>
      <c r="AQ127" s="25"/>
      <c r="AR127" s="23"/>
      <c r="AS127" s="15"/>
      <c r="AT127" s="14"/>
      <c r="AU127" s="23"/>
      <c r="AV127" s="15"/>
      <c r="AW127" s="25"/>
      <c r="AX127" s="23"/>
      <c r="AY127" s="15"/>
      <c r="AZ127" s="14"/>
      <c r="BA127" s="23"/>
      <c r="BB127" s="15"/>
      <c r="BC127" s="25"/>
      <c r="BD127" s="23"/>
      <c r="BE127" s="15"/>
      <c r="BF127" s="14"/>
      <c r="BG127" s="23"/>
      <c r="BH127" s="15"/>
      <c r="BI127" s="25"/>
      <c r="BJ127" s="23"/>
      <c r="BK127" s="15"/>
      <c r="BL127" s="14"/>
      <c r="BM127" s="23"/>
      <c r="BN127" s="15"/>
      <c r="BO127" s="25"/>
      <c r="BP127" s="23"/>
      <c r="BQ127" s="15"/>
      <c r="BR127" s="14"/>
      <c r="BS127" s="23"/>
      <c r="BT127" s="15"/>
      <c r="BU127" s="25"/>
      <c r="BV127" s="23"/>
      <c r="BW127" s="15"/>
      <c r="BX127" s="14"/>
      <c r="BY127" s="23"/>
      <c r="BZ127" s="15"/>
    </row>
    <row r="128" customFormat="false" ht="15" hidden="false" customHeight="false" outlineLevel="0" collapsed="false">
      <c r="A128" s="14"/>
      <c r="B128" s="17" t="str">
        <f aca="false">IF($A128="","",IFERROR(INDEX(Policy!$B$2:$B$301,MATCH($A128,Policy!$A$2:$A$301,0)),"MRO không có"))</f>
        <v/>
      </c>
      <c r="C128" s="17" t="str">
        <f aca="false">IF($A128="","",IFERROR(INDEX(Policy!$E$2:$E$301,MATCH($A128,Policy!$A$2:$A$301,0)),"MRO không có"))</f>
        <v/>
      </c>
      <c r="D128" s="14"/>
      <c r="E128" s="15"/>
      <c r="F128" s="15"/>
      <c r="G128" s="25"/>
      <c r="H128" s="23"/>
      <c r="I128" s="15"/>
      <c r="J128" s="14"/>
      <c r="K128" s="23"/>
      <c r="L128" s="15"/>
      <c r="M128" s="25"/>
      <c r="N128" s="23"/>
      <c r="O128" s="15"/>
      <c r="P128" s="14"/>
      <c r="Q128" s="23"/>
      <c r="R128" s="15"/>
      <c r="S128" s="25"/>
      <c r="T128" s="23"/>
      <c r="U128" s="15"/>
      <c r="V128" s="14"/>
      <c r="W128" s="23"/>
      <c r="X128" s="15"/>
      <c r="Y128" s="25"/>
      <c r="Z128" s="23"/>
      <c r="AA128" s="15"/>
      <c r="AB128" s="14"/>
      <c r="AC128" s="23"/>
      <c r="AD128" s="15"/>
      <c r="AE128" s="25"/>
      <c r="AF128" s="23"/>
      <c r="AG128" s="15"/>
      <c r="AH128" s="14"/>
      <c r="AI128" s="23"/>
      <c r="AJ128" s="15"/>
      <c r="AK128" s="25"/>
      <c r="AL128" s="23"/>
      <c r="AM128" s="15"/>
      <c r="AN128" s="14"/>
      <c r="AO128" s="23"/>
      <c r="AP128" s="15"/>
      <c r="AQ128" s="25"/>
      <c r="AR128" s="23"/>
      <c r="AS128" s="15"/>
      <c r="AT128" s="14"/>
      <c r="AU128" s="23"/>
      <c r="AV128" s="15"/>
      <c r="AW128" s="25"/>
      <c r="AX128" s="23"/>
      <c r="AY128" s="15"/>
      <c r="AZ128" s="14"/>
      <c r="BA128" s="23"/>
      <c r="BB128" s="15"/>
      <c r="BC128" s="25"/>
      <c r="BD128" s="23"/>
      <c r="BE128" s="15"/>
      <c r="BF128" s="14"/>
      <c r="BG128" s="23"/>
      <c r="BH128" s="15"/>
      <c r="BI128" s="25"/>
      <c r="BJ128" s="23"/>
      <c r="BK128" s="15"/>
      <c r="BL128" s="14"/>
      <c r="BM128" s="23"/>
      <c r="BN128" s="15"/>
      <c r="BO128" s="25"/>
      <c r="BP128" s="23"/>
      <c r="BQ128" s="15"/>
      <c r="BR128" s="14"/>
      <c r="BS128" s="23"/>
      <c r="BT128" s="15"/>
      <c r="BU128" s="25"/>
      <c r="BV128" s="23"/>
      <c r="BW128" s="15"/>
      <c r="BX128" s="14"/>
      <c r="BY128" s="23"/>
      <c r="BZ128" s="15"/>
    </row>
    <row r="129" customFormat="false" ht="15" hidden="false" customHeight="false" outlineLevel="0" collapsed="false">
      <c r="A129" s="14"/>
      <c r="B129" s="17" t="str">
        <f aca="false">IF($A129="","",IFERROR(INDEX(Policy!$B$2:$B$301,MATCH($A129,Policy!$A$2:$A$301,0)),"MRO không có"))</f>
        <v/>
      </c>
      <c r="C129" s="17" t="str">
        <f aca="false">IF($A129="","",IFERROR(INDEX(Policy!$E$2:$E$301,MATCH($A129,Policy!$A$2:$A$301,0)),"MRO không có"))</f>
        <v/>
      </c>
      <c r="D129" s="14"/>
      <c r="E129" s="15"/>
      <c r="F129" s="15"/>
      <c r="G129" s="25"/>
      <c r="H129" s="23"/>
      <c r="I129" s="15"/>
      <c r="J129" s="14"/>
      <c r="K129" s="23"/>
      <c r="L129" s="15"/>
      <c r="M129" s="25"/>
      <c r="N129" s="23"/>
      <c r="O129" s="15"/>
      <c r="P129" s="14"/>
      <c r="Q129" s="23"/>
      <c r="R129" s="15"/>
      <c r="S129" s="25"/>
      <c r="T129" s="23"/>
      <c r="U129" s="15"/>
      <c r="V129" s="14"/>
      <c r="W129" s="23"/>
      <c r="X129" s="15"/>
      <c r="Y129" s="25"/>
      <c r="Z129" s="23"/>
      <c r="AA129" s="15"/>
      <c r="AB129" s="14"/>
      <c r="AC129" s="23"/>
      <c r="AD129" s="15"/>
      <c r="AE129" s="25"/>
      <c r="AF129" s="23"/>
      <c r="AG129" s="15"/>
      <c r="AH129" s="14"/>
      <c r="AI129" s="23"/>
      <c r="AJ129" s="15"/>
      <c r="AK129" s="25"/>
      <c r="AL129" s="23"/>
      <c r="AM129" s="15"/>
      <c r="AN129" s="14"/>
      <c r="AO129" s="23"/>
      <c r="AP129" s="15"/>
      <c r="AQ129" s="25"/>
      <c r="AR129" s="23"/>
      <c r="AS129" s="15"/>
      <c r="AT129" s="14"/>
      <c r="AU129" s="23"/>
      <c r="AV129" s="15"/>
      <c r="AW129" s="25"/>
      <c r="AX129" s="23"/>
      <c r="AY129" s="15"/>
      <c r="AZ129" s="14"/>
      <c r="BA129" s="23"/>
      <c r="BB129" s="15"/>
      <c r="BC129" s="25"/>
      <c r="BD129" s="23"/>
      <c r="BE129" s="15"/>
      <c r="BF129" s="14"/>
      <c r="BG129" s="23"/>
      <c r="BH129" s="15"/>
      <c r="BI129" s="25"/>
      <c r="BJ129" s="23"/>
      <c r="BK129" s="15"/>
      <c r="BL129" s="14"/>
      <c r="BM129" s="23"/>
      <c r="BN129" s="15"/>
      <c r="BO129" s="25"/>
      <c r="BP129" s="23"/>
      <c r="BQ129" s="15"/>
      <c r="BR129" s="14"/>
      <c r="BS129" s="23"/>
      <c r="BT129" s="15"/>
      <c r="BU129" s="25"/>
      <c r="BV129" s="23"/>
      <c r="BW129" s="15"/>
      <c r="BX129" s="14"/>
      <c r="BY129" s="23"/>
      <c r="BZ129" s="15"/>
    </row>
    <row r="130" customFormat="false" ht="15" hidden="false" customHeight="false" outlineLevel="0" collapsed="false">
      <c r="A130" s="14"/>
      <c r="B130" s="17" t="str">
        <f aca="false">IF($A130="","",IFERROR(INDEX(Policy!$B$2:$B$301,MATCH($A130,Policy!$A$2:$A$301,0)),"MRO không có"))</f>
        <v/>
      </c>
      <c r="C130" s="17" t="str">
        <f aca="false">IF($A130="","",IFERROR(INDEX(Policy!$E$2:$E$301,MATCH($A130,Policy!$A$2:$A$301,0)),"MRO không có"))</f>
        <v/>
      </c>
      <c r="D130" s="14"/>
      <c r="E130" s="15"/>
      <c r="F130" s="15"/>
      <c r="G130" s="25"/>
      <c r="H130" s="23"/>
      <c r="I130" s="15"/>
      <c r="J130" s="14"/>
      <c r="K130" s="23"/>
      <c r="L130" s="15"/>
      <c r="M130" s="25"/>
      <c r="N130" s="23"/>
      <c r="O130" s="15"/>
      <c r="P130" s="14"/>
      <c r="Q130" s="23"/>
      <c r="R130" s="15"/>
      <c r="S130" s="25"/>
      <c r="T130" s="23"/>
      <c r="U130" s="15"/>
      <c r="V130" s="14"/>
      <c r="W130" s="23"/>
      <c r="X130" s="15"/>
      <c r="Y130" s="25"/>
      <c r="Z130" s="23"/>
      <c r="AA130" s="15"/>
      <c r="AB130" s="14"/>
      <c r="AC130" s="23"/>
      <c r="AD130" s="15"/>
      <c r="AE130" s="25"/>
      <c r="AF130" s="23"/>
      <c r="AG130" s="15"/>
      <c r="AH130" s="14"/>
      <c r="AI130" s="23"/>
      <c r="AJ130" s="15"/>
      <c r="AK130" s="25"/>
      <c r="AL130" s="23"/>
      <c r="AM130" s="15"/>
      <c r="AN130" s="14"/>
      <c r="AO130" s="23"/>
      <c r="AP130" s="15"/>
      <c r="AQ130" s="25"/>
      <c r="AR130" s="23"/>
      <c r="AS130" s="15"/>
      <c r="AT130" s="14"/>
      <c r="AU130" s="23"/>
      <c r="AV130" s="15"/>
      <c r="AW130" s="25"/>
      <c r="AX130" s="23"/>
      <c r="AY130" s="15"/>
      <c r="AZ130" s="14"/>
      <c r="BA130" s="23"/>
      <c r="BB130" s="15"/>
      <c r="BC130" s="25"/>
      <c r="BD130" s="23"/>
      <c r="BE130" s="15"/>
      <c r="BF130" s="14"/>
      <c r="BG130" s="23"/>
      <c r="BH130" s="15"/>
      <c r="BI130" s="25"/>
      <c r="BJ130" s="23"/>
      <c r="BK130" s="15"/>
      <c r="BL130" s="14"/>
      <c r="BM130" s="23"/>
      <c r="BN130" s="15"/>
      <c r="BO130" s="25"/>
      <c r="BP130" s="23"/>
      <c r="BQ130" s="15"/>
      <c r="BR130" s="14"/>
      <c r="BS130" s="23"/>
      <c r="BT130" s="15"/>
      <c r="BU130" s="25"/>
      <c r="BV130" s="23"/>
      <c r="BW130" s="15"/>
      <c r="BX130" s="14"/>
      <c r="BY130" s="23"/>
      <c r="BZ130" s="15"/>
    </row>
    <row r="131" customFormat="false" ht="15" hidden="false" customHeight="false" outlineLevel="0" collapsed="false">
      <c r="A131" s="14"/>
      <c r="B131" s="17" t="str">
        <f aca="false">IF($A131="","",IFERROR(INDEX(Policy!$B$2:$B$301,MATCH($A131,Policy!$A$2:$A$301,0)),"MRO không có"))</f>
        <v/>
      </c>
      <c r="C131" s="17" t="str">
        <f aca="false">IF($A131="","",IFERROR(INDEX(Policy!$E$2:$E$301,MATCH($A131,Policy!$A$2:$A$301,0)),"MRO không có"))</f>
        <v/>
      </c>
      <c r="D131" s="14"/>
      <c r="E131" s="15"/>
      <c r="F131" s="15"/>
      <c r="G131" s="25"/>
      <c r="H131" s="23"/>
      <c r="I131" s="15"/>
      <c r="J131" s="14"/>
      <c r="K131" s="23"/>
      <c r="L131" s="15"/>
      <c r="M131" s="25"/>
      <c r="N131" s="23"/>
      <c r="O131" s="15"/>
      <c r="P131" s="14"/>
      <c r="Q131" s="23"/>
      <c r="R131" s="15"/>
      <c r="S131" s="25"/>
      <c r="T131" s="23"/>
      <c r="U131" s="15"/>
      <c r="V131" s="14"/>
      <c r="W131" s="23"/>
      <c r="X131" s="15"/>
      <c r="Y131" s="25"/>
      <c r="Z131" s="23"/>
      <c r="AA131" s="15"/>
      <c r="AB131" s="14"/>
      <c r="AC131" s="23"/>
      <c r="AD131" s="15"/>
      <c r="AE131" s="25"/>
      <c r="AF131" s="23"/>
      <c r="AG131" s="15"/>
      <c r="AH131" s="14"/>
      <c r="AI131" s="23"/>
      <c r="AJ131" s="15"/>
      <c r="AK131" s="25"/>
      <c r="AL131" s="23"/>
      <c r="AM131" s="15"/>
      <c r="AN131" s="14"/>
      <c r="AO131" s="23"/>
      <c r="AP131" s="15"/>
      <c r="AQ131" s="25"/>
      <c r="AR131" s="23"/>
      <c r="AS131" s="15"/>
      <c r="AT131" s="14"/>
      <c r="AU131" s="23"/>
      <c r="AV131" s="15"/>
      <c r="AW131" s="25"/>
      <c r="AX131" s="23"/>
      <c r="AY131" s="15"/>
      <c r="AZ131" s="14"/>
      <c r="BA131" s="23"/>
      <c r="BB131" s="15"/>
      <c r="BC131" s="25"/>
      <c r="BD131" s="23"/>
      <c r="BE131" s="15"/>
      <c r="BF131" s="14"/>
      <c r="BG131" s="23"/>
      <c r="BH131" s="15"/>
      <c r="BI131" s="25"/>
      <c r="BJ131" s="23"/>
      <c r="BK131" s="15"/>
      <c r="BL131" s="14"/>
      <c r="BM131" s="23"/>
      <c r="BN131" s="15"/>
      <c r="BO131" s="25"/>
      <c r="BP131" s="23"/>
      <c r="BQ131" s="15"/>
      <c r="BR131" s="14"/>
      <c r="BS131" s="23"/>
      <c r="BT131" s="15"/>
      <c r="BU131" s="25"/>
      <c r="BV131" s="23"/>
      <c r="BW131" s="15"/>
      <c r="BX131" s="14"/>
      <c r="BY131" s="23"/>
      <c r="BZ131" s="15"/>
    </row>
    <row r="132" customFormat="false" ht="15" hidden="false" customHeight="false" outlineLevel="0" collapsed="false">
      <c r="A132" s="14"/>
      <c r="B132" s="17" t="str">
        <f aca="false">IF($A132="","",IFERROR(INDEX(Policy!$B$2:$B$301,MATCH($A132,Policy!$A$2:$A$301,0)),"MRO không có"))</f>
        <v/>
      </c>
      <c r="C132" s="17" t="str">
        <f aca="false">IF($A132="","",IFERROR(INDEX(Policy!$E$2:$E$301,MATCH($A132,Policy!$A$2:$A$301,0)),"MRO không có"))</f>
        <v/>
      </c>
      <c r="D132" s="14"/>
      <c r="E132" s="15"/>
      <c r="F132" s="15"/>
      <c r="G132" s="25"/>
      <c r="H132" s="23"/>
      <c r="I132" s="15"/>
      <c r="J132" s="14"/>
      <c r="K132" s="23"/>
      <c r="L132" s="15"/>
      <c r="M132" s="25"/>
      <c r="N132" s="23"/>
      <c r="O132" s="15"/>
      <c r="P132" s="14"/>
      <c r="Q132" s="23"/>
      <c r="R132" s="15"/>
      <c r="S132" s="25"/>
      <c r="T132" s="23"/>
      <c r="U132" s="15"/>
      <c r="V132" s="14"/>
      <c r="W132" s="23"/>
      <c r="X132" s="15"/>
      <c r="Y132" s="25"/>
      <c r="Z132" s="23"/>
      <c r="AA132" s="15"/>
      <c r="AB132" s="14"/>
      <c r="AC132" s="23"/>
      <c r="AD132" s="15"/>
      <c r="AE132" s="25"/>
      <c r="AF132" s="23"/>
      <c r="AG132" s="15"/>
      <c r="AH132" s="14"/>
      <c r="AI132" s="23"/>
      <c r="AJ132" s="15"/>
      <c r="AK132" s="25"/>
      <c r="AL132" s="23"/>
      <c r="AM132" s="15"/>
      <c r="AN132" s="14"/>
      <c r="AO132" s="23"/>
      <c r="AP132" s="15"/>
      <c r="AQ132" s="25"/>
      <c r="AR132" s="23"/>
      <c r="AS132" s="15"/>
      <c r="AT132" s="14"/>
      <c r="AU132" s="23"/>
      <c r="AV132" s="15"/>
      <c r="AW132" s="25"/>
      <c r="AX132" s="23"/>
      <c r="AY132" s="15"/>
      <c r="AZ132" s="14"/>
      <c r="BA132" s="23"/>
      <c r="BB132" s="15"/>
      <c r="BC132" s="25"/>
      <c r="BD132" s="23"/>
      <c r="BE132" s="15"/>
      <c r="BF132" s="14"/>
      <c r="BG132" s="23"/>
      <c r="BH132" s="15"/>
      <c r="BI132" s="25"/>
      <c r="BJ132" s="23"/>
      <c r="BK132" s="15"/>
      <c r="BL132" s="14"/>
      <c r="BM132" s="23"/>
      <c r="BN132" s="15"/>
      <c r="BO132" s="25"/>
      <c r="BP132" s="23"/>
      <c r="BQ132" s="15"/>
      <c r="BR132" s="14"/>
      <c r="BS132" s="23"/>
      <c r="BT132" s="15"/>
      <c r="BU132" s="25"/>
      <c r="BV132" s="23"/>
      <c r="BW132" s="15"/>
      <c r="BX132" s="14"/>
      <c r="BY132" s="23"/>
      <c r="BZ132" s="15"/>
    </row>
    <row r="133" customFormat="false" ht="15" hidden="false" customHeight="false" outlineLevel="0" collapsed="false">
      <c r="A133" s="14"/>
      <c r="B133" s="17" t="str">
        <f aca="false">IF($A133="","",IFERROR(INDEX(Policy!$B$2:$B$301,MATCH($A133,Policy!$A$2:$A$301,0)),"MRO không có"))</f>
        <v/>
      </c>
      <c r="C133" s="17" t="str">
        <f aca="false">IF($A133="","",IFERROR(INDEX(Policy!$E$2:$E$301,MATCH($A133,Policy!$A$2:$A$301,0)),"MRO không có"))</f>
        <v/>
      </c>
      <c r="D133" s="14"/>
      <c r="E133" s="15"/>
      <c r="F133" s="15"/>
      <c r="G133" s="25"/>
      <c r="H133" s="23"/>
      <c r="I133" s="15"/>
      <c r="J133" s="14"/>
      <c r="K133" s="23"/>
      <c r="L133" s="15"/>
      <c r="M133" s="25"/>
      <c r="N133" s="23"/>
      <c r="O133" s="15"/>
      <c r="P133" s="14"/>
      <c r="Q133" s="23"/>
      <c r="R133" s="15"/>
      <c r="S133" s="25"/>
      <c r="T133" s="23"/>
      <c r="U133" s="15"/>
      <c r="V133" s="14"/>
      <c r="W133" s="23"/>
      <c r="X133" s="15"/>
      <c r="Y133" s="25"/>
      <c r="Z133" s="23"/>
      <c r="AA133" s="15"/>
      <c r="AB133" s="14"/>
      <c r="AC133" s="23"/>
      <c r="AD133" s="15"/>
      <c r="AE133" s="25"/>
      <c r="AF133" s="23"/>
      <c r="AG133" s="15"/>
      <c r="AH133" s="14"/>
      <c r="AI133" s="23"/>
      <c r="AJ133" s="15"/>
      <c r="AK133" s="25"/>
      <c r="AL133" s="23"/>
      <c r="AM133" s="15"/>
      <c r="AN133" s="14"/>
      <c r="AO133" s="23"/>
      <c r="AP133" s="15"/>
      <c r="AQ133" s="25"/>
      <c r="AR133" s="23"/>
      <c r="AS133" s="15"/>
      <c r="AT133" s="14"/>
      <c r="AU133" s="23"/>
      <c r="AV133" s="15"/>
      <c r="AW133" s="25"/>
      <c r="AX133" s="23"/>
      <c r="AY133" s="15"/>
      <c r="AZ133" s="14"/>
      <c r="BA133" s="23"/>
      <c r="BB133" s="15"/>
      <c r="BC133" s="25"/>
      <c r="BD133" s="23"/>
      <c r="BE133" s="15"/>
      <c r="BF133" s="14"/>
      <c r="BG133" s="23"/>
      <c r="BH133" s="15"/>
      <c r="BI133" s="25"/>
      <c r="BJ133" s="23"/>
      <c r="BK133" s="15"/>
      <c r="BL133" s="14"/>
      <c r="BM133" s="23"/>
      <c r="BN133" s="15"/>
      <c r="BO133" s="25"/>
      <c r="BP133" s="23"/>
      <c r="BQ133" s="15"/>
      <c r="BR133" s="14"/>
      <c r="BS133" s="23"/>
      <c r="BT133" s="15"/>
      <c r="BU133" s="25"/>
      <c r="BV133" s="23"/>
      <c r="BW133" s="15"/>
      <c r="BX133" s="14"/>
      <c r="BY133" s="23"/>
      <c r="BZ133" s="15"/>
    </row>
    <row r="134" customFormat="false" ht="15" hidden="false" customHeight="false" outlineLevel="0" collapsed="false">
      <c r="A134" s="14"/>
      <c r="B134" s="17" t="str">
        <f aca="false">IF($A134="","",IFERROR(INDEX(Policy!$B$2:$B$301,MATCH($A134,Policy!$A$2:$A$301,0)),"MRO không có"))</f>
        <v/>
      </c>
      <c r="C134" s="17" t="str">
        <f aca="false">IF($A134="","",IFERROR(INDEX(Policy!$E$2:$E$301,MATCH($A134,Policy!$A$2:$A$301,0)),"MRO không có"))</f>
        <v/>
      </c>
      <c r="D134" s="14"/>
      <c r="E134" s="15"/>
      <c r="F134" s="15"/>
      <c r="G134" s="25"/>
      <c r="H134" s="23"/>
      <c r="I134" s="15"/>
      <c r="J134" s="14"/>
      <c r="K134" s="23"/>
      <c r="L134" s="15"/>
      <c r="M134" s="25"/>
      <c r="N134" s="23"/>
      <c r="O134" s="15"/>
      <c r="P134" s="14"/>
      <c r="Q134" s="23"/>
      <c r="R134" s="15"/>
      <c r="S134" s="25"/>
      <c r="T134" s="23"/>
      <c r="U134" s="15"/>
      <c r="V134" s="14"/>
      <c r="W134" s="23"/>
      <c r="X134" s="15"/>
      <c r="Y134" s="25"/>
      <c r="Z134" s="23"/>
      <c r="AA134" s="15"/>
      <c r="AB134" s="14"/>
      <c r="AC134" s="23"/>
      <c r="AD134" s="15"/>
      <c r="AE134" s="25"/>
      <c r="AF134" s="23"/>
      <c r="AG134" s="15"/>
      <c r="AH134" s="14"/>
      <c r="AI134" s="23"/>
      <c r="AJ134" s="15"/>
      <c r="AK134" s="25"/>
      <c r="AL134" s="23"/>
      <c r="AM134" s="15"/>
      <c r="AN134" s="14"/>
      <c r="AO134" s="23"/>
      <c r="AP134" s="15"/>
      <c r="AQ134" s="25"/>
      <c r="AR134" s="23"/>
      <c r="AS134" s="15"/>
      <c r="AT134" s="14"/>
      <c r="AU134" s="23"/>
      <c r="AV134" s="15"/>
      <c r="AW134" s="25"/>
      <c r="AX134" s="23"/>
      <c r="AY134" s="15"/>
      <c r="AZ134" s="14"/>
      <c r="BA134" s="23"/>
      <c r="BB134" s="15"/>
      <c r="BC134" s="25"/>
      <c r="BD134" s="23"/>
      <c r="BE134" s="15"/>
      <c r="BF134" s="14"/>
      <c r="BG134" s="23"/>
      <c r="BH134" s="15"/>
      <c r="BI134" s="25"/>
      <c r="BJ134" s="23"/>
      <c r="BK134" s="15"/>
      <c r="BL134" s="14"/>
      <c r="BM134" s="23"/>
      <c r="BN134" s="15"/>
      <c r="BO134" s="25"/>
      <c r="BP134" s="23"/>
      <c r="BQ134" s="15"/>
      <c r="BR134" s="14"/>
      <c r="BS134" s="23"/>
      <c r="BT134" s="15"/>
      <c r="BU134" s="25"/>
      <c r="BV134" s="23"/>
      <c r="BW134" s="15"/>
      <c r="BX134" s="14"/>
      <c r="BY134" s="23"/>
      <c r="BZ134" s="15"/>
    </row>
    <row r="135" customFormat="false" ht="15" hidden="false" customHeight="false" outlineLevel="0" collapsed="false">
      <c r="A135" s="14"/>
      <c r="B135" s="17" t="str">
        <f aca="false">IF($A135="","",IFERROR(INDEX(Policy!$B$2:$B$301,MATCH($A135,Policy!$A$2:$A$301,0)),"MRO không có"))</f>
        <v/>
      </c>
      <c r="C135" s="17" t="str">
        <f aca="false">IF($A135="","",IFERROR(INDEX(Policy!$E$2:$E$301,MATCH($A135,Policy!$A$2:$A$301,0)),"MRO không có"))</f>
        <v/>
      </c>
      <c r="D135" s="14"/>
      <c r="E135" s="15"/>
      <c r="F135" s="15"/>
      <c r="G135" s="25"/>
      <c r="H135" s="23"/>
      <c r="I135" s="15"/>
      <c r="J135" s="14"/>
      <c r="K135" s="23"/>
      <c r="L135" s="15"/>
      <c r="M135" s="25"/>
      <c r="N135" s="23"/>
      <c r="O135" s="15"/>
      <c r="P135" s="14"/>
      <c r="Q135" s="23"/>
      <c r="R135" s="15"/>
      <c r="S135" s="25"/>
      <c r="T135" s="23"/>
      <c r="U135" s="15"/>
      <c r="V135" s="14"/>
      <c r="W135" s="23"/>
      <c r="X135" s="15"/>
      <c r="Y135" s="25"/>
      <c r="Z135" s="23"/>
      <c r="AA135" s="15"/>
      <c r="AB135" s="14"/>
      <c r="AC135" s="23"/>
      <c r="AD135" s="15"/>
      <c r="AE135" s="25"/>
      <c r="AF135" s="23"/>
      <c r="AG135" s="15"/>
      <c r="AH135" s="14"/>
      <c r="AI135" s="23"/>
      <c r="AJ135" s="15"/>
      <c r="AK135" s="25"/>
      <c r="AL135" s="23"/>
      <c r="AM135" s="15"/>
      <c r="AN135" s="14"/>
      <c r="AO135" s="23"/>
      <c r="AP135" s="15"/>
      <c r="AQ135" s="25"/>
      <c r="AR135" s="23"/>
      <c r="AS135" s="15"/>
      <c r="AT135" s="14"/>
      <c r="AU135" s="23"/>
      <c r="AV135" s="15"/>
      <c r="AW135" s="25"/>
      <c r="AX135" s="23"/>
      <c r="AY135" s="15"/>
      <c r="AZ135" s="14"/>
      <c r="BA135" s="23"/>
      <c r="BB135" s="15"/>
      <c r="BC135" s="25"/>
      <c r="BD135" s="23"/>
      <c r="BE135" s="15"/>
      <c r="BF135" s="14"/>
      <c r="BG135" s="23"/>
      <c r="BH135" s="15"/>
      <c r="BI135" s="25"/>
      <c r="BJ135" s="23"/>
      <c r="BK135" s="15"/>
      <c r="BL135" s="14"/>
      <c r="BM135" s="23"/>
      <c r="BN135" s="15"/>
      <c r="BO135" s="25"/>
      <c r="BP135" s="23"/>
      <c r="BQ135" s="15"/>
      <c r="BR135" s="14"/>
      <c r="BS135" s="23"/>
      <c r="BT135" s="15"/>
      <c r="BU135" s="25"/>
      <c r="BV135" s="23"/>
      <c r="BW135" s="15"/>
      <c r="BX135" s="14"/>
      <c r="BY135" s="23"/>
      <c r="BZ135" s="15"/>
    </row>
    <row r="136" customFormat="false" ht="15" hidden="false" customHeight="false" outlineLevel="0" collapsed="false">
      <c r="A136" s="14"/>
      <c r="B136" s="17" t="str">
        <f aca="false">IF($A136="","",IFERROR(INDEX(Policy!$B$2:$B$301,MATCH($A136,Policy!$A$2:$A$301,0)),"MRO không có"))</f>
        <v/>
      </c>
      <c r="C136" s="17" t="str">
        <f aca="false">IF($A136="","",IFERROR(INDEX(Policy!$E$2:$E$301,MATCH($A136,Policy!$A$2:$A$301,0)),"MRO không có"))</f>
        <v/>
      </c>
      <c r="D136" s="14"/>
      <c r="E136" s="15"/>
      <c r="F136" s="15"/>
      <c r="G136" s="25"/>
      <c r="H136" s="23"/>
      <c r="I136" s="15"/>
      <c r="J136" s="14"/>
      <c r="K136" s="23"/>
      <c r="L136" s="15"/>
      <c r="M136" s="25"/>
      <c r="N136" s="23"/>
      <c r="O136" s="15"/>
      <c r="P136" s="14"/>
      <c r="Q136" s="23"/>
      <c r="R136" s="15"/>
      <c r="S136" s="25"/>
      <c r="T136" s="23"/>
      <c r="U136" s="15"/>
      <c r="V136" s="14"/>
      <c r="W136" s="23"/>
      <c r="X136" s="15"/>
      <c r="Y136" s="25"/>
      <c r="Z136" s="23"/>
      <c r="AA136" s="15"/>
      <c r="AB136" s="14"/>
      <c r="AC136" s="23"/>
      <c r="AD136" s="15"/>
      <c r="AE136" s="25"/>
      <c r="AF136" s="23"/>
      <c r="AG136" s="15"/>
      <c r="AH136" s="14"/>
      <c r="AI136" s="23"/>
      <c r="AJ136" s="15"/>
      <c r="AK136" s="25"/>
      <c r="AL136" s="23"/>
      <c r="AM136" s="15"/>
      <c r="AN136" s="14"/>
      <c r="AO136" s="23"/>
      <c r="AP136" s="15"/>
      <c r="AQ136" s="25"/>
      <c r="AR136" s="23"/>
      <c r="AS136" s="15"/>
      <c r="AT136" s="14"/>
      <c r="AU136" s="23"/>
      <c r="AV136" s="15"/>
      <c r="AW136" s="25"/>
      <c r="AX136" s="23"/>
      <c r="AY136" s="15"/>
      <c r="AZ136" s="14"/>
      <c r="BA136" s="23"/>
      <c r="BB136" s="15"/>
      <c r="BC136" s="25"/>
      <c r="BD136" s="23"/>
      <c r="BE136" s="15"/>
      <c r="BF136" s="14"/>
      <c r="BG136" s="23"/>
      <c r="BH136" s="15"/>
      <c r="BI136" s="25"/>
      <c r="BJ136" s="23"/>
      <c r="BK136" s="15"/>
      <c r="BL136" s="14"/>
      <c r="BM136" s="23"/>
      <c r="BN136" s="15"/>
      <c r="BO136" s="25"/>
      <c r="BP136" s="23"/>
      <c r="BQ136" s="15"/>
      <c r="BR136" s="14"/>
      <c r="BS136" s="23"/>
      <c r="BT136" s="15"/>
      <c r="BU136" s="25"/>
      <c r="BV136" s="23"/>
      <c r="BW136" s="15"/>
      <c r="BX136" s="14"/>
      <c r="BY136" s="23"/>
      <c r="BZ136" s="15"/>
    </row>
    <row r="137" customFormat="false" ht="15" hidden="false" customHeight="false" outlineLevel="0" collapsed="false">
      <c r="A137" s="14"/>
      <c r="B137" s="17" t="str">
        <f aca="false">IF($A137="","",IFERROR(INDEX(Policy!$B$2:$B$301,MATCH($A137,Policy!$A$2:$A$301,0)),"MRO không có"))</f>
        <v/>
      </c>
      <c r="C137" s="17" t="str">
        <f aca="false">IF($A137="","",IFERROR(INDEX(Policy!$E$2:$E$301,MATCH($A137,Policy!$A$2:$A$301,0)),"MRO không có"))</f>
        <v/>
      </c>
      <c r="D137" s="14"/>
      <c r="E137" s="15"/>
      <c r="F137" s="15"/>
      <c r="G137" s="25"/>
      <c r="H137" s="23"/>
      <c r="I137" s="15"/>
      <c r="J137" s="14"/>
      <c r="K137" s="23"/>
      <c r="L137" s="15"/>
      <c r="M137" s="25"/>
      <c r="N137" s="23"/>
      <c r="O137" s="15"/>
      <c r="P137" s="14"/>
      <c r="Q137" s="23"/>
      <c r="R137" s="15"/>
      <c r="S137" s="25"/>
      <c r="T137" s="23"/>
      <c r="U137" s="15"/>
      <c r="V137" s="14"/>
      <c r="W137" s="23"/>
      <c r="X137" s="15"/>
      <c r="Y137" s="25"/>
      <c r="Z137" s="23"/>
      <c r="AA137" s="15"/>
      <c r="AB137" s="14"/>
      <c r="AC137" s="23"/>
      <c r="AD137" s="15"/>
      <c r="AE137" s="25"/>
      <c r="AF137" s="23"/>
      <c r="AG137" s="15"/>
      <c r="AH137" s="14"/>
      <c r="AI137" s="23"/>
      <c r="AJ137" s="15"/>
      <c r="AK137" s="25"/>
      <c r="AL137" s="23"/>
      <c r="AM137" s="15"/>
      <c r="AN137" s="14"/>
      <c r="AO137" s="23"/>
      <c r="AP137" s="15"/>
      <c r="AQ137" s="25"/>
      <c r="AR137" s="23"/>
      <c r="AS137" s="15"/>
      <c r="AT137" s="14"/>
      <c r="AU137" s="23"/>
      <c r="AV137" s="15"/>
      <c r="AW137" s="25"/>
      <c r="AX137" s="23"/>
      <c r="AY137" s="15"/>
      <c r="AZ137" s="14"/>
      <c r="BA137" s="23"/>
      <c r="BB137" s="15"/>
      <c r="BC137" s="25"/>
      <c r="BD137" s="23"/>
      <c r="BE137" s="15"/>
      <c r="BF137" s="14"/>
      <c r="BG137" s="23"/>
      <c r="BH137" s="15"/>
      <c r="BI137" s="25"/>
      <c r="BJ137" s="23"/>
      <c r="BK137" s="15"/>
      <c r="BL137" s="14"/>
      <c r="BM137" s="23"/>
      <c r="BN137" s="15"/>
      <c r="BO137" s="25"/>
      <c r="BP137" s="23"/>
      <c r="BQ137" s="15"/>
      <c r="BR137" s="14"/>
      <c r="BS137" s="23"/>
      <c r="BT137" s="15"/>
      <c r="BU137" s="25"/>
      <c r="BV137" s="23"/>
      <c r="BW137" s="15"/>
      <c r="BX137" s="14"/>
      <c r="BY137" s="23"/>
      <c r="BZ137" s="15"/>
    </row>
    <row r="138" customFormat="false" ht="15" hidden="false" customHeight="false" outlineLevel="0" collapsed="false">
      <c r="A138" s="14"/>
      <c r="B138" s="17" t="str">
        <f aca="false">IF($A138="","",IFERROR(INDEX(Policy!$B$2:$B$301,MATCH($A138,Policy!$A$2:$A$301,0)),"MRO không có"))</f>
        <v/>
      </c>
      <c r="C138" s="17" t="str">
        <f aca="false">IF($A138="","",IFERROR(INDEX(Policy!$E$2:$E$301,MATCH($A138,Policy!$A$2:$A$301,0)),"MRO không có"))</f>
        <v/>
      </c>
      <c r="D138" s="14"/>
      <c r="E138" s="15"/>
      <c r="F138" s="15"/>
      <c r="G138" s="25"/>
      <c r="H138" s="23"/>
      <c r="I138" s="15"/>
      <c r="J138" s="14"/>
      <c r="K138" s="23"/>
      <c r="L138" s="15"/>
      <c r="M138" s="25"/>
      <c r="N138" s="23"/>
      <c r="O138" s="15"/>
      <c r="P138" s="14"/>
      <c r="Q138" s="23"/>
      <c r="R138" s="15"/>
      <c r="S138" s="25"/>
      <c r="T138" s="23"/>
      <c r="U138" s="15"/>
      <c r="V138" s="14"/>
      <c r="W138" s="23"/>
      <c r="X138" s="15"/>
      <c r="Y138" s="25"/>
      <c r="Z138" s="23"/>
      <c r="AA138" s="15"/>
      <c r="AB138" s="14"/>
      <c r="AC138" s="23"/>
      <c r="AD138" s="15"/>
      <c r="AE138" s="25"/>
      <c r="AF138" s="23"/>
      <c r="AG138" s="15"/>
      <c r="AH138" s="14"/>
      <c r="AI138" s="23"/>
      <c r="AJ138" s="15"/>
      <c r="AK138" s="25"/>
      <c r="AL138" s="23"/>
      <c r="AM138" s="15"/>
      <c r="AN138" s="14"/>
      <c r="AO138" s="23"/>
      <c r="AP138" s="15"/>
      <c r="AQ138" s="25"/>
      <c r="AR138" s="23"/>
      <c r="AS138" s="15"/>
      <c r="AT138" s="14"/>
      <c r="AU138" s="23"/>
      <c r="AV138" s="15"/>
      <c r="AW138" s="25"/>
      <c r="AX138" s="23"/>
      <c r="AY138" s="15"/>
      <c r="AZ138" s="14"/>
      <c r="BA138" s="23"/>
      <c r="BB138" s="15"/>
      <c r="BC138" s="25"/>
      <c r="BD138" s="23"/>
      <c r="BE138" s="15"/>
      <c r="BF138" s="14"/>
      <c r="BG138" s="23"/>
      <c r="BH138" s="15"/>
      <c r="BI138" s="25"/>
      <c r="BJ138" s="23"/>
      <c r="BK138" s="15"/>
      <c r="BL138" s="14"/>
      <c r="BM138" s="23"/>
      <c r="BN138" s="15"/>
      <c r="BO138" s="25"/>
      <c r="BP138" s="23"/>
      <c r="BQ138" s="15"/>
      <c r="BR138" s="14"/>
      <c r="BS138" s="23"/>
      <c r="BT138" s="15"/>
      <c r="BU138" s="25"/>
      <c r="BV138" s="23"/>
      <c r="BW138" s="15"/>
      <c r="BX138" s="14"/>
      <c r="BY138" s="23"/>
      <c r="BZ138" s="15"/>
    </row>
    <row r="139" customFormat="false" ht="15" hidden="false" customHeight="false" outlineLevel="0" collapsed="false">
      <c r="A139" s="14"/>
      <c r="B139" s="17" t="str">
        <f aca="false">IF($A139="","",IFERROR(INDEX(Policy!$B$2:$B$301,MATCH($A139,Policy!$A$2:$A$301,0)),"MRO không có"))</f>
        <v/>
      </c>
      <c r="C139" s="17" t="str">
        <f aca="false">IF($A139="","",IFERROR(INDEX(Policy!$E$2:$E$301,MATCH($A139,Policy!$A$2:$A$301,0)),"MRO không có"))</f>
        <v/>
      </c>
      <c r="D139" s="14"/>
      <c r="E139" s="15"/>
      <c r="F139" s="15"/>
      <c r="G139" s="25"/>
      <c r="H139" s="23"/>
      <c r="I139" s="15"/>
      <c r="J139" s="14"/>
      <c r="K139" s="23"/>
      <c r="L139" s="15"/>
      <c r="M139" s="25"/>
      <c r="N139" s="23"/>
      <c r="O139" s="15"/>
      <c r="P139" s="14"/>
      <c r="Q139" s="23"/>
      <c r="R139" s="15"/>
      <c r="S139" s="25"/>
      <c r="T139" s="23"/>
      <c r="U139" s="15"/>
      <c r="V139" s="14"/>
      <c r="W139" s="23"/>
      <c r="X139" s="15"/>
      <c r="Y139" s="25"/>
      <c r="Z139" s="23"/>
      <c r="AA139" s="15"/>
      <c r="AB139" s="14"/>
      <c r="AC139" s="23"/>
      <c r="AD139" s="15"/>
      <c r="AE139" s="25"/>
      <c r="AF139" s="23"/>
      <c r="AG139" s="15"/>
      <c r="AH139" s="14"/>
      <c r="AI139" s="23"/>
      <c r="AJ139" s="15"/>
      <c r="AK139" s="25"/>
      <c r="AL139" s="23"/>
      <c r="AM139" s="15"/>
      <c r="AN139" s="14"/>
      <c r="AO139" s="23"/>
      <c r="AP139" s="15"/>
      <c r="AQ139" s="25"/>
      <c r="AR139" s="23"/>
      <c r="AS139" s="15"/>
      <c r="AT139" s="14"/>
      <c r="AU139" s="23"/>
      <c r="AV139" s="15"/>
      <c r="AW139" s="25"/>
      <c r="AX139" s="23"/>
      <c r="AY139" s="15"/>
      <c r="AZ139" s="14"/>
      <c r="BA139" s="23"/>
      <c r="BB139" s="15"/>
      <c r="BC139" s="25"/>
      <c r="BD139" s="23"/>
      <c r="BE139" s="15"/>
      <c r="BF139" s="14"/>
      <c r="BG139" s="23"/>
      <c r="BH139" s="15"/>
      <c r="BI139" s="25"/>
      <c r="BJ139" s="23"/>
      <c r="BK139" s="15"/>
      <c r="BL139" s="14"/>
      <c r="BM139" s="23"/>
      <c r="BN139" s="15"/>
      <c r="BO139" s="25"/>
      <c r="BP139" s="23"/>
      <c r="BQ139" s="15"/>
      <c r="BR139" s="14"/>
      <c r="BS139" s="23"/>
      <c r="BT139" s="15"/>
      <c r="BU139" s="25"/>
      <c r="BV139" s="23"/>
      <c r="BW139" s="15"/>
      <c r="BX139" s="14"/>
      <c r="BY139" s="23"/>
      <c r="BZ139" s="15"/>
    </row>
    <row r="140" customFormat="false" ht="15" hidden="false" customHeight="false" outlineLevel="0" collapsed="false">
      <c r="A140" s="14"/>
      <c r="B140" s="17" t="str">
        <f aca="false">IF($A140="","",IFERROR(INDEX(Policy!$B$2:$B$301,MATCH($A140,Policy!$A$2:$A$301,0)),"MRO không có"))</f>
        <v/>
      </c>
      <c r="C140" s="17" t="str">
        <f aca="false">IF($A140="","",IFERROR(INDEX(Policy!$E$2:$E$301,MATCH($A140,Policy!$A$2:$A$301,0)),"MRO không có"))</f>
        <v/>
      </c>
      <c r="D140" s="14"/>
      <c r="E140" s="15"/>
      <c r="F140" s="15"/>
      <c r="G140" s="25"/>
      <c r="H140" s="23"/>
      <c r="I140" s="15"/>
      <c r="J140" s="14"/>
      <c r="K140" s="23"/>
      <c r="L140" s="15"/>
      <c r="M140" s="25"/>
      <c r="N140" s="23"/>
      <c r="O140" s="15"/>
      <c r="P140" s="14"/>
      <c r="Q140" s="23"/>
      <c r="R140" s="15"/>
      <c r="S140" s="25"/>
      <c r="T140" s="23"/>
      <c r="U140" s="15"/>
      <c r="V140" s="14"/>
      <c r="W140" s="23"/>
      <c r="X140" s="15"/>
      <c r="Y140" s="25"/>
      <c r="Z140" s="23"/>
      <c r="AA140" s="15"/>
      <c r="AB140" s="14"/>
      <c r="AC140" s="23"/>
      <c r="AD140" s="15"/>
      <c r="AE140" s="25"/>
      <c r="AF140" s="23"/>
      <c r="AG140" s="15"/>
      <c r="AH140" s="14"/>
      <c r="AI140" s="23"/>
      <c r="AJ140" s="15"/>
      <c r="AK140" s="25"/>
      <c r="AL140" s="23"/>
      <c r="AM140" s="15"/>
      <c r="AN140" s="14"/>
      <c r="AO140" s="23"/>
      <c r="AP140" s="15"/>
      <c r="AQ140" s="25"/>
      <c r="AR140" s="23"/>
      <c r="AS140" s="15"/>
      <c r="AT140" s="14"/>
      <c r="AU140" s="23"/>
      <c r="AV140" s="15"/>
      <c r="AW140" s="25"/>
      <c r="AX140" s="23"/>
      <c r="AY140" s="15"/>
      <c r="AZ140" s="14"/>
      <c r="BA140" s="23"/>
      <c r="BB140" s="15"/>
      <c r="BC140" s="25"/>
      <c r="BD140" s="23"/>
      <c r="BE140" s="15"/>
      <c r="BF140" s="14"/>
      <c r="BG140" s="23"/>
      <c r="BH140" s="15"/>
      <c r="BI140" s="25"/>
      <c r="BJ140" s="23"/>
      <c r="BK140" s="15"/>
      <c r="BL140" s="14"/>
      <c r="BM140" s="23"/>
      <c r="BN140" s="15"/>
      <c r="BO140" s="25"/>
      <c r="BP140" s="23"/>
      <c r="BQ140" s="15"/>
      <c r="BR140" s="14"/>
      <c r="BS140" s="23"/>
      <c r="BT140" s="15"/>
      <c r="BU140" s="25"/>
      <c r="BV140" s="23"/>
      <c r="BW140" s="15"/>
      <c r="BX140" s="14"/>
      <c r="BY140" s="23"/>
      <c r="BZ140" s="15"/>
    </row>
    <row r="141" customFormat="false" ht="15" hidden="false" customHeight="false" outlineLevel="0" collapsed="false">
      <c r="A141" s="14"/>
      <c r="B141" s="17" t="str">
        <f aca="false">IF($A141="","",IFERROR(INDEX(Policy!$B$2:$B$301,MATCH($A141,Policy!$A$2:$A$301,0)),"MRO không có"))</f>
        <v/>
      </c>
      <c r="C141" s="17" t="str">
        <f aca="false">IF($A141="","",IFERROR(INDEX(Policy!$E$2:$E$301,MATCH($A141,Policy!$A$2:$A$301,0)),"MRO không có"))</f>
        <v/>
      </c>
      <c r="D141" s="14"/>
      <c r="E141" s="15"/>
      <c r="F141" s="15"/>
      <c r="G141" s="25"/>
      <c r="H141" s="23"/>
      <c r="I141" s="15"/>
      <c r="J141" s="14"/>
      <c r="K141" s="23"/>
      <c r="L141" s="15"/>
      <c r="M141" s="25"/>
      <c r="N141" s="23"/>
      <c r="O141" s="15"/>
      <c r="P141" s="14"/>
      <c r="Q141" s="23"/>
      <c r="R141" s="15"/>
      <c r="S141" s="25"/>
      <c r="T141" s="23"/>
      <c r="U141" s="15"/>
      <c r="V141" s="14"/>
      <c r="W141" s="23"/>
      <c r="X141" s="15"/>
      <c r="Y141" s="25"/>
      <c r="Z141" s="23"/>
      <c r="AA141" s="15"/>
      <c r="AB141" s="14"/>
      <c r="AC141" s="23"/>
      <c r="AD141" s="15"/>
      <c r="AE141" s="25"/>
      <c r="AF141" s="23"/>
      <c r="AG141" s="15"/>
      <c r="AH141" s="14"/>
      <c r="AI141" s="23"/>
      <c r="AJ141" s="15"/>
      <c r="AK141" s="25"/>
      <c r="AL141" s="23"/>
      <c r="AM141" s="15"/>
      <c r="AN141" s="14"/>
      <c r="AO141" s="23"/>
      <c r="AP141" s="15"/>
      <c r="AQ141" s="25"/>
      <c r="AR141" s="23"/>
      <c r="AS141" s="15"/>
      <c r="AT141" s="14"/>
      <c r="AU141" s="23"/>
      <c r="AV141" s="15"/>
      <c r="AW141" s="25"/>
      <c r="AX141" s="23"/>
      <c r="AY141" s="15"/>
      <c r="AZ141" s="14"/>
      <c r="BA141" s="23"/>
      <c r="BB141" s="15"/>
      <c r="BC141" s="25"/>
      <c r="BD141" s="23"/>
      <c r="BE141" s="15"/>
      <c r="BF141" s="14"/>
      <c r="BG141" s="23"/>
      <c r="BH141" s="15"/>
      <c r="BI141" s="25"/>
      <c r="BJ141" s="23"/>
      <c r="BK141" s="15"/>
      <c r="BL141" s="14"/>
      <c r="BM141" s="23"/>
      <c r="BN141" s="15"/>
      <c r="BO141" s="25"/>
      <c r="BP141" s="23"/>
      <c r="BQ141" s="15"/>
      <c r="BR141" s="14"/>
      <c r="BS141" s="23"/>
      <c r="BT141" s="15"/>
      <c r="BU141" s="25"/>
      <c r="BV141" s="23"/>
      <c r="BW141" s="15"/>
      <c r="BX141" s="14"/>
      <c r="BY141" s="23"/>
      <c r="BZ141" s="15"/>
    </row>
    <row r="142" customFormat="false" ht="15" hidden="false" customHeight="false" outlineLevel="0" collapsed="false">
      <c r="A142" s="14"/>
      <c r="B142" s="17" t="str">
        <f aca="false">IF($A142="","",IFERROR(INDEX(Policy!$B$2:$B$301,MATCH($A142,Policy!$A$2:$A$301,0)),"MRO không có"))</f>
        <v/>
      </c>
      <c r="C142" s="17" t="str">
        <f aca="false">IF($A142="","",IFERROR(INDEX(Policy!$E$2:$E$301,MATCH($A142,Policy!$A$2:$A$301,0)),"MRO không có"))</f>
        <v/>
      </c>
      <c r="D142" s="14"/>
      <c r="E142" s="15"/>
      <c r="F142" s="15"/>
      <c r="G142" s="25"/>
      <c r="H142" s="23"/>
      <c r="I142" s="15"/>
      <c r="J142" s="14"/>
      <c r="K142" s="23"/>
      <c r="L142" s="15"/>
      <c r="M142" s="25"/>
      <c r="N142" s="23"/>
      <c r="O142" s="15"/>
      <c r="P142" s="14"/>
      <c r="Q142" s="23"/>
      <c r="R142" s="15"/>
      <c r="S142" s="25"/>
      <c r="T142" s="23"/>
      <c r="U142" s="15"/>
      <c r="V142" s="14"/>
      <c r="W142" s="23"/>
      <c r="X142" s="15"/>
      <c r="Y142" s="25"/>
      <c r="Z142" s="23"/>
      <c r="AA142" s="15"/>
      <c r="AB142" s="14"/>
      <c r="AC142" s="23"/>
      <c r="AD142" s="15"/>
      <c r="AE142" s="25"/>
      <c r="AF142" s="23"/>
      <c r="AG142" s="15"/>
      <c r="AH142" s="14"/>
      <c r="AI142" s="23"/>
      <c r="AJ142" s="15"/>
      <c r="AK142" s="25"/>
      <c r="AL142" s="23"/>
      <c r="AM142" s="15"/>
      <c r="AN142" s="14"/>
      <c r="AO142" s="23"/>
      <c r="AP142" s="15"/>
      <c r="AQ142" s="25"/>
      <c r="AR142" s="23"/>
      <c r="AS142" s="15"/>
      <c r="AT142" s="14"/>
      <c r="AU142" s="23"/>
      <c r="AV142" s="15"/>
      <c r="AW142" s="25"/>
      <c r="AX142" s="23"/>
      <c r="AY142" s="15"/>
      <c r="AZ142" s="14"/>
      <c r="BA142" s="23"/>
      <c r="BB142" s="15"/>
      <c r="BC142" s="25"/>
      <c r="BD142" s="23"/>
      <c r="BE142" s="15"/>
      <c r="BF142" s="14"/>
      <c r="BG142" s="23"/>
      <c r="BH142" s="15"/>
      <c r="BI142" s="25"/>
      <c r="BJ142" s="23"/>
      <c r="BK142" s="15"/>
      <c r="BL142" s="14"/>
      <c r="BM142" s="23"/>
      <c r="BN142" s="15"/>
      <c r="BO142" s="25"/>
      <c r="BP142" s="23"/>
      <c r="BQ142" s="15"/>
      <c r="BR142" s="14"/>
      <c r="BS142" s="23"/>
      <c r="BT142" s="15"/>
      <c r="BU142" s="25"/>
      <c r="BV142" s="23"/>
      <c r="BW142" s="15"/>
      <c r="BX142" s="14"/>
      <c r="BY142" s="23"/>
      <c r="BZ142" s="15"/>
    </row>
    <row r="143" customFormat="false" ht="15" hidden="false" customHeight="false" outlineLevel="0" collapsed="false">
      <c r="A143" s="14"/>
      <c r="B143" s="17" t="str">
        <f aca="false">IF($A143="","",IFERROR(INDEX(Policy!$B$2:$B$301,MATCH($A143,Policy!$A$2:$A$301,0)),"MRO không có"))</f>
        <v/>
      </c>
      <c r="C143" s="17" t="str">
        <f aca="false">IF($A143="","",IFERROR(INDEX(Policy!$E$2:$E$301,MATCH($A143,Policy!$A$2:$A$301,0)),"MRO không có"))</f>
        <v/>
      </c>
      <c r="D143" s="14"/>
      <c r="E143" s="15"/>
      <c r="F143" s="15"/>
      <c r="G143" s="25"/>
      <c r="H143" s="23"/>
      <c r="I143" s="15"/>
      <c r="J143" s="14"/>
      <c r="K143" s="23"/>
      <c r="L143" s="15"/>
      <c r="M143" s="25"/>
      <c r="N143" s="23"/>
      <c r="O143" s="15"/>
      <c r="P143" s="14"/>
      <c r="Q143" s="23"/>
      <c r="R143" s="15"/>
      <c r="S143" s="25"/>
      <c r="T143" s="23"/>
      <c r="U143" s="15"/>
      <c r="V143" s="14"/>
      <c r="W143" s="23"/>
      <c r="X143" s="15"/>
      <c r="Y143" s="25"/>
      <c r="Z143" s="23"/>
      <c r="AA143" s="15"/>
      <c r="AB143" s="14"/>
      <c r="AC143" s="23"/>
      <c r="AD143" s="15"/>
      <c r="AE143" s="25"/>
      <c r="AF143" s="23"/>
      <c r="AG143" s="15"/>
      <c r="AH143" s="14"/>
      <c r="AI143" s="23"/>
      <c r="AJ143" s="15"/>
      <c r="AK143" s="25"/>
      <c r="AL143" s="23"/>
      <c r="AM143" s="15"/>
      <c r="AN143" s="14"/>
      <c r="AO143" s="23"/>
      <c r="AP143" s="15"/>
      <c r="AQ143" s="25"/>
      <c r="AR143" s="23"/>
      <c r="AS143" s="15"/>
      <c r="AT143" s="14"/>
      <c r="AU143" s="23"/>
      <c r="AV143" s="15"/>
      <c r="AW143" s="25"/>
      <c r="AX143" s="23"/>
      <c r="AY143" s="15"/>
      <c r="AZ143" s="14"/>
      <c r="BA143" s="23"/>
      <c r="BB143" s="15"/>
      <c r="BC143" s="25"/>
      <c r="BD143" s="23"/>
      <c r="BE143" s="15"/>
      <c r="BF143" s="14"/>
      <c r="BG143" s="23"/>
      <c r="BH143" s="15"/>
      <c r="BI143" s="25"/>
      <c r="BJ143" s="23"/>
      <c r="BK143" s="15"/>
      <c r="BL143" s="14"/>
      <c r="BM143" s="23"/>
      <c r="BN143" s="15"/>
      <c r="BO143" s="25"/>
      <c r="BP143" s="23"/>
      <c r="BQ143" s="15"/>
      <c r="BR143" s="14"/>
      <c r="BS143" s="23"/>
      <c r="BT143" s="15"/>
      <c r="BU143" s="25"/>
      <c r="BV143" s="23"/>
      <c r="BW143" s="15"/>
      <c r="BX143" s="14"/>
      <c r="BY143" s="23"/>
      <c r="BZ143" s="15"/>
    </row>
    <row r="144" customFormat="false" ht="15" hidden="false" customHeight="false" outlineLevel="0" collapsed="false">
      <c r="A144" s="14"/>
      <c r="B144" s="17" t="str">
        <f aca="false">IF($A144="","",IFERROR(INDEX(Policy!$B$2:$B$301,MATCH($A144,Policy!$A$2:$A$301,0)),"MRO không có"))</f>
        <v/>
      </c>
      <c r="C144" s="17" t="str">
        <f aca="false">IF($A144="","",IFERROR(INDEX(Policy!$E$2:$E$301,MATCH($A144,Policy!$A$2:$A$301,0)),"MRO không có"))</f>
        <v/>
      </c>
      <c r="D144" s="14"/>
      <c r="E144" s="15"/>
      <c r="F144" s="15"/>
      <c r="G144" s="25"/>
      <c r="H144" s="23"/>
      <c r="I144" s="15"/>
      <c r="J144" s="14"/>
      <c r="K144" s="23"/>
      <c r="L144" s="15"/>
      <c r="M144" s="25"/>
      <c r="N144" s="23"/>
      <c r="O144" s="15"/>
      <c r="P144" s="14"/>
      <c r="Q144" s="23"/>
      <c r="R144" s="15"/>
      <c r="S144" s="25"/>
      <c r="T144" s="23"/>
      <c r="U144" s="15"/>
      <c r="V144" s="14"/>
      <c r="W144" s="23"/>
      <c r="X144" s="15"/>
      <c r="Y144" s="25"/>
      <c r="Z144" s="23"/>
      <c r="AA144" s="15"/>
      <c r="AB144" s="14"/>
      <c r="AC144" s="23"/>
      <c r="AD144" s="15"/>
      <c r="AE144" s="25"/>
      <c r="AF144" s="23"/>
      <c r="AG144" s="15"/>
      <c r="AH144" s="14"/>
      <c r="AI144" s="23"/>
      <c r="AJ144" s="15"/>
      <c r="AK144" s="25"/>
      <c r="AL144" s="23"/>
      <c r="AM144" s="15"/>
      <c r="AN144" s="14"/>
      <c r="AO144" s="23"/>
      <c r="AP144" s="15"/>
      <c r="AQ144" s="25"/>
      <c r="AR144" s="23"/>
      <c r="AS144" s="15"/>
      <c r="AT144" s="14"/>
      <c r="AU144" s="23"/>
      <c r="AV144" s="15"/>
      <c r="AW144" s="25"/>
      <c r="AX144" s="23"/>
      <c r="AY144" s="15"/>
      <c r="AZ144" s="14"/>
      <c r="BA144" s="23"/>
      <c r="BB144" s="15"/>
      <c r="BC144" s="25"/>
      <c r="BD144" s="23"/>
      <c r="BE144" s="15"/>
      <c r="BF144" s="14"/>
      <c r="BG144" s="23"/>
      <c r="BH144" s="15"/>
      <c r="BI144" s="25"/>
      <c r="BJ144" s="23"/>
      <c r="BK144" s="15"/>
      <c r="BL144" s="14"/>
      <c r="BM144" s="23"/>
      <c r="BN144" s="15"/>
      <c r="BO144" s="25"/>
      <c r="BP144" s="23"/>
      <c r="BQ144" s="15"/>
      <c r="BR144" s="14"/>
      <c r="BS144" s="23"/>
      <c r="BT144" s="15"/>
      <c r="BU144" s="25"/>
      <c r="BV144" s="23"/>
      <c r="BW144" s="15"/>
      <c r="BX144" s="14"/>
      <c r="BY144" s="23"/>
      <c r="BZ144" s="15"/>
    </row>
    <row r="145" customFormat="false" ht="15" hidden="false" customHeight="false" outlineLevel="0" collapsed="false">
      <c r="A145" s="14"/>
      <c r="B145" s="17" t="str">
        <f aca="false">IF($A145="","",IFERROR(INDEX(Policy!$B$2:$B$301,MATCH($A145,Policy!$A$2:$A$301,0)),"MRO không có"))</f>
        <v/>
      </c>
      <c r="C145" s="17" t="str">
        <f aca="false">IF($A145="","",IFERROR(INDEX(Policy!$E$2:$E$301,MATCH($A145,Policy!$A$2:$A$301,0)),"MRO không có"))</f>
        <v/>
      </c>
      <c r="D145" s="14"/>
      <c r="E145" s="15"/>
      <c r="F145" s="15"/>
      <c r="G145" s="25"/>
      <c r="H145" s="23"/>
      <c r="I145" s="15"/>
      <c r="J145" s="14"/>
      <c r="K145" s="23"/>
      <c r="L145" s="15"/>
      <c r="M145" s="25"/>
      <c r="N145" s="23"/>
      <c r="O145" s="15"/>
      <c r="P145" s="14"/>
      <c r="Q145" s="23"/>
      <c r="R145" s="15"/>
      <c r="S145" s="25"/>
      <c r="T145" s="23"/>
      <c r="U145" s="15"/>
      <c r="V145" s="14"/>
      <c r="W145" s="23"/>
      <c r="X145" s="15"/>
      <c r="Y145" s="25"/>
      <c r="Z145" s="23"/>
      <c r="AA145" s="15"/>
      <c r="AB145" s="14"/>
      <c r="AC145" s="23"/>
      <c r="AD145" s="15"/>
      <c r="AE145" s="25"/>
      <c r="AF145" s="23"/>
      <c r="AG145" s="15"/>
      <c r="AH145" s="14"/>
      <c r="AI145" s="23"/>
      <c r="AJ145" s="15"/>
      <c r="AK145" s="25"/>
      <c r="AL145" s="23"/>
      <c r="AM145" s="15"/>
      <c r="AN145" s="14"/>
      <c r="AO145" s="23"/>
      <c r="AP145" s="15"/>
      <c r="AQ145" s="25"/>
      <c r="AR145" s="23"/>
      <c r="AS145" s="15"/>
      <c r="AT145" s="14"/>
      <c r="AU145" s="23"/>
      <c r="AV145" s="15"/>
      <c r="AW145" s="25"/>
      <c r="AX145" s="23"/>
      <c r="AY145" s="15"/>
      <c r="AZ145" s="14"/>
      <c r="BA145" s="23"/>
      <c r="BB145" s="15"/>
      <c r="BC145" s="25"/>
      <c r="BD145" s="23"/>
      <c r="BE145" s="15"/>
      <c r="BF145" s="14"/>
      <c r="BG145" s="23"/>
      <c r="BH145" s="15"/>
      <c r="BI145" s="25"/>
      <c r="BJ145" s="23"/>
      <c r="BK145" s="15"/>
      <c r="BL145" s="14"/>
      <c r="BM145" s="23"/>
      <c r="BN145" s="15"/>
      <c r="BO145" s="25"/>
      <c r="BP145" s="23"/>
      <c r="BQ145" s="15"/>
      <c r="BR145" s="14"/>
      <c r="BS145" s="23"/>
      <c r="BT145" s="15"/>
      <c r="BU145" s="25"/>
      <c r="BV145" s="23"/>
      <c r="BW145" s="15"/>
      <c r="BX145" s="14"/>
      <c r="BY145" s="23"/>
      <c r="BZ145" s="15"/>
    </row>
    <row r="146" customFormat="false" ht="15" hidden="false" customHeight="false" outlineLevel="0" collapsed="false">
      <c r="A146" s="14"/>
      <c r="B146" s="17" t="str">
        <f aca="false">IF($A146="","",IFERROR(INDEX(Policy!$B$2:$B$301,MATCH($A146,Policy!$A$2:$A$301,0)),"MRO không có"))</f>
        <v/>
      </c>
      <c r="C146" s="17" t="str">
        <f aca="false">IF($A146="","",IFERROR(INDEX(Policy!$E$2:$E$301,MATCH($A146,Policy!$A$2:$A$301,0)),"MRO không có"))</f>
        <v/>
      </c>
      <c r="D146" s="14"/>
      <c r="E146" s="15"/>
      <c r="F146" s="15"/>
      <c r="G146" s="25"/>
      <c r="H146" s="23"/>
      <c r="I146" s="15"/>
      <c r="J146" s="14"/>
      <c r="K146" s="23"/>
      <c r="L146" s="15"/>
      <c r="M146" s="25"/>
      <c r="N146" s="23"/>
      <c r="O146" s="15"/>
      <c r="P146" s="14"/>
      <c r="Q146" s="23"/>
      <c r="R146" s="15"/>
      <c r="S146" s="25"/>
      <c r="T146" s="23"/>
      <c r="U146" s="15"/>
      <c r="V146" s="14"/>
      <c r="W146" s="23"/>
      <c r="X146" s="15"/>
      <c r="Y146" s="25"/>
      <c r="Z146" s="23"/>
      <c r="AA146" s="15"/>
      <c r="AB146" s="14"/>
      <c r="AC146" s="23"/>
      <c r="AD146" s="15"/>
      <c r="AE146" s="25"/>
      <c r="AF146" s="23"/>
      <c r="AG146" s="15"/>
      <c r="AH146" s="14"/>
      <c r="AI146" s="23"/>
      <c r="AJ146" s="15"/>
      <c r="AK146" s="25"/>
      <c r="AL146" s="23"/>
      <c r="AM146" s="15"/>
      <c r="AN146" s="14"/>
      <c r="AO146" s="23"/>
      <c r="AP146" s="15"/>
      <c r="AQ146" s="25"/>
      <c r="AR146" s="23"/>
      <c r="AS146" s="15"/>
      <c r="AT146" s="14"/>
      <c r="AU146" s="23"/>
      <c r="AV146" s="15"/>
      <c r="AW146" s="25"/>
      <c r="AX146" s="23"/>
      <c r="AY146" s="15"/>
      <c r="AZ146" s="14"/>
      <c r="BA146" s="23"/>
      <c r="BB146" s="15"/>
      <c r="BC146" s="25"/>
      <c r="BD146" s="23"/>
      <c r="BE146" s="15"/>
      <c r="BF146" s="14"/>
      <c r="BG146" s="23"/>
      <c r="BH146" s="15"/>
      <c r="BI146" s="25"/>
      <c r="BJ146" s="23"/>
      <c r="BK146" s="15"/>
      <c r="BL146" s="14"/>
      <c r="BM146" s="23"/>
      <c r="BN146" s="15"/>
      <c r="BO146" s="25"/>
      <c r="BP146" s="23"/>
      <c r="BQ146" s="15"/>
      <c r="BR146" s="14"/>
      <c r="BS146" s="23"/>
      <c r="BT146" s="15"/>
      <c r="BU146" s="25"/>
      <c r="BV146" s="23"/>
      <c r="BW146" s="15"/>
      <c r="BX146" s="14"/>
      <c r="BY146" s="23"/>
      <c r="BZ146" s="15"/>
    </row>
    <row r="147" customFormat="false" ht="15" hidden="false" customHeight="false" outlineLevel="0" collapsed="false">
      <c r="A147" s="14"/>
      <c r="B147" s="17" t="str">
        <f aca="false">IF($A147="","",IFERROR(INDEX(Policy!$B$2:$B$301,MATCH($A147,Policy!$A$2:$A$301,0)),"MRO không có"))</f>
        <v/>
      </c>
      <c r="C147" s="17" t="str">
        <f aca="false">IF($A147="","",IFERROR(INDEX(Policy!$E$2:$E$301,MATCH($A147,Policy!$A$2:$A$301,0)),"MRO không có"))</f>
        <v/>
      </c>
      <c r="D147" s="14"/>
      <c r="E147" s="15"/>
      <c r="F147" s="15"/>
      <c r="G147" s="25"/>
      <c r="H147" s="23"/>
      <c r="I147" s="15"/>
      <c r="J147" s="14"/>
      <c r="K147" s="23"/>
      <c r="L147" s="15"/>
      <c r="M147" s="25"/>
      <c r="N147" s="23"/>
      <c r="O147" s="15"/>
      <c r="P147" s="14"/>
      <c r="Q147" s="23"/>
      <c r="R147" s="15"/>
      <c r="S147" s="25"/>
      <c r="T147" s="23"/>
      <c r="U147" s="15"/>
      <c r="V147" s="14"/>
      <c r="W147" s="23"/>
      <c r="X147" s="15"/>
      <c r="Y147" s="25"/>
      <c r="Z147" s="23"/>
      <c r="AA147" s="15"/>
      <c r="AB147" s="14"/>
      <c r="AC147" s="23"/>
      <c r="AD147" s="15"/>
      <c r="AE147" s="25"/>
      <c r="AF147" s="23"/>
      <c r="AG147" s="15"/>
      <c r="AH147" s="14"/>
      <c r="AI147" s="23"/>
      <c r="AJ147" s="15"/>
      <c r="AK147" s="25"/>
      <c r="AL147" s="23"/>
      <c r="AM147" s="15"/>
      <c r="AN147" s="14"/>
      <c r="AO147" s="23"/>
      <c r="AP147" s="15"/>
      <c r="AQ147" s="25"/>
      <c r="AR147" s="23"/>
      <c r="AS147" s="15"/>
      <c r="AT147" s="14"/>
      <c r="AU147" s="23"/>
      <c r="AV147" s="15"/>
      <c r="AW147" s="25"/>
      <c r="AX147" s="23"/>
      <c r="AY147" s="15"/>
      <c r="AZ147" s="14"/>
      <c r="BA147" s="23"/>
      <c r="BB147" s="15"/>
      <c r="BC147" s="25"/>
      <c r="BD147" s="23"/>
      <c r="BE147" s="15"/>
      <c r="BF147" s="14"/>
      <c r="BG147" s="23"/>
      <c r="BH147" s="15"/>
      <c r="BI147" s="25"/>
      <c r="BJ147" s="23"/>
      <c r="BK147" s="15"/>
      <c r="BL147" s="14"/>
      <c r="BM147" s="23"/>
      <c r="BN147" s="15"/>
      <c r="BO147" s="25"/>
      <c r="BP147" s="23"/>
      <c r="BQ147" s="15"/>
      <c r="BR147" s="14"/>
      <c r="BS147" s="23"/>
      <c r="BT147" s="15"/>
      <c r="BU147" s="25"/>
      <c r="BV147" s="23"/>
      <c r="BW147" s="15"/>
      <c r="BX147" s="14"/>
      <c r="BY147" s="23"/>
      <c r="BZ147" s="15"/>
    </row>
    <row r="148" customFormat="false" ht="15" hidden="false" customHeight="false" outlineLevel="0" collapsed="false">
      <c r="A148" s="14"/>
      <c r="B148" s="17" t="str">
        <f aca="false">IF($A148="","",IFERROR(INDEX(Policy!$B$2:$B$301,MATCH($A148,Policy!$A$2:$A$301,0)),"MRO không có"))</f>
        <v/>
      </c>
      <c r="C148" s="17" t="str">
        <f aca="false">IF($A148="","",IFERROR(INDEX(Policy!$E$2:$E$301,MATCH($A148,Policy!$A$2:$A$301,0)),"MRO không có"))</f>
        <v/>
      </c>
      <c r="D148" s="14"/>
      <c r="E148" s="15"/>
      <c r="F148" s="15"/>
      <c r="G148" s="25"/>
      <c r="H148" s="23"/>
      <c r="I148" s="15"/>
      <c r="J148" s="14"/>
      <c r="K148" s="23"/>
      <c r="L148" s="15"/>
      <c r="M148" s="25"/>
      <c r="N148" s="23"/>
      <c r="O148" s="15"/>
      <c r="P148" s="14"/>
      <c r="Q148" s="23"/>
      <c r="R148" s="15"/>
      <c r="S148" s="25"/>
      <c r="T148" s="23"/>
      <c r="U148" s="15"/>
      <c r="V148" s="14"/>
      <c r="W148" s="23"/>
      <c r="X148" s="15"/>
      <c r="Y148" s="25"/>
      <c r="Z148" s="23"/>
      <c r="AA148" s="15"/>
      <c r="AB148" s="14"/>
      <c r="AC148" s="23"/>
      <c r="AD148" s="15"/>
      <c r="AE148" s="25"/>
      <c r="AF148" s="23"/>
      <c r="AG148" s="15"/>
      <c r="AH148" s="14"/>
      <c r="AI148" s="23"/>
      <c r="AJ148" s="15"/>
      <c r="AK148" s="25"/>
      <c r="AL148" s="23"/>
      <c r="AM148" s="15"/>
      <c r="AN148" s="14"/>
      <c r="AO148" s="23"/>
      <c r="AP148" s="15"/>
      <c r="AQ148" s="25"/>
      <c r="AR148" s="23"/>
      <c r="AS148" s="15"/>
      <c r="AT148" s="14"/>
      <c r="AU148" s="23"/>
      <c r="AV148" s="15"/>
      <c r="AW148" s="25"/>
      <c r="AX148" s="23"/>
      <c r="AY148" s="15"/>
      <c r="AZ148" s="14"/>
      <c r="BA148" s="23"/>
      <c r="BB148" s="15"/>
      <c r="BC148" s="25"/>
      <c r="BD148" s="23"/>
      <c r="BE148" s="15"/>
      <c r="BF148" s="14"/>
      <c r="BG148" s="23"/>
      <c r="BH148" s="15"/>
      <c r="BI148" s="25"/>
      <c r="BJ148" s="23"/>
      <c r="BK148" s="15"/>
      <c r="BL148" s="14"/>
      <c r="BM148" s="23"/>
      <c r="BN148" s="15"/>
      <c r="BO148" s="25"/>
      <c r="BP148" s="23"/>
      <c r="BQ148" s="15"/>
      <c r="BR148" s="14"/>
      <c r="BS148" s="23"/>
      <c r="BT148" s="15"/>
      <c r="BU148" s="25"/>
      <c r="BV148" s="23"/>
      <c r="BW148" s="15"/>
      <c r="BX148" s="14"/>
      <c r="BY148" s="23"/>
      <c r="BZ148" s="15"/>
    </row>
    <row r="149" customFormat="false" ht="15" hidden="false" customHeight="false" outlineLevel="0" collapsed="false">
      <c r="A149" s="14"/>
      <c r="B149" s="17" t="str">
        <f aca="false">IF($A149="","",IFERROR(INDEX(Policy!$B$2:$B$301,MATCH($A149,Policy!$A$2:$A$301,0)),"MRO không có"))</f>
        <v/>
      </c>
      <c r="C149" s="17" t="str">
        <f aca="false">IF($A149="","",IFERROR(INDEX(Policy!$E$2:$E$301,MATCH($A149,Policy!$A$2:$A$301,0)),"MRO không có"))</f>
        <v/>
      </c>
      <c r="D149" s="14"/>
      <c r="E149" s="15"/>
      <c r="F149" s="15"/>
      <c r="G149" s="25"/>
      <c r="H149" s="23"/>
      <c r="I149" s="15"/>
      <c r="J149" s="14"/>
      <c r="K149" s="23"/>
      <c r="L149" s="15"/>
      <c r="M149" s="25"/>
      <c r="N149" s="23"/>
      <c r="O149" s="15"/>
      <c r="P149" s="14"/>
      <c r="Q149" s="23"/>
      <c r="R149" s="15"/>
      <c r="S149" s="25"/>
      <c r="T149" s="23"/>
      <c r="U149" s="15"/>
      <c r="V149" s="14"/>
      <c r="W149" s="23"/>
      <c r="X149" s="15"/>
      <c r="Y149" s="25"/>
      <c r="Z149" s="23"/>
      <c r="AA149" s="15"/>
      <c r="AB149" s="14"/>
      <c r="AC149" s="23"/>
      <c r="AD149" s="15"/>
      <c r="AE149" s="25"/>
      <c r="AF149" s="23"/>
      <c r="AG149" s="15"/>
      <c r="AH149" s="14"/>
      <c r="AI149" s="23"/>
      <c r="AJ149" s="15"/>
      <c r="AK149" s="25"/>
      <c r="AL149" s="23"/>
      <c r="AM149" s="15"/>
      <c r="AN149" s="14"/>
      <c r="AO149" s="23"/>
      <c r="AP149" s="15"/>
      <c r="AQ149" s="25"/>
      <c r="AR149" s="23"/>
      <c r="AS149" s="15"/>
      <c r="AT149" s="14"/>
      <c r="AU149" s="23"/>
      <c r="AV149" s="15"/>
      <c r="AW149" s="25"/>
      <c r="AX149" s="23"/>
      <c r="AY149" s="15"/>
      <c r="AZ149" s="14"/>
      <c r="BA149" s="23"/>
      <c r="BB149" s="15"/>
      <c r="BC149" s="25"/>
      <c r="BD149" s="23"/>
      <c r="BE149" s="15"/>
      <c r="BF149" s="14"/>
      <c r="BG149" s="23"/>
      <c r="BH149" s="15"/>
      <c r="BI149" s="25"/>
      <c r="BJ149" s="23"/>
      <c r="BK149" s="15"/>
      <c r="BL149" s="14"/>
      <c r="BM149" s="23"/>
      <c r="BN149" s="15"/>
      <c r="BO149" s="25"/>
      <c r="BP149" s="23"/>
      <c r="BQ149" s="15"/>
      <c r="BR149" s="14"/>
      <c r="BS149" s="23"/>
      <c r="BT149" s="15"/>
      <c r="BU149" s="25"/>
      <c r="BV149" s="23"/>
      <c r="BW149" s="15"/>
      <c r="BX149" s="14"/>
      <c r="BY149" s="23"/>
      <c r="BZ149" s="15"/>
    </row>
    <row r="150" customFormat="false" ht="15" hidden="false" customHeight="false" outlineLevel="0" collapsed="false">
      <c r="A150" s="14"/>
      <c r="B150" s="17" t="str">
        <f aca="false">IF($A150="","",IFERROR(INDEX(Policy!$B$2:$B$301,MATCH($A150,Policy!$A$2:$A$301,0)),"MRO không có"))</f>
        <v/>
      </c>
      <c r="C150" s="17" t="str">
        <f aca="false">IF($A150="","",IFERROR(INDEX(Policy!$E$2:$E$301,MATCH($A150,Policy!$A$2:$A$301,0)),"MRO không có"))</f>
        <v/>
      </c>
      <c r="D150" s="14"/>
      <c r="E150" s="15"/>
      <c r="F150" s="15"/>
      <c r="G150" s="25"/>
      <c r="H150" s="23"/>
      <c r="I150" s="15"/>
      <c r="J150" s="14"/>
      <c r="K150" s="23"/>
      <c r="L150" s="15"/>
      <c r="M150" s="25"/>
      <c r="N150" s="23"/>
      <c r="O150" s="15"/>
      <c r="P150" s="14"/>
      <c r="Q150" s="23"/>
      <c r="R150" s="15"/>
      <c r="S150" s="25"/>
      <c r="T150" s="23"/>
      <c r="U150" s="15"/>
      <c r="V150" s="14"/>
      <c r="W150" s="23"/>
      <c r="X150" s="15"/>
      <c r="Y150" s="25"/>
      <c r="Z150" s="23"/>
      <c r="AA150" s="15"/>
      <c r="AB150" s="14"/>
      <c r="AC150" s="23"/>
      <c r="AD150" s="15"/>
      <c r="AE150" s="25"/>
      <c r="AF150" s="23"/>
      <c r="AG150" s="15"/>
      <c r="AH150" s="14"/>
      <c r="AI150" s="23"/>
      <c r="AJ150" s="15"/>
      <c r="AK150" s="25"/>
      <c r="AL150" s="23"/>
      <c r="AM150" s="15"/>
      <c r="AN150" s="14"/>
      <c r="AO150" s="23"/>
      <c r="AP150" s="15"/>
      <c r="AQ150" s="25"/>
      <c r="AR150" s="23"/>
      <c r="AS150" s="15"/>
      <c r="AT150" s="14"/>
      <c r="AU150" s="23"/>
      <c r="AV150" s="15"/>
      <c r="AW150" s="25"/>
      <c r="AX150" s="23"/>
      <c r="AY150" s="15"/>
      <c r="AZ150" s="14"/>
      <c r="BA150" s="23"/>
      <c r="BB150" s="15"/>
      <c r="BC150" s="25"/>
      <c r="BD150" s="23"/>
      <c r="BE150" s="15"/>
      <c r="BF150" s="14"/>
      <c r="BG150" s="23"/>
      <c r="BH150" s="15"/>
      <c r="BI150" s="25"/>
      <c r="BJ150" s="23"/>
      <c r="BK150" s="15"/>
      <c r="BL150" s="14"/>
      <c r="BM150" s="23"/>
      <c r="BN150" s="15"/>
      <c r="BO150" s="25"/>
      <c r="BP150" s="23"/>
      <c r="BQ150" s="15"/>
      <c r="BR150" s="14"/>
      <c r="BS150" s="23"/>
      <c r="BT150" s="15"/>
      <c r="BU150" s="25"/>
      <c r="BV150" s="23"/>
      <c r="BW150" s="15"/>
      <c r="BX150" s="14"/>
      <c r="BY150" s="23"/>
      <c r="BZ150" s="15"/>
    </row>
    <row r="151" customFormat="false" ht="15" hidden="false" customHeight="false" outlineLevel="0" collapsed="false">
      <c r="A151" s="14"/>
      <c r="B151" s="17" t="str">
        <f aca="false">IF($A151="","",IFERROR(INDEX(Policy!$B$2:$B$301,MATCH($A151,Policy!$A$2:$A$301,0)),"MRO không có"))</f>
        <v/>
      </c>
      <c r="C151" s="17" t="str">
        <f aca="false">IF($A151="","",IFERROR(INDEX(Policy!$E$2:$E$301,MATCH($A151,Policy!$A$2:$A$301,0)),"MRO không có"))</f>
        <v/>
      </c>
      <c r="D151" s="14"/>
      <c r="E151" s="15"/>
      <c r="F151" s="15"/>
      <c r="G151" s="25"/>
      <c r="H151" s="23"/>
      <c r="I151" s="15"/>
      <c r="J151" s="14"/>
      <c r="K151" s="23"/>
      <c r="L151" s="15"/>
      <c r="M151" s="25"/>
      <c r="N151" s="23"/>
      <c r="O151" s="15"/>
      <c r="P151" s="14"/>
      <c r="Q151" s="23"/>
      <c r="R151" s="15"/>
      <c r="S151" s="25"/>
      <c r="T151" s="23"/>
      <c r="U151" s="15"/>
      <c r="V151" s="14"/>
      <c r="W151" s="23"/>
      <c r="X151" s="15"/>
      <c r="Y151" s="25"/>
      <c r="Z151" s="23"/>
      <c r="AA151" s="15"/>
      <c r="AB151" s="14"/>
      <c r="AC151" s="23"/>
      <c r="AD151" s="15"/>
      <c r="AE151" s="25"/>
      <c r="AF151" s="23"/>
      <c r="AG151" s="15"/>
      <c r="AH151" s="14"/>
      <c r="AI151" s="23"/>
      <c r="AJ151" s="15"/>
      <c r="AK151" s="25"/>
      <c r="AL151" s="23"/>
      <c r="AM151" s="15"/>
      <c r="AN151" s="14"/>
      <c r="AO151" s="23"/>
      <c r="AP151" s="15"/>
      <c r="AQ151" s="25"/>
      <c r="AR151" s="23"/>
      <c r="AS151" s="15"/>
      <c r="AT151" s="14"/>
      <c r="AU151" s="23"/>
      <c r="AV151" s="15"/>
      <c r="AW151" s="25"/>
      <c r="AX151" s="23"/>
      <c r="AY151" s="15"/>
      <c r="AZ151" s="14"/>
      <c r="BA151" s="23"/>
      <c r="BB151" s="15"/>
      <c r="BC151" s="25"/>
      <c r="BD151" s="23"/>
      <c r="BE151" s="15"/>
      <c r="BF151" s="14"/>
      <c r="BG151" s="23"/>
      <c r="BH151" s="15"/>
      <c r="BI151" s="25"/>
      <c r="BJ151" s="23"/>
      <c r="BK151" s="15"/>
      <c r="BL151" s="14"/>
      <c r="BM151" s="23"/>
      <c r="BN151" s="15"/>
      <c r="BO151" s="25"/>
      <c r="BP151" s="23"/>
      <c r="BQ151" s="15"/>
      <c r="BR151" s="14"/>
      <c r="BS151" s="23"/>
      <c r="BT151" s="15"/>
      <c r="BU151" s="25"/>
      <c r="BV151" s="23"/>
      <c r="BW151" s="15"/>
      <c r="BX151" s="14"/>
      <c r="BY151" s="23"/>
      <c r="BZ151" s="15"/>
    </row>
    <row r="152" customFormat="false" ht="15" hidden="false" customHeight="false" outlineLevel="0" collapsed="false">
      <c r="A152" s="14"/>
      <c r="B152" s="17" t="str">
        <f aca="false">IF($A152="","",IFERROR(INDEX(Policy!$B$2:$B$301,MATCH($A152,Policy!$A$2:$A$301,0)),"MRO không có"))</f>
        <v/>
      </c>
      <c r="C152" s="17" t="str">
        <f aca="false">IF($A152="","",IFERROR(INDEX(Policy!$E$2:$E$301,MATCH($A152,Policy!$A$2:$A$301,0)),"MRO không có"))</f>
        <v/>
      </c>
      <c r="D152" s="14"/>
      <c r="E152" s="15"/>
      <c r="F152" s="15"/>
      <c r="G152" s="25"/>
      <c r="H152" s="23"/>
      <c r="I152" s="15"/>
      <c r="J152" s="14"/>
      <c r="K152" s="23"/>
      <c r="L152" s="15"/>
      <c r="M152" s="25"/>
      <c r="N152" s="23"/>
      <c r="O152" s="15"/>
      <c r="P152" s="14"/>
      <c r="Q152" s="23"/>
      <c r="R152" s="15"/>
      <c r="S152" s="25"/>
      <c r="T152" s="23"/>
      <c r="U152" s="15"/>
      <c r="V152" s="14"/>
      <c r="W152" s="23"/>
      <c r="X152" s="15"/>
      <c r="Y152" s="25"/>
      <c r="Z152" s="23"/>
      <c r="AA152" s="15"/>
      <c r="AB152" s="14"/>
      <c r="AC152" s="23"/>
      <c r="AD152" s="15"/>
      <c r="AE152" s="25"/>
      <c r="AF152" s="23"/>
      <c r="AG152" s="15"/>
      <c r="AH152" s="14"/>
      <c r="AI152" s="23"/>
      <c r="AJ152" s="15"/>
      <c r="AK152" s="25"/>
      <c r="AL152" s="23"/>
      <c r="AM152" s="15"/>
      <c r="AN152" s="14"/>
      <c r="AO152" s="23"/>
      <c r="AP152" s="15"/>
      <c r="AQ152" s="25"/>
      <c r="AR152" s="23"/>
      <c r="AS152" s="15"/>
      <c r="AT152" s="14"/>
      <c r="AU152" s="23"/>
      <c r="AV152" s="15"/>
      <c r="AW152" s="25"/>
      <c r="AX152" s="23"/>
      <c r="AY152" s="15"/>
      <c r="AZ152" s="14"/>
      <c r="BA152" s="23"/>
      <c r="BB152" s="15"/>
      <c r="BC152" s="25"/>
      <c r="BD152" s="23"/>
      <c r="BE152" s="15"/>
      <c r="BF152" s="14"/>
      <c r="BG152" s="23"/>
      <c r="BH152" s="15"/>
      <c r="BI152" s="25"/>
      <c r="BJ152" s="23"/>
      <c r="BK152" s="15"/>
      <c r="BL152" s="14"/>
      <c r="BM152" s="23"/>
      <c r="BN152" s="15"/>
      <c r="BO152" s="25"/>
      <c r="BP152" s="23"/>
      <c r="BQ152" s="15"/>
      <c r="BR152" s="14"/>
      <c r="BS152" s="23"/>
      <c r="BT152" s="15"/>
      <c r="BU152" s="25"/>
      <c r="BV152" s="23"/>
      <c r="BW152" s="15"/>
      <c r="BX152" s="14"/>
      <c r="BY152" s="23"/>
      <c r="BZ152" s="15"/>
    </row>
    <row r="153" customFormat="false" ht="15" hidden="false" customHeight="false" outlineLevel="0" collapsed="false">
      <c r="A153" s="14"/>
      <c r="B153" s="17" t="str">
        <f aca="false">IF($A153="","",IFERROR(INDEX(Policy!$B$2:$B$301,MATCH($A153,Policy!$A$2:$A$301,0)),"MRO không có"))</f>
        <v/>
      </c>
      <c r="C153" s="17" t="str">
        <f aca="false">IF($A153="","",IFERROR(INDEX(Policy!$E$2:$E$301,MATCH($A153,Policy!$A$2:$A$301,0)),"MRO không có"))</f>
        <v/>
      </c>
      <c r="D153" s="14"/>
      <c r="E153" s="15"/>
      <c r="F153" s="15"/>
      <c r="G153" s="25"/>
      <c r="H153" s="23"/>
      <c r="I153" s="15"/>
      <c r="J153" s="14"/>
      <c r="K153" s="23"/>
      <c r="L153" s="15"/>
      <c r="M153" s="25"/>
      <c r="N153" s="23"/>
      <c r="O153" s="15"/>
      <c r="P153" s="14"/>
      <c r="Q153" s="23"/>
      <c r="R153" s="15"/>
      <c r="S153" s="25"/>
      <c r="T153" s="23"/>
      <c r="U153" s="15"/>
      <c r="V153" s="14"/>
      <c r="W153" s="23"/>
      <c r="X153" s="15"/>
      <c r="Y153" s="25"/>
      <c r="Z153" s="23"/>
      <c r="AA153" s="15"/>
      <c r="AB153" s="14"/>
      <c r="AC153" s="23"/>
      <c r="AD153" s="15"/>
      <c r="AE153" s="25"/>
      <c r="AF153" s="23"/>
      <c r="AG153" s="15"/>
      <c r="AH153" s="14"/>
      <c r="AI153" s="23"/>
      <c r="AJ153" s="15"/>
      <c r="AK153" s="25"/>
      <c r="AL153" s="23"/>
      <c r="AM153" s="15"/>
      <c r="AN153" s="14"/>
      <c r="AO153" s="23"/>
      <c r="AP153" s="15"/>
      <c r="AQ153" s="25"/>
      <c r="AR153" s="23"/>
      <c r="AS153" s="15"/>
      <c r="AT153" s="14"/>
      <c r="AU153" s="23"/>
      <c r="AV153" s="15"/>
      <c r="AW153" s="25"/>
      <c r="AX153" s="23"/>
      <c r="AY153" s="15"/>
      <c r="AZ153" s="14"/>
      <c r="BA153" s="23"/>
      <c r="BB153" s="15"/>
      <c r="BC153" s="25"/>
      <c r="BD153" s="23"/>
      <c r="BE153" s="15"/>
      <c r="BF153" s="14"/>
      <c r="BG153" s="23"/>
      <c r="BH153" s="15"/>
      <c r="BI153" s="25"/>
      <c r="BJ153" s="23"/>
      <c r="BK153" s="15"/>
      <c r="BL153" s="14"/>
      <c r="BM153" s="23"/>
      <c r="BN153" s="15"/>
      <c r="BO153" s="25"/>
      <c r="BP153" s="23"/>
      <c r="BQ153" s="15"/>
      <c r="BR153" s="14"/>
      <c r="BS153" s="23"/>
      <c r="BT153" s="15"/>
      <c r="BU153" s="25"/>
      <c r="BV153" s="23"/>
      <c r="BW153" s="15"/>
      <c r="BX153" s="14"/>
      <c r="BY153" s="23"/>
      <c r="BZ153" s="15"/>
    </row>
    <row r="154" customFormat="false" ht="15" hidden="false" customHeight="false" outlineLevel="0" collapsed="false">
      <c r="A154" s="14"/>
      <c r="B154" s="17" t="str">
        <f aca="false">IF($A154="","",IFERROR(INDEX(Policy!$B$2:$B$301,MATCH($A154,Policy!$A$2:$A$301,0)),"MRO không có"))</f>
        <v/>
      </c>
      <c r="C154" s="17" t="str">
        <f aca="false">IF($A154="","",IFERROR(INDEX(Policy!$E$2:$E$301,MATCH($A154,Policy!$A$2:$A$301,0)),"MRO không có"))</f>
        <v/>
      </c>
      <c r="D154" s="14"/>
      <c r="E154" s="15"/>
      <c r="F154" s="15"/>
      <c r="G154" s="25"/>
      <c r="H154" s="23"/>
      <c r="I154" s="15"/>
      <c r="J154" s="14"/>
      <c r="K154" s="23"/>
      <c r="L154" s="15"/>
      <c r="M154" s="25"/>
      <c r="N154" s="23"/>
      <c r="O154" s="15"/>
      <c r="P154" s="14"/>
      <c r="Q154" s="23"/>
      <c r="R154" s="15"/>
      <c r="S154" s="25"/>
      <c r="T154" s="23"/>
      <c r="U154" s="15"/>
      <c r="V154" s="14"/>
      <c r="W154" s="23"/>
      <c r="X154" s="15"/>
      <c r="Y154" s="25"/>
      <c r="Z154" s="23"/>
      <c r="AA154" s="15"/>
      <c r="AB154" s="14"/>
      <c r="AC154" s="23"/>
      <c r="AD154" s="15"/>
      <c r="AE154" s="25"/>
      <c r="AF154" s="23"/>
      <c r="AG154" s="15"/>
      <c r="AH154" s="14"/>
      <c r="AI154" s="23"/>
      <c r="AJ154" s="15"/>
      <c r="AK154" s="25"/>
      <c r="AL154" s="23"/>
      <c r="AM154" s="15"/>
      <c r="AN154" s="14"/>
      <c r="AO154" s="23"/>
      <c r="AP154" s="15"/>
      <c r="AQ154" s="25"/>
      <c r="AR154" s="23"/>
      <c r="AS154" s="15"/>
      <c r="AT154" s="14"/>
      <c r="AU154" s="23"/>
      <c r="AV154" s="15"/>
      <c r="AW154" s="25"/>
      <c r="AX154" s="23"/>
      <c r="AY154" s="15"/>
      <c r="AZ154" s="14"/>
      <c r="BA154" s="23"/>
      <c r="BB154" s="15"/>
      <c r="BC154" s="25"/>
      <c r="BD154" s="23"/>
      <c r="BE154" s="15"/>
      <c r="BF154" s="14"/>
      <c r="BG154" s="23"/>
      <c r="BH154" s="15"/>
      <c r="BI154" s="25"/>
      <c r="BJ154" s="23"/>
      <c r="BK154" s="15"/>
      <c r="BL154" s="14"/>
      <c r="BM154" s="23"/>
      <c r="BN154" s="15"/>
      <c r="BO154" s="25"/>
      <c r="BP154" s="23"/>
      <c r="BQ154" s="15"/>
      <c r="BR154" s="14"/>
      <c r="BS154" s="23"/>
      <c r="BT154" s="15"/>
      <c r="BU154" s="25"/>
      <c r="BV154" s="23"/>
      <c r="BW154" s="15"/>
      <c r="BX154" s="14"/>
      <c r="BY154" s="23"/>
      <c r="BZ154" s="15"/>
    </row>
    <row r="155" customFormat="false" ht="15" hidden="false" customHeight="false" outlineLevel="0" collapsed="false">
      <c r="A155" s="14"/>
      <c r="B155" s="17" t="str">
        <f aca="false">IF($A155="","",IFERROR(INDEX(Policy!$B$2:$B$301,MATCH($A155,Policy!$A$2:$A$301,0)),"MRO không có"))</f>
        <v/>
      </c>
      <c r="C155" s="17" t="str">
        <f aca="false">IF($A155="","",IFERROR(INDEX(Policy!$E$2:$E$301,MATCH($A155,Policy!$A$2:$A$301,0)),"MRO không có"))</f>
        <v/>
      </c>
      <c r="D155" s="14"/>
      <c r="E155" s="15"/>
      <c r="F155" s="15"/>
      <c r="G155" s="25"/>
      <c r="H155" s="23"/>
      <c r="I155" s="15"/>
      <c r="J155" s="14"/>
      <c r="K155" s="23"/>
      <c r="L155" s="15"/>
      <c r="M155" s="25"/>
      <c r="N155" s="23"/>
      <c r="O155" s="15"/>
      <c r="P155" s="14"/>
      <c r="Q155" s="23"/>
      <c r="R155" s="15"/>
      <c r="S155" s="25"/>
      <c r="T155" s="23"/>
      <c r="U155" s="15"/>
      <c r="V155" s="14"/>
      <c r="W155" s="23"/>
      <c r="X155" s="15"/>
      <c r="Y155" s="25"/>
      <c r="Z155" s="23"/>
      <c r="AA155" s="15"/>
      <c r="AB155" s="14"/>
      <c r="AC155" s="23"/>
      <c r="AD155" s="15"/>
      <c r="AE155" s="25"/>
      <c r="AF155" s="23"/>
      <c r="AG155" s="15"/>
      <c r="AH155" s="14"/>
      <c r="AI155" s="23"/>
      <c r="AJ155" s="15"/>
      <c r="AK155" s="25"/>
      <c r="AL155" s="23"/>
      <c r="AM155" s="15"/>
      <c r="AN155" s="14"/>
      <c r="AO155" s="23"/>
      <c r="AP155" s="15"/>
      <c r="AQ155" s="25"/>
      <c r="AR155" s="23"/>
      <c r="AS155" s="15"/>
      <c r="AT155" s="14"/>
      <c r="AU155" s="23"/>
      <c r="AV155" s="15"/>
      <c r="AW155" s="25"/>
      <c r="AX155" s="23"/>
      <c r="AY155" s="15"/>
      <c r="AZ155" s="14"/>
      <c r="BA155" s="23"/>
      <c r="BB155" s="15"/>
      <c r="BC155" s="25"/>
      <c r="BD155" s="23"/>
      <c r="BE155" s="15"/>
      <c r="BF155" s="14"/>
      <c r="BG155" s="23"/>
      <c r="BH155" s="15"/>
      <c r="BI155" s="25"/>
      <c r="BJ155" s="23"/>
      <c r="BK155" s="15"/>
      <c r="BL155" s="14"/>
      <c r="BM155" s="23"/>
      <c r="BN155" s="15"/>
      <c r="BO155" s="25"/>
      <c r="BP155" s="23"/>
      <c r="BQ155" s="15"/>
      <c r="BR155" s="14"/>
      <c r="BS155" s="23"/>
      <c r="BT155" s="15"/>
      <c r="BU155" s="25"/>
      <c r="BV155" s="23"/>
      <c r="BW155" s="15"/>
      <c r="BX155" s="14"/>
      <c r="BY155" s="23"/>
      <c r="BZ155" s="15"/>
    </row>
    <row r="156" customFormat="false" ht="15" hidden="false" customHeight="false" outlineLevel="0" collapsed="false">
      <c r="A156" s="14"/>
      <c r="B156" s="17" t="str">
        <f aca="false">IF($A156="","",IFERROR(INDEX(Policy!$B$2:$B$301,MATCH($A156,Policy!$A$2:$A$301,0)),"MRO không có"))</f>
        <v/>
      </c>
      <c r="C156" s="17" t="str">
        <f aca="false">IF($A156="","",IFERROR(INDEX(Policy!$E$2:$E$301,MATCH($A156,Policy!$A$2:$A$301,0)),"MRO không có"))</f>
        <v/>
      </c>
      <c r="D156" s="14"/>
      <c r="E156" s="15"/>
      <c r="F156" s="15"/>
      <c r="G156" s="25"/>
      <c r="H156" s="23"/>
      <c r="I156" s="15"/>
      <c r="J156" s="14"/>
      <c r="K156" s="23"/>
      <c r="L156" s="15"/>
      <c r="M156" s="25"/>
      <c r="N156" s="23"/>
      <c r="O156" s="15"/>
      <c r="P156" s="14"/>
      <c r="Q156" s="23"/>
      <c r="R156" s="15"/>
      <c r="S156" s="25"/>
      <c r="T156" s="23"/>
      <c r="U156" s="15"/>
      <c r="V156" s="14"/>
      <c r="W156" s="23"/>
      <c r="X156" s="15"/>
      <c r="Y156" s="25"/>
      <c r="Z156" s="23"/>
      <c r="AA156" s="15"/>
      <c r="AB156" s="14"/>
      <c r="AC156" s="23"/>
      <c r="AD156" s="15"/>
      <c r="AE156" s="25"/>
      <c r="AF156" s="23"/>
      <c r="AG156" s="15"/>
      <c r="AH156" s="14"/>
      <c r="AI156" s="23"/>
      <c r="AJ156" s="15"/>
      <c r="AK156" s="25"/>
      <c r="AL156" s="23"/>
      <c r="AM156" s="15"/>
      <c r="AN156" s="14"/>
      <c r="AO156" s="23"/>
      <c r="AP156" s="15"/>
      <c r="AQ156" s="25"/>
      <c r="AR156" s="23"/>
      <c r="AS156" s="15"/>
      <c r="AT156" s="14"/>
      <c r="AU156" s="23"/>
      <c r="AV156" s="15"/>
      <c r="AW156" s="25"/>
      <c r="AX156" s="23"/>
      <c r="AY156" s="15"/>
      <c r="AZ156" s="14"/>
      <c r="BA156" s="23"/>
      <c r="BB156" s="15"/>
      <c r="BC156" s="25"/>
      <c r="BD156" s="23"/>
      <c r="BE156" s="15"/>
      <c r="BF156" s="14"/>
      <c r="BG156" s="23"/>
      <c r="BH156" s="15"/>
      <c r="BI156" s="25"/>
      <c r="BJ156" s="23"/>
      <c r="BK156" s="15"/>
      <c r="BL156" s="14"/>
      <c r="BM156" s="23"/>
      <c r="BN156" s="15"/>
      <c r="BO156" s="25"/>
      <c r="BP156" s="23"/>
      <c r="BQ156" s="15"/>
      <c r="BR156" s="14"/>
      <c r="BS156" s="23"/>
      <c r="BT156" s="15"/>
      <c r="BU156" s="25"/>
      <c r="BV156" s="23"/>
      <c r="BW156" s="15"/>
      <c r="BX156" s="14"/>
      <c r="BY156" s="23"/>
      <c r="BZ156" s="15"/>
    </row>
    <row r="157" customFormat="false" ht="15" hidden="false" customHeight="false" outlineLevel="0" collapsed="false">
      <c r="A157" s="14"/>
      <c r="B157" s="17" t="str">
        <f aca="false">IF($A157="","",IFERROR(INDEX(Policy!$B$2:$B$301,MATCH($A157,Policy!$A$2:$A$301,0)),"MRO không có"))</f>
        <v/>
      </c>
      <c r="C157" s="17" t="str">
        <f aca="false">IF($A157="","",IFERROR(INDEX(Policy!$E$2:$E$301,MATCH($A157,Policy!$A$2:$A$301,0)),"MRO không có"))</f>
        <v/>
      </c>
      <c r="D157" s="14"/>
      <c r="E157" s="15"/>
      <c r="F157" s="15"/>
      <c r="G157" s="25"/>
      <c r="H157" s="23"/>
      <c r="I157" s="15"/>
      <c r="J157" s="14"/>
      <c r="K157" s="23"/>
      <c r="L157" s="15"/>
      <c r="M157" s="25"/>
      <c r="N157" s="23"/>
      <c r="O157" s="15"/>
      <c r="P157" s="14"/>
      <c r="Q157" s="23"/>
      <c r="R157" s="15"/>
      <c r="S157" s="25"/>
      <c r="T157" s="23"/>
      <c r="U157" s="15"/>
      <c r="V157" s="14"/>
      <c r="W157" s="23"/>
      <c r="X157" s="15"/>
      <c r="Y157" s="25"/>
      <c r="Z157" s="23"/>
      <c r="AA157" s="15"/>
      <c r="AB157" s="14"/>
      <c r="AC157" s="23"/>
      <c r="AD157" s="15"/>
      <c r="AE157" s="25"/>
      <c r="AF157" s="23"/>
      <c r="AG157" s="15"/>
      <c r="AH157" s="14"/>
      <c r="AI157" s="23"/>
      <c r="AJ157" s="15"/>
      <c r="AK157" s="25"/>
      <c r="AL157" s="23"/>
      <c r="AM157" s="15"/>
      <c r="AN157" s="14"/>
      <c r="AO157" s="23"/>
      <c r="AP157" s="15"/>
      <c r="AQ157" s="25"/>
      <c r="AR157" s="23"/>
      <c r="AS157" s="15"/>
      <c r="AT157" s="14"/>
      <c r="AU157" s="23"/>
      <c r="AV157" s="15"/>
      <c r="AW157" s="25"/>
      <c r="AX157" s="23"/>
      <c r="AY157" s="15"/>
      <c r="AZ157" s="14"/>
      <c r="BA157" s="23"/>
      <c r="BB157" s="15"/>
      <c r="BC157" s="25"/>
      <c r="BD157" s="23"/>
      <c r="BE157" s="15"/>
      <c r="BF157" s="14"/>
      <c r="BG157" s="23"/>
      <c r="BH157" s="15"/>
      <c r="BI157" s="25"/>
      <c r="BJ157" s="23"/>
      <c r="BK157" s="15"/>
      <c r="BL157" s="14"/>
      <c r="BM157" s="23"/>
      <c r="BN157" s="15"/>
      <c r="BO157" s="25"/>
      <c r="BP157" s="23"/>
      <c r="BQ157" s="15"/>
      <c r="BR157" s="14"/>
      <c r="BS157" s="23"/>
      <c r="BT157" s="15"/>
      <c r="BU157" s="25"/>
      <c r="BV157" s="23"/>
      <c r="BW157" s="15"/>
      <c r="BX157" s="14"/>
      <c r="BY157" s="23"/>
      <c r="BZ157" s="15"/>
    </row>
    <row r="158" customFormat="false" ht="15" hidden="false" customHeight="false" outlineLevel="0" collapsed="false">
      <c r="A158" s="14"/>
      <c r="B158" s="17" t="str">
        <f aca="false">IF($A158="","",IFERROR(INDEX(Policy!$B$2:$B$301,MATCH($A158,Policy!$A$2:$A$301,0)),"MRO không có"))</f>
        <v/>
      </c>
      <c r="C158" s="17" t="str">
        <f aca="false">IF($A158="","",IFERROR(INDEX(Policy!$E$2:$E$301,MATCH($A158,Policy!$A$2:$A$301,0)),"MRO không có"))</f>
        <v/>
      </c>
      <c r="D158" s="14"/>
      <c r="E158" s="15"/>
      <c r="F158" s="15"/>
      <c r="G158" s="25"/>
      <c r="H158" s="23"/>
      <c r="I158" s="15"/>
      <c r="J158" s="14"/>
      <c r="K158" s="23"/>
      <c r="L158" s="15"/>
      <c r="M158" s="25"/>
      <c r="N158" s="23"/>
      <c r="O158" s="15"/>
      <c r="P158" s="14"/>
      <c r="Q158" s="23"/>
      <c r="R158" s="15"/>
      <c r="S158" s="25"/>
      <c r="T158" s="23"/>
      <c r="U158" s="15"/>
      <c r="V158" s="14"/>
      <c r="W158" s="23"/>
      <c r="X158" s="15"/>
      <c r="Y158" s="25"/>
      <c r="Z158" s="23"/>
      <c r="AA158" s="15"/>
      <c r="AB158" s="14"/>
      <c r="AC158" s="23"/>
      <c r="AD158" s="15"/>
      <c r="AE158" s="25"/>
      <c r="AF158" s="23"/>
      <c r="AG158" s="15"/>
      <c r="AH158" s="14"/>
      <c r="AI158" s="23"/>
      <c r="AJ158" s="15"/>
      <c r="AK158" s="25"/>
      <c r="AL158" s="23"/>
      <c r="AM158" s="15"/>
      <c r="AN158" s="14"/>
      <c r="AO158" s="23"/>
      <c r="AP158" s="15"/>
      <c r="AQ158" s="25"/>
      <c r="AR158" s="23"/>
      <c r="AS158" s="15"/>
      <c r="AT158" s="14"/>
      <c r="AU158" s="23"/>
      <c r="AV158" s="15"/>
      <c r="AW158" s="25"/>
      <c r="AX158" s="23"/>
      <c r="AY158" s="15"/>
      <c r="AZ158" s="14"/>
      <c r="BA158" s="23"/>
      <c r="BB158" s="15"/>
      <c r="BC158" s="25"/>
      <c r="BD158" s="23"/>
      <c r="BE158" s="15"/>
      <c r="BF158" s="14"/>
      <c r="BG158" s="23"/>
      <c r="BH158" s="15"/>
      <c r="BI158" s="25"/>
      <c r="BJ158" s="23"/>
      <c r="BK158" s="15"/>
      <c r="BL158" s="14"/>
      <c r="BM158" s="23"/>
      <c r="BN158" s="15"/>
      <c r="BO158" s="25"/>
      <c r="BP158" s="23"/>
      <c r="BQ158" s="15"/>
      <c r="BR158" s="14"/>
      <c r="BS158" s="23"/>
      <c r="BT158" s="15"/>
      <c r="BU158" s="25"/>
      <c r="BV158" s="23"/>
      <c r="BW158" s="15"/>
      <c r="BX158" s="14"/>
      <c r="BY158" s="23"/>
      <c r="BZ158" s="15"/>
    </row>
    <row r="159" customFormat="false" ht="15" hidden="false" customHeight="false" outlineLevel="0" collapsed="false">
      <c r="A159" s="14"/>
      <c r="B159" s="17" t="str">
        <f aca="false">IF($A159="","",IFERROR(INDEX(Policy!$B$2:$B$301,MATCH($A159,Policy!$A$2:$A$301,0)),"MRO không có"))</f>
        <v/>
      </c>
      <c r="C159" s="17" t="str">
        <f aca="false">IF($A159="","",IFERROR(INDEX(Policy!$E$2:$E$301,MATCH($A159,Policy!$A$2:$A$301,0)),"MRO không có"))</f>
        <v/>
      </c>
      <c r="D159" s="14"/>
      <c r="E159" s="15"/>
      <c r="F159" s="15"/>
      <c r="G159" s="25"/>
      <c r="H159" s="23"/>
      <c r="I159" s="15"/>
      <c r="J159" s="14"/>
      <c r="K159" s="23"/>
      <c r="L159" s="15"/>
      <c r="M159" s="25"/>
      <c r="N159" s="23"/>
      <c r="O159" s="15"/>
      <c r="P159" s="14"/>
      <c r="Q159" s="23"/>
      <c r="R159" s="15"/>
      <c r="S159" s="25"/>
      <c r="T159" s="23"/>
      <c r="U159" s="15"/>
      <c r="V159" s="14"/>
      <c r="W159" s="23"/>
      <c r="X159" s="15"/>
      <c r="Y159" s="25"/>
      <c r="Z159" s="23"/>
      <c r="AA159" s="15"/>
      <c r="AB159" s="14"/>
      <c r="AC159" s="23"/>
      <c r="AD159" s="15"/>
      <c r="AE159" s="25"/>
      <c r="AF159" s="23"/>
      <c r="AG159" s="15"/>
      <c r="AH159" s="14"/>
      <c r="AI159" s="23"/>
      <c r="AJ159" s="15"/>
      <c r="AK159" s="25"/>
      <c r="AL159" s="23"/>
      <c r="AM159" s="15"/>
      <c r="AN159" s="14"/>
      <c r="AO159" s="23"/>
      <c r="AP159" s="15"/>
      <c r="AQ159" s="25"/>
      <c r="AR159" s="23"/>
      <c r="AS159" s="15"/>
      <c r="AT159" s="14"/>
      <c r="AU159" s="23"/>
      <c r="AV159" s="15"/>
      <c r="AW159" s="25"/>
      <c r="AX159" s="23"/>
      <c r="AY159" s="15"/>
      <c r="AZ159" s="14"/>
      <c r="BA159" s="23"/>
      <c r="BB159" s="15"/>
      <c r="BC159" s="25"/>
      <c r="BD159" s="23"/>
      <c r="BE159" s="15"/>
      <c r="BF159" s="14"/>
      <c r="BG159" s="23"/>
      <c r="BH159" s="15"/>
      <c r="BI159" s="25"/>
      <c r="BJ159" s="23"/>
      <c r="BK159" s="15"/>
      <c r="BL159" s="14"/>
      <c r="BM159" s="23"/>
      <c r="BN159" s="15"/>
      <c r="BO159" s="25"/>
      <c r="BP159" s="23"/>
      <c r="BQ159" s="15"/>
      <c r="BR159" s="14"/>
      <c r="BS159" s="23"/>
      <c r="BT159" s="15"/>
      <c r="BU159" s="25"/>
      <c r="BV159" s="23"/>
      <c r="BW159" s="15"/>
      <c r="BX159" s="14"/>
      <c r="BY159" s="23"/>
      <c r="BZ159" s="15"/>
    </row>
    <row r="160" customFormat="false" ht="15" hidden="false" customHeight="false" outlineLevel="0" collapsed="false">
      <c r="A160" s="14"/>
      <c r="B160" s="17" t="str">
        <f aca="false">IF($A160="","",IFERROR(INDEX(Policy!$B$2:$B$301,MATCH($A160,Policy!$A$2:$A$301,0)),"MRO không có"))</f>
        <v/>
      </c>
      <c r="C160" s="17" t="str">
        <f aca="false">IF($A160="","",IFERROR(INDEX(Policy!$E$2:$E$301,MATCH($A160,Policy!$A$2:$A$301,0)),"MRO không có"))</f>
        <v/>
      </c>
      <c r="D160" s="14"/>
      <c r="E160" s="15"/>
      <c r="F160" s="15"/>
      <c r="G160" s="25"/>
      <c r="H160" s="23"/>
      <c r="I160" s="15"/>
      <c r="J160" s="14"/>
      <c r="K160" s="23"/>
      <c r="L160" s="15"/>
      <c r="M160" s="25"/>
      <c r="N160" s="23"/>
      <c r="O160" s="15"/>
      <c r="P160" s="14"/>
      <c r="Q160" s="23"/>
      <c r="R160" s="15"/>
      <c r="S160" s="25"/>
      <c r="T160" s="23"/>
      <c r="U160" s="15"/>
      <c r="V160" s="14"/>
      <c r="W160" s="23"/>
      <c r="X160" s="15"/>
      <c r="Y160" s="25"/>
      <c r="Z160" s="23"/>
      <c r="AA160" s="15"/>
      <c r="AB160" s="14"/>
      <c r="AC160" s="23"/>
      <c r="AD160" s="15"/>
      <c r="AE160" s="25"/>
      <c r="AF160" s="23"/>
      <c r="AG160" s="15"/>
      <c r="AH160" s="14"/>
      <c r="AI160" s="23"/>
      <c r="AJ160" s="15"/>
      <c r="AK160" s="25"/>
      <c r="AL160" s="23"/>
      <c r="AM160" s="15"/>
      <c r="AN160" s="14"/>
      <c r="AO160" s="23"/>
      <c r="AP160" s="15"/>
      <c r="AQ160" s="25"/>
      <c r="AR160" s="23"/>
      <c r="AS160" s="15"/>
      <c r="AT160" s="14"/>
      <c r="AU160" s="23"/>
      <c r="AV160" s="15"/>
      <c r="AW160" s="25"/>
      <c r="AX160" s="23"/>
      <c r="AY160" s="15"/>
      <c r="AZ160" s="14"/>
      <c r="BA160" s="23"/>
      <c r="BB160" s="15"/>
      <c r="BC160" s="25"/>
      <c r="BD160" s="23"/>
      <c r="BE160" s="15"/>
      <c r="BF160" s="14"/>
      <c r="BG160" s="23"/>
      <c r="BH160" s="15"/>
      <c r="BI160" s="25"/>
      <c r="BJ160" s="23"/>
      <c r="BK160" s="15"/>
      <c r="BL160" s="14"/>
      <c r="BM160" s="23"/>
      <c r="BN160" s="15"/>
      <c r="BO160" s="25"/>
      <c r="BP160" s="23"/>
      <c r="BQ160" s="15"/>
      <c r="BR160" s="14"/>
      <c r="BS160" s="23"/>
      <c r="BT160" s="15"/>
      <c r="BU160" s="25"/>
      <c r="BV160" s="23"/>
      <c r="BW160" s="15"/>
      <c r="BX160" s="14"/>
      <c r="BY160" s="23"/>
      <c r="BZ160" s="15"/>
    </row>
    <row r="161" customFormat="false" ht="15" hidden="false" customHeight="false" outlineLevel="0" collapsed="false">
      <c r="A161" s="14"/>
      <c r="B161" s="17" t="str">
        <f aca="false">IF($A161="","",IFERROR(INDEX(Policy!$B$2:$B$301,MATCH($A161,Policy!$A$2:$A$301,0)),"MRO không có"))</f>
        <v/>
      </c>
      <c r="C161" s="17" t="str">
        <f aca="false">IF($A161="","",IFERROR(INDEX(Policy!$E$2:$E$301,MATCH($A161,Policy!$A$2:$A$301,0)),"MRO không có"))</f>
        <v/>
      </c>
      <c r="D161" s="14"/>
      <c r="E161" s="15"/>
      <c r="F161" s="15"/>
      <c r="G161" s="25"/>
      <c r="H161" s="23"/>
      <c r="I161" s="15"/>
      <c r="J161" s="14"/>
      <c r="K161" s="23"/>
      <c r="L161" s="15"/>
      <c r="M161" s="25"/>
      <c r="N161" s="23"/>
      <c r="O161" s="15"/>
      <c r="P161" s="14"/>
      <c r="Q161" s="23"/>
      <c r="R161" s="15"/>
      <c r="S161" s="25"/>
      <c r="T161" s="23"/>
      <c r="U161" s="15"/>
      <c r="V161" s="14"/>
      <c r="W161" s="23"/>
      <c r="X161" s="15"/>
      <c r="Y161" s="25"/>
      <c r="Z161" s="23"/>
      <c r="AA161" s="15"/>
      <c r="AB161" s="14"/>
      <c r="AC161" s="23"/>
      <c r="AD161" s="15"/>
      <c r="AE161" s="25"/>
      <c r="AF161" s="23"/>
      <c r="AG161" s="15"/>
      <c r="AH161" s="14"/>
      <c r="AI161" s="23"/>
      <c r="AJ161" s="15"/>
      <c r="AK161" s="25"/>
      <c r="AL161" s="23"/>
      <c r="AM161" s="15"/>
      <c r="AN161" s="14"/>
      <c r="AO161" s="23"/>
      <c r="AP161" s="15"/>
      <c r="AQ161" s="25"/>
      <c r="AR161" s="23"/>
      <c r="AS161" s="15"/>
      <c r="AT161" s="14"/>
      <c r="AU161" s="23"/>
      <c r="AV161" s="15"/>
      <c r="AW161" s="25"/>
      <c r="AX161" s="23"/>
      <c r="AY161" s="15"/>
      <c r="AZ161" s="14"/>
      <c r="BA161" s="23"/>
      <c r="BB161" s="15"/>
      <c r="BC161" s="25"/>
      <c r="BD161" s="23"/>
      <c r="BE161" s="15"/>
      <c r="BF161" s="14"/>
      <c r="BG161" s="23"/>
      <c r="BH161" s="15"/>
      <c r="BI161" s="25"/>
      <c r="BJ161" s="23"/>
      <c r="BK161" s="15"/>
      <c r="BL161" s="14"/>
      <c r="BM161" s="23"/>
      <c r="BN161" s="15"/>
      <c r="BO161" s="25"/>
      <c r="BP161" s="23"/>
      <c r="BQ161" s="15"/>
      <c r="BR161" s="14"/>
      <c r="BS161" s="23"/>
      <c r="BT161" s="15"/>
      <c r="BU161" s="25"/>
      <c r="BV161" s="23"/>
      <c r="BW161" s="15"/>
      <c r="BX161" s="14"/>
      <c r="BY161" s="23"/>
      <c r="BZ161" s="15"/>
    </row>
    <row r="162" customFormat="false" ht="15" hidden="false" customHeight="false" outlineLevel="0" collapsed="false">
      <c r="A162" s="14"/>
      <c r="B162" s="17" t="str">
        <f aca="false">IF($A162="","",IFERROR(INDEX(Policy!$B$2:$B$301,MATCH($A162,Policy!$A$2:$A$301,0)),"MRO không có"))</f>
        <v/>
      </c>
      <c r="C162" s="17" t="str">
        <f aca="false">IF($A162="","",IFERROR(INDEX(Policy!$E$2:$E$301,MATCH($A162,Policy!$A$2:$A$301,0)),"MRO không có"))</f>
        <v/>
      </c>
      <c r="D162" s="14"/>
      <c r="E162" s="15"/>
      <c r="F162" s="15"/>
      <c r="G162" s="25"/>
      <c r="H162" s="23"/>
      <c r="I162" s="15"/>
      <c r="J162" s="14"/>
      <c r="K162" s="23"/>
      <c r="L162" s="15"/>
      <c r="M162" s="25"/>
      <c r="N162" s="23"/>
      <c r="O162" s="15"/>
      <c r="P162" s="14"/>
      <c r="Q162" s="23"/>
      <c r="R162" s="15"/>
      <c r="S162" s="25"/>
      <c r="T162" s="23"/>
      <c r="U162" s="15"/>
      <c r="V162" s="14"/>
      <c r="W162" s="23"/>
      <c r="X162" s="15"/>
      <c r="Y162" s="25"/>
      <c r="Z162" s="23"/>
      <c r="AA162" s="15"/>
      <c r="AB162" s="14"/>
      <c r="AC162" s="23"/>
      <c r="AD162" s="15"/>
      <c r="AE162" s="25"/>
      <c r="AF162" s="23"/>
      <c r="AG162" s="15"/>
      <c r="AH162" s="14"/>
      <c r="AI162" s="23"/>
      <c r="AJ162" s="15"/>
      <c r="AK162" s="25"/>
      <c r="AL162" s="23"/>
      <c r="AM162" s="15"/>
      <c r="AN162" s="14"/>
      <c r="AO162" s="23"/>
      <c r="AP162" s="15"/>
      <c r="AQ162" s="25"/>
      <c r="AR162" s="23"/>
      <c r="AS162" s="15"/>
      <c r="AT162" s="14"/>
      <c r="AU162" s="23"/>
      <c r="AV162" s="15"/>
      <c r="AW162" s="25"/>
      <c r="AX162" s="23"/>
      <c r="AY162" s="15"/>
      <c r="AZ162" s="14"/>
      <c r="BA162" s="23"/>
      <c r="BB162" s="15"/>
      <c r="BC162" s="25"/>
      <c r="BD162" s="23"/>
      <c r="BE162" s="15"/>
      <c r="BF162" s="14"/>
      <c r="BG162" s="23"/>
      <c r="BH162" s="15"/>
      <c r="BI162" s="25"/>
      <c r="BJ162" s="23"/>
      <c r="BK162" s="15"/>
      <c r="BL162" s="14"/>
      <c r="BM162" s="23"/>
      <c r="BN162" s="15"/>
      <c r="BO162" s="25"/>
      <c r="BP162" s="23"/>
      <c r="BQ162" s="15"/>
      <c r="BR162" s="14"/>
      <c r="BS162" s="23"/>
      <c r="BT162" s="15"/>
      <c r="BU162" s="25"/>
      <c r="BV162" s="23"/>
      <c r="BW162" s="15"/>
      <c r="BX162" s="14"/>
      <c r="BY162" s="23"/>
      <c r="BZ162" s="15"/>
    </row>
    <row r="163" customFormat="false" ht="15" hidden="false" customHeight="false" outlineLevel="0" collapsed="false">
      <c r="A163" s="14"/>
      <c r="B163" s="17" t="str">
        <f aca="false">IF($A163="","",IFERROR(INDEX(Policy!$B$2:$B$301,MATCH($A163,Policy!$A$2:$A$301,0)),"MRO không có"))</f>
        <v/>
      </c>
      <c r="C163" s="17" t="str">
        <f aca="false">IF($A163="","",IFERROR(INDEX(Policy!$E$2:$E$301,MATCH($A163,Policy!$A$2:$A$301,0)),"MRO không có"))</f>
        <v/>
      </c>
      <c r="D163" s="14"/>
      <c r="E163" s="15"/>
      <c r="F163" s="15"/>
      <c r="G163" s="25"/>
      <c r="H163" s="23"/>
      <c r="I163" s="15"/>
      <c r="J163" s="14"/>
      <c r="K163" s="23"/>
      <c r="L163" s="15"/>
      <c r="M163" s="25"/>
      <c r="N163" s="23"/>
      <c r="O163" s="15"/>
      <c r="P163" s="14"/>
      <c r="Q163" s="23"/>
      <c r="R163" s="15"/>
      <c r="S163" s="25"/>
      <c r="T163" s="23"/>
      <c r="U163" s="15"/>
      <c r="V163" s="14"/>
      <c r="W163" s="23"/>
      <c r="X163" s="15"/>
      <c r="Y163" s="25"/>
      <c r="Z163" s="23"/>
      <c r="AA163" s="15"/>
      <c r="AB163" s="14"/>
      <c r="AC163" s="23"/>
      <c r="AD163" s="15"/>
      <c r="AE163" s="25"/>
      <c r="AF163" s="23"/>
      <c r="AG163" s="15"/>
      <c r="AH163" s="14"/>
      <c r="AI163" s="23"/>
      <c r="AJ163" s="15"/>
      <c r="AK163" s="25"/>
      <c r="AL163" s="23"/>
      <c r="AM163" s="15"/>
      <c r="AN163" s="14"/>
      <c r="AO163" s="23"/>
      <c r="AP163" s="15"/>
      <c r="AQ163" s="25"/>
      <c r="AR163" s="23"/>
      <c r="AS163" s="15"/>
      <c r="AT163" s="14"/>
      <c r="AU163" s="23"/>
      <c r="AV163" s="15"/>
      <c r="AW163" s="25"/>
      <c r="AX163" s="23"/>
      <c r="AY163" s="15"/>
      <c r="AZ163" s="14"/>
      <c r="BA163" s="23"/>
      <c r="BB163" s="15"/>
      <c r="BC163" s="25"/>
      <c r="BD163" s="23"/>
      <c r="BE163" s="15"/>
      <c r="BF163" s="14"/>
      <c r="BG163" s="23"/>
      <c r="BH163" s="15"/>
      <c r="BI163" s="25"/>
      <c r="BJ163" s="23"/>
      <c r="BK163" s="15"/>
      <c r="BL163" s="14"/>
      <c r="BM163" s="23"/>
      <c r="BN163" s="15"/>
      <c r="BO163" s="25"/>
      <c r="BP163" s="23"/>
      <c r="BQ163" s="15"/>
      <c r="BR163" s="14"/>
      <c r="BS163" s="23"/>
      <c r="BT163" s="15"/>
      <c r="BU163" s="25"/>
      <c r="BV163" s="23"/>
      <c r="BW163" s="15"/>
      <c r="BX163" s="14"/>
      <c r="BY163" s="23"/>
      <c r="BZ163" s="15"/>
    </row>
    <row r="164" customFormat="false" ht="15" hidden="false" customHeight="false" outlineLevel="0" collapsed="false">
      <c r="A164" s="14"/>
      <c r="B164" s="17" t="str">
        <f aca="false">IF($A164="","",IFERROR(INDEX(Policy!$B$2:$B$301,MATCH($A164,Policy!$A$2:$A$301,0)),"MRO không có"))</f>
        <v/>
      </c>
      <c r="C164" s="17" t="str">
        <f aca="false">IF($A164="","",IFERROR(INDEX(Policy!$E$2:$E$301,MATCH($A164,Policy!$A$2:$A$301,0)),"MRO không có"))</f>
        <v/>
      </c>
      <c r="D164" s="14"/>
      <c r="E164" s="15"/>
      <c r="F164" s="15"/>
      <c r="G164" s="25"/>
      <c r="H164" s="23"/>
      <c r="I164" s="15"/>
      <c r="J164" s="14"/>
      <c r="K164" s="23"/>
      <c r="L164" s="15"/>
      <c r="M164" s="25"/>
      <c r="N164" s="23"/>
      <c r="O164" s="15"/>
      <c r="P164" s="14"/>
      <c r="Q164" s="23"/>
      <c r="R164" s="15"/>
      <c r="S164" s="25"/>
      <c r="T164" s="23"/>
      <c r="U164" s="15"/>
      <c r="V164" s="14"/>
      <c r="W164" s="23"/>
      <c r="X164" s="15"/>
      <c r="Y164" s="25"/>
      <c r="Z164" s="23"/>
      <c r="AA164" s="15"/>
      <c r="AB164" s="14"/>
      <c r="AC164" s="23"/>
      <c r="AD164" s="15"/>
      <c r="AE164" s="25"/>
      <c r="AF164" s="23"/>
      <c r="AG164" s="15"/>
      <c r="AH164" s="14"/>
      <c r="AI164" s="23"/>
      <c r="AJ164" s="15"/>
      <c r="AK164" s="25"/>
      <c r="AL164" s="23"/>
      <c r="AM164" s="15"/>
      <c r="AN164" s="14"/>
      <c r="AO164" s="23"/>
      <c r="AP164" s="15"/>
      <c r="AQ164" s="25"/>
      <c r="AR164" s="23"/>
      <c r="AS164" s="15"/>
      <c r="AT164" s="14"/>
      <c r="AU164" s="23"/>
      <c r="AV164" s="15"/>
      <c r="AW164" s="25"/>
      <c r="AX164" s="23"/>
      <c r="AY164" s="15"/>
      <c r="AZ164" s="14"/>
      <c r="BA164" s="23"/>
      <c r="BB164" s="15"/>
      <c r="BC164" s="25"/>
      <c r="BD164" s="23"/>
      <c r="BE164" s="15"/>
      <c r="BF164" s="14"/>
      <c r="BG164" s="23"/>
      <c r="BH164" s="15"/>
      <c r="BI164" s="25"/>
      <c r="BJ164" s="23"/>
      <c r="BK164" s="15"/>
      <c r="BL164" s="14"/>
      <c r="BM164" s="23"/>
      <c r="BN164" s="15"/>
      <c r="BO164" s="25"/>
      <c r="BP164" s="23"/>
      <c r="BQ164" s="15"/>
      <c r="BR164" s="14"/>
      <c r="BS164" s="23"/>
      <c r="BT164" s="15"/>
      <c r="BU164" s="25"/>
      <c r="BV164" s="23"/>
      <c r="BW164" s="15"/>
      <c r="BX164" s="14"/>
      <c r="BY164" s="23"/>
      <c r="BZ164" s="15"/>
    </row>
    <row r="165" customFormat="false" ht="15" hidden="false" customHeight="false" outlineLevel="0" collapsed="false">
      <c r="A165" s="14"/>
      <c r="B165" s="17" t="str">
        <f aca="false">IF($A165="","",IFERROR(INDEX(Policy!$B$2:$B$301,MATCH($A165,Policy!$A$2:$A$301,0)),"MRO không có"))</f>
        <v/>
      </c>
      <c r="C165" s="17" t="str">
        <f aca="false">IF($A165="","",IFERROR(INDEX(Policy!$E$2:$E$301,MATCH($A165,Policy!$A$2:$A$301,0)),"MRO không có"))</f>
        <v/>
      </c>
      <c r="D165" s="14"/>
      <c r="E165" s="15"/>
      <c r="F165" s="15"/>
      <c r="G165" s="25"/>
      <c r="H165" s="23"/>
      <c r="I165" s="15"/>
      <c r="J165" s="14"/>
      <c r="K165" s="23"/>
      <c r="L165" s="15"/>
      <c r="M165" s="25"/>
      <c r="N165" s="23"/>
      <c r="O165" s="15"/>
      <c r="P165" s="14"/>
      <c r="Q165" s="23"/>
      <c r="R165" s="15"/>
      <c r="S165" s="25"/>
      <c r="T165" s="23"/>
      <c r="U165" s="15"/>
      <c r="V165" s="14"/>
      <c r="W165" s="23"/>
      <c r="X165" s="15"/>
      <c r="Y165" s="25"/>
      <c r="Z165" s="23"/>
      <c r="AA165" s="15"/>
      <c r="AB165" s="14"/>
      <c r="AC165" s="23"/>
      <c r="AD165" s="15"/>
      <c r="AE165" s="25"/>
      <c r="AF165" s="23"/>
      <c r="AG165" s="15"/>
      <c r="AH165" s="14"/>
      <c r="AI165" s="23"/>
      <c r="AJ165" s="15"/>
      <c r="AK165" s="25"/>
      <c r="AL165" s="23"/>
      <c r="AM165" s="15"/>
      <c r="AN165" s="14"/>
      <c r="AO165" s="23"/>
      <c r="AP165" s="15"/>
      <c r="AQ165" s="25"/>
      <c r="AR165" s="23"/>
      <c r="AS165" s="15"/>
      <c r="AT165" s="14"/>
      <c r="AU165" s="23"/>
      <c r="AV165" s="15"/>
      <c r="AW165" s="25"/>
      <c r="AX165" s="23"/>
      <c r="AY165" s="15"/>
      <c r="AZ165" s="14"/>
      <c r="BA165" s="23"/>
      <c r="BB165" s="15"/>
      <c r="BC165" s="25"/>
      <c r="BD165" s="23"/>
      <c r="BE165" s="15"/>
      <c r="BF165" s="14"/>
      <c r="BG165" s="23"/>
      <c r="BH165" s="15"/>
      <c r="BI165" s="25"/>
      <c r="BJ165" s="23"/>
      <c r="BK165" s="15"/>
      <c r="BL165" s="14"/>
      <c r="BM165" s="23"/>
      <c r="BN165" s="15"/>
      <c r="BO165" s="25"/>
      <c r="BP165" s="23"/>
      <c r="BQ165" s="15"/>
      <c r="BR165" s="14"/>
      <c r="BS165" s="23"/>
      <c r="BT165" s="15"/>
      <c r="BU165" s="25"/>
      <c r="BV165" s="23"/>
      <c r="BW165" s="15"/>
      <c r="BX165" s="14"/>
      <c r="BY165" s="23"/>
      <c r="BZ165" s="15"/>
    </row>
    <row r="166" customFormat="false" ht="15" hidden="false" customHeight="false" outlineLevel="0" collapsed="false">
      <c r="A166" s="14"/>
      <c r="B166" s="17" t="str">
        <f aca="false">IF($A166="","",IFERROR(INDEX(Policy!$B$2:$B$301,MATCH($A166,Policy!$A$2:$A$301,0)),"MRO không có"))</f>
        <v/>
      </c>
      <c r="C166" s="17" t="str">
        <f aca="false">IF($A166="","",IFERROR(INDEX(Policy!$E$2:$E$301,MATCH($A166,Policy!$A$2:$A$301,0)),"MRO không có"))</f>
        <v/>
      </c>
      <c r="D166" s="14"/>
      <c r="E166" s="15"/>
      <c r="F166" s="15"/>
      <c r="G166" s="25"/>
      <c r="H166" s="23"/>
      <c r="I166" s="15"/>
      <c r="J166" s="14"/>
      <c r="K166" s="23"/>
      <c r="L166" s="15"/>
      <c r="M166" s="25"/>
      <c r="N166" s="23"/>
      <c r="O166" s="15"/>
      <c r="P166" s="14"/>
      <c r="Q166" s="23"/>
      <c r="R166" s="15"/>
      <c r="S166" s="25"/>
      <c r="T166" s="23"/>
      <c r="U166" s="15"/>
      <c r="V166" s="14"/>
      <c r="W166" s="23"/>
      <c r="X166" s="15"/>
      <c r="Y166" s="25"/>
      <c r="Z166" s="23"/>
      <c r="AA166" s="15"/>
      <c r="AB166" s="14"/>
      <c r="AC166" s="23"/>
      <c r="AD166" s="15"/>
      <c r="AE166" s="25"/>
      <c r="AF166" s="23"/>
      <c r="AG166" s="15"/>
      <c r="AH166" s="14"/>
      <c r="AI166" s="23"/>
      <c r="AJ166" s="15"/>
      <c r="AK166" s="25"/>
      <c r="AL166" s="23"/>
      <c r="AM166" s="15"/>
      <c r="AN166" s="14"/>
      <c r="AO166" s="23"/>
      <c r="AP166" s="15"/>
      <c r="AQ166" s="25"/>
      <c r="AR166" s="23"/>
      <c r="AS166" s="15"/>
      <c r="AT166" s="14"/>
      <c r="AU166" s="23"/>
      <c r="AV166" s="15"/>
      <c r="AW166" s="25"/>
      <c r="AX166" s="23"/>
      <c r="AY166" s="15"/>
      <c r="AZ166" s="14"/>
      <c r="BA166" s="23"/>
      <c r="BB166" s="15"/>
      <c r="BC166" s="25"/>
      <c r="BD166" s="23"/>
      <c r="BE166" s="15"/>
      <c r="BF166" s="14"/>
      <c r="BG166" s="23"/>
      <c r="BH166" s="15"/>
      <c r="BI166" s="25"/>
      <c r="BJ166" s="23"/>
      <c r="BK166" s="15"/>
      <c r="BL166" s="14"/>
      <c r="BM166" s="23"/>
      <c r="BN166" s="15"/>
      <c r="BO166" s="25"/>
      <c r="BP166" s="23"/>
      <c r="BQ166" s="15"/>
      <c r="BR166" s="14"/>
      <c r="BS166" s="23"/>
      <c r="BT166" s="15"/>
      <c r="BU166" s="25"/>
      <c r="BV166" s="23"/>
      <c r="BW166" s="15"/>
      <c r="BX166" s="14"/>
      <c r="BY166" s="23"/>
      <c r="BZ166" s="15"/>
    </row>
    <row r="167" customFormat="false" ht="15" hidden="false" customHeight="false" outlineLevel="0" collapsed="false">
      <c r="A167" s="14"/>
      <c r="B167" s="17" t="str">
        <f aca="false">IF($A167="","",IFERROR(INDEX(Policy!$B$2:$B$301,MATCH($A167,Policy!$A$2:$A$301,0)),"MRO không có"))</f>
        <v/>
      </c>
      <c r="C167" s="17" t="str">
        <f aca="false">IF($A167="","",IFERROR(INDEX(Policy!$E$2:$E$301,MATCH($A167,Policy!$A$2:$A$301,0)),"MRO không có"))</f>
        <v/>
      </c>
      <c r="D167" s="14"/>
      <c r="E167" s="15"/>
      <c r="F167" s="15"/>
      <c r="G167" s="25"/>
      <c r="H167" s="23"/>
      <c r="I167" s="15"/>
      <c r="J167" s="14"/>
      <c r="K167" s="23"/>
      <c r="L167" s="15"/>
      <c r="M167" s="25"/>
      <c r="N167" s="23"/>
      <c r="O167" s="15"/>
      <c r="P167" s="14"/>
      <c r="Q167" s="23"/>
      <c r="R167" s="15"/>
      <c r="S167" s="25"/>
      <c r="T167" s="23"/>
      <c r="U167" s="15"/>
      <c r="V167" s="14"/>
      <c r="W167" s="23"/>
      <c r="X167" s="15"/>
      <c r="Y167" s="25"/>
      <c r="Z167" s="23"/>
      <c r="AA167" s="15"/>
      <c r="AB167" s="14"/>
      <c r="AC167" s="23"/>
      <c r="AD167" s="15"/>
      <c r="AE167" s="25"/>
      <c r="AF167" s="23"/>
      <c r="AG167" s="15"/>
      <c r="AH167" s="14"/>
      <c r="AI167" s="23"/>
      <c r="AJ167" s="15"/>
      <c r="AK167" s="25"/>
      <c r="AL167" s="23"/>
      <c r="AM167" s="15"/>
      <c r="AN167" s="14"/>
      <c r="AO167" s="23"/>
      <c r="AP167" s="15"/>
      <c r="AQ167" s="25"/>
      <c r="AR167" s="23"/>
      <c r="AS167" s="15"/>
      <c r="AT167" s="14"/>
      <c r="AU167" s="23"/>
      <c r="AV167" s="15"/>
      <c r="AW167" s="25"/>
      <c r="AX167" s="23"/>
      <c r="AY167" s="15"/>
      <c r="AZ167" s="14"/>
      <c r="BA167" s="23"/>
      <c r="BB167" s="15"/>
      <c r="BC167" s="25"/>
      <c r="BD167" s="23"/>
      <c r="BE167" s="15"/>
      <c r="BF167" s="14"/>
      <c r="BG167" s="23"/>
      <c r="BH167" s="15"/>
      <c r="BI167" s="25"/>
      <c r="BJ167" s="23"/>
      <c r="BK167" s="15"/>
      <c r="BL167" s="14"/>
      <c r="BM167" s="23"/>
      <c r="BN167" s="15"/>
      <c r="BO167" s="25"/>
      <c r="BP167" s="23"/>
      <c r="BQ167" s="15"/>
      <c r="BR167" s="14"/>
      <c r="BS167" s="23"/>
      <c r="BT167" s="15"/>
      <c r="BU167" s="25"/>
      <c r="BV167" s="23"/>
      <c r="BW167" s="15"/>
      <c r="BX167" s="14"/>
      <c r="BY167" s="23"/>
      <c r="BZ167" s="15"/>
    </row>
    <row r="168" customFormat="false" ht="15" hidden="false" customHeight="false" outlineLevel="0" collapsed="false">
      <c r="A168" s="14"/>
      <c r="B168" s="17" t="str">
        <f aca="false">IF($A168="","",IFERROR(INDEX(Policy!$B$2:$B$301,MATCH($A168,Policy!$A$2:$A$301,0)),"MRO không có"))</f>
        <v/>
      </c>
      <c r="C168" s="17" t="str">
        <f aca="false">IF($A168="","",IFERROR(INDEX(Policy!$E$2:$E$301,MATCH($A168,Policy!$A$2:$A$301,0)),"MRO không có"))</f>
        <v/>
      </c>
      <c r="D168" s="14"/>
      <c r="E168" s="15"/>
      <c r="F168" s="15"/>
      <c r="G168" s="25"/>
      <c r="H168" s="23"/>
      <c r="I168" s="15"/>
      <c r="J168" s="14"/>
      <c r="K168" s="23"/>
      <c r="L168" s="15"/>
      <c r="M168" s="25"/>
      <c r="N168" s="23"/>
      <c r="O168" s="15"/>
      <c r="P168" s="14"/>
      <c r="Q168" s="23"/>
      <c r="R168" s="15"/>
      <c r="S168" s="25"/>
      <c r="T168" s="23"/>
      <c r="U168" s="15"/>
      <c r="V168" s="14"/>
      <c r="W168" s="23"/>
      <c r="X168" s="15"/>
      <c r="Y168" s="25"/>
      <c r="Z168" s="23"/>
      <c r="AA168" s="15"/>
      <c r="AB168" s="14"/>
      <c r="AC168" s="23"/>
      <c r="AD168" s="15"/>
      <c r="AE168" s="25"/>
      <c r="AF168" s="23"/>
      <c r="AG168" s="15"/>
      <c r="AH168" s="14"/>
      <c r="AI168" s="23"/>
      <c r="AJ168" s="15"/>
      <c r="AK168" s="25"/>
      <c r="AL168" s="23"/>
      <c r="AM168" s="15"/>
      <c r="AN168" s="14"/>
      <c r="AO168" s="23"/>
      <c r="AP168" s="15"/>
      <c r="AQ168" s="25"/>
      <c r="AR168" s="23"/>
      <c r="AS168" s="15"/>
      <c r="AT168" s="14"/>
      <c r="AU168" s="23"/>
      <c r="AV168" s="15"/>
      <c r="AW168" s="25"/>
      <c r="AX168" s="23"/>
      <c r="AY168" s="15"/>
      <c r="AZ168" s="14"/>
      <c r="BA168" s="23"/>
      <c r="BB168" s="15"/>
      <c r="BC168" s="25"/>
      <c r="BD168" s="23"/>
      <c r="BE168" s="15"/>
      <c r="BF168" s="14"/>
      <c r="BG168" s="23"/>
      <c r="BH168" s="15"/>
      <c r="BI168" s="25"/>
      <c r="BJ168" s="23"/>
      <c r="BK168" s="15"/>
      <c r="BL168" s="14"/>
      <c r="BM168" s="23"/>
      <c r="BN168" s="15"/>
      <c r="BO168" s="25"/>
      <c r="BP168" s="23"/>
      <c r="BQ168" s="15"/>
      <c r="BR168" s="14"/>
      <c r="BS168" s="23"/>
      <c r="BT168" s="15"/>
      <c r="BU168" s="25"/>
      <c r="BV168" s="23"/>
      <c r="BW168" s="15"/>
      <c r="BX168" s="14"/>
      <c r="BY168" s="23"/>
      <c r="BZ168" s="15"/>
    </row>
    <row r="169" customFormat="false" ht="15" hidden="false" customHeight="false" outlineLevel="0" collapsed="false">
      <c r="A169" s="14"/>
      <c r="B169" s="17" t="str">
        <f aca="false">IF($A169="","",IFERROR(INDEX(Policy!$B$2:$B$301,MATCH($A169,Policy!$A$2:$A$301,0)),"MRO không có"))</f>
        <v/>
      </c>
      <c r="C169" s="17" t="str">
        <f aca="false">IF($A169="","",IFERROR(INDEX(Policy!$E$2:$E$301,MATCH($A169,Policy!$A$2:$A$301,0)),"MRO không có"))</f>
        <v/>
      </c>
      <c r="D169" s="14"/>
      <c r="E169" s="15"/>
      <c r="F169" s="15"/>
      <c r="G169" s="25"/>
      <c r="H169" s="23"/>
      <c r="I169" s="15"/>
      <c r="J169" s="14"/>
      <c r="K169" s="23"/>
      <c r="L169" s="15"/>
      <c r="M169" s="25"/>
      <c r="N169" s="23"/>
      <c r="O169" s="15"/>
      <c r="P169" s="14"/>
      <c r="Q169" s="23"/>
      <c r="R169" s="15"/>
      <c r="S169" s="25"/>
      <c r="T169" s="23"/>
      <c r="U169" s="15"/>
      <c r="V169" s="14"/>
      <c r="W169" s="23"/>
      <c r="X169" s="15"/>
      <c r="Y169" s="25"/>
      <c r="Z169" s="23"/>
      <c r="AA169" s="15"/>
      <c r="AB169" s="14"/>
      <c r="AC169" s="23"/>
      <c r="AD169" s="15"/>
      <c r="AE169" s="25"/>
      <c r="AF169" s="23"/>
      <c r="AG169" s="15"/>
      <c r="AH169" s="14"/>
      <c r="AI169" s="23"/>
      <c r="AJ169" s="15"/>
      <c r="AK169" s="25"/>
      <c r="AL169" s="23"/>
      <c r="AM169" s="15"/>
      <c r="AN169" s="14"/>
      <c r="AO169" s="23"/>
      <c r="AP169" s="15"/>
      <c r="AQ169" s="25"/>
      <c r="AR169" s="23"/>
      <c r="AS169" s="15"/>
      <c r="AT169" s="14"/>
      <c r="AU169" s="23"/>
      <c r="AV169" s="15"/>
      <c r="AW169" s="25"/>
      <c r="AX169" s="23"/>
      <c r="AY169" s="15"/>
      <c r="AZ169" s="14"/>
      <c r="BA169" s="23"/>
      <c r="BB169" s="15"/>
      <c r="BC169" s="25"/>
      <c r="BD169" s="23"/>
      <c r="BE169" s="15"/>
      <c r="BF169" s="14"/>
      <c r="BG169" s="23"/>
      <c r="BH169" s="15"/>
      <c r="BI169" s="25"/>
      <c r="BJ169" s="23"/>
      <c r="BK169" s="15"/>
      <c r="BL169" s="14"/>
      <c r="BM169" s="23"/>
      <c r="BN169" s="15"/>
      <c r="BO169" s="25"/>
      <c r="BP169" s="23"/>
      <c r="BQ169" s="15"/>
      <c r="BR169" s="14"/>
      <c r="BS169" s="23"/>
      <c r="BT169" s="15"/>
      <c r="BU169" s="25"/>
      <c r="BV169" s="23"/>
      <c r="BW169" s="15"/>
      <c r="BX169" s="14"/>
      <c r="BY169" s="23"/>
      <c r="BZ169" s="15"/>
    </row>
    <row r="170" customFormat="false" ht="15" hidden="false" customHeight="false" outlineLevel="0" collapsed="false">
      <c r="A170" s="14"/>
      <c r="B170" s="17" t="str">
        <f aca="false">IF($A170="","",IFERROR(INDEX(Policy!$B$2:$B$301,MATCH($A170,Policy!$A$2:$A$301,0)),"MRO không có"))</f>
        <v/>
      </c>
      <c r="C170" s="17" t="str">
        <f aca="false">IF($A170="","",IFERROR(INDEX(Policy!$E$2:$E$301,MATCH($A170,Policy!$A$2:$A$301,0)),"MRO không có"))</f>
        <v/>
      </c>
      <c r="D170" s="14"/>
      <c r="E170" s="15"/>
      <c r="F170" s="15"/>
      <c r="G170" s="25"/>
      <c r="H170" s="23"/>
      <c r="I170" s="15"/>
      <c r="J170" s="14"/>
      <c r="K170" s="23"/>
      <c r="L170" s="15"/>
      <c r="M170" s="25"/>
      <c r="N170" s="23"/>
      <c r="O170" s="15"/>
      <c r="P170" s="14"/>
      <c r="Q170" s="23"/>
      <c r="R170" s="15"/>
      <c r="S170" s="25"/>
      <c r="T170" s="23"/>
      <c r="U170" s="15"/>
      <c r="V170" s="14"/>
      <c r="W170" s="23"/>
      <c r="X170" s="15"/>
      <c r="Y170" s="25"/>
      <c r="Z170" s="23"/>
      <c r="AA170" s="15"/>
      <c r="AB170" s="14"/>
      <c r="AC170" s="23"/>
      <c r="AD170" s="15"/>
      <c r="AE170" s="25"/>
      <c r="AF170" s="23"/>
      <c r="AG170" s="15"/>
      <c r="AH170" s="14"/>
      <c r="AI170" s="23"/>
      <c r="AJ170" s="15"/>
      <c r="AK170" s="25"/>
      <c r="AL170" s="23"/>
      <c r="AM170" s="15"/>
      <c r="AN170" s="14"/>
      <c r="AO170" s="23"/>
      <c r="AP170" s="15"/>
      <c r="AQ170" s="25"/>
      <c r="AR170" s="23"/>
      <c r="AS170" s="15"/>
      <c r="AT170" s="14"/>
      <c r="AU170" s="23"/>
      <c r="AV170" s="15"/>
      <c r="AW170" s="25"/>
      <c r="AX170" s="23"/>
      <c r="AY170" s="15"/>
      <c r="AZ170" s="14"/>
      <c r="BA170" s="23"/>
      <c r="BB170" s="15"/>
      <c r="BC170" s="25"/>
      <c r="BD170" s="23"/>
      <c r="BE170" s="15"/>
      <c r="BF170" s="14"/>
      <c r="BG170" s="23"/>
      <c r="BH170" s="15"/>
      <c r="BI170" s="25"/>
      <c r="BJ170" s="23"/>
      <c r="BK170" s="15"/>
      <c r="BL170" s="14"/>
      <c r="BM170" s="23"/>
      <c r="BN170" s="15"/>
      <c r="BO170" s="25"/>
      <c r="BP170" s="23"/>
      <c r="BQ170" s="15"/>
      <c r="BR170" s="14"/>
      <c r="BS170" s="23"/>
      <c r="BT170" s="15"/>
      <c r="BU170" s="25"/>
      <c r="BV170" s="23"/>
      <c r="BW170" s="15"/>
      <c r="BX170" s="14"/>
      <c r="BY170" s="23"/>
      <c r="BZ170" s="15"/>
    </row>
    <row r="171" customFormat="false" ht="15" hidden="false" customHeight="false" outlineLevel="0" collapsed="false">
      <c r="A171" s="14"/>
      <c r="B171" s="17" t="str">
        <f aca="false">IF($A171="","",IFERROR(INDEX(Policy!$B$2:$B$301,MATCH($A171,Policy!$A$2:$A$301,0)),"MRO không có"))</f>
        <v/>
      </c>
      <c r="C171" s="17" t="str">
        <f aca="false">IF($A171="","",IFERROR(INDEX(Policy!$E$2:$E$301,MATCH($A171,Policy!$A$2:$A$301,0)),"MRO không có"))</f>
        <v/>
      </c>
      <c r="D171" s="14"/>
      <c r="E171" s="15"/>
      <c r="F171" s="15"/>
      <c r="G171" s="25"/>
      <c r="H171" s="23"/>
      <c r="I171" s="15"/>
      <c r="J171" s="14"/>
      <c r="K171" s="23"/>
      <c r="L171" s="15"/>
      <c r="M171" s="25"/>
      <c r="N171" s="23"/>
      <c r="O171" s="15"/>
      <c r="P171" s="14"/>
      <c r="Q171" s="23"/>
      <c r="R171" s="15"/>
      <c r="S171" s="25"/>
      <c r="T171" s="23"/>
      <c r="U171" s="15"/>
      <c r="V171" s="14"/>
      <c r="W171" s="23"/>
      <c r="X171" s="15"/>
      <c r="Y171" s="25"/>
      <c r="Z171" s="23"/>
      <c r="AA171" s="15"/>
      <c r="AB171" s="14"/>
      <c r="AC171" s="23"/>
      <c r="AD171" s="15"/>
      <c r="AE171" s="25"/>
      <c r="AF171" s="23"/>
      <c r="AG171" s="15"/>
      <c r="AH171" s="14"/>
      <c r="AI171" s="23"/>
      <c r="AJ171" s="15"/>
      <c r="AK171" s="25"/>
      <c r="AL171" s="23"/>
      <c r="AM171" s="15"/>
      <c r="AN171" s="14"/>
      <c r="AO171" s="23"/>
      <c r="AP171" s="15"/>
      <c r="AQ171" s="25"/>
      <c r="AR171" s="23"/>
      <c r="AS171" s="15"/>
      <c r="AT171" s="14"/>
      <c r="AU171" s="23"/>
      <c r="AV171" s="15"/>
      <c r="AW171" s="25"/>
      <c r="AX171" s="23"/>
      <c r="AY171" s="15"/>
      <c r="AZ171" s="14"/>
      <c r="BA171" s="23"/>
      <c r="BB171" s="15"/>
      <c r="BC171" s="25"/>
      <c r="BD171" s="23"/>
      <c r="BE171" s="15"/>
      <c r="BF171" s="14"/>
      <c r="BG171" s="23"/>
      <c r="BH171" s="15"/>
      <c r="BI171" s="25"/>
      <c r="BJ171" s="23"/>
      <c r="BK171" s="15"/>
      <c r="BL171" s="14"/>
      <c r="BM171" s="23"/>
      <c r="BN171" s="15"/>
      <c r="BO171" s="25"/>
      <c r="BP171" s="23"/>
      <c r="BQ171" s="15"/>
      <c r="BR171" s="14"/>
      <c r="BS171" s="23"/>
      <c r="BT171" s="15"/>
      <c r="BU171" s="25"/>
      <c r="BV171" s="23"/>
      <c r="BW171" s="15"/>
      <c r="BX171" s="14"/>
      <c r="BY171" s="23"/>
      <c r="BZ171" s="15"/>
    </row>
    <row r="172" customFormat="false" ht="15" hidden="false" customHeight="false" outlineLevel="0" collapsed="false">
      <c r="A172" s="14"/>
      <c r="B172" s="17" t="str">
        <f aca="false">IF($A172="","",IFERROR(INDEX(Policy!$B$2:$B$301,MATCH($A172,Policy!$A$2:$A$301,0)),"MRO không có"))</f>
        <v/>
      </c>
      <c r="C172" s="17" t="str">
        <f aca="false">IF($A172="","",IFERROR(INDEX(Policy!$E$2:$E$301,MATCH($A172,Policy!$A$2:$A$301,0)),"MRO không có"))</f>
        <v/>
      </c>
      <c r="D172" s="14"/>
      <c r="E172" s="15"/>
      <c r="F172" s="15"/>
      <c r="G172" s="25"/>
      <c r="H172" s="23"/>
      <c r="I172" s="15"/>
      <c r="J172" s="14"/>
      <c r="K172" s="23"/>
      <c r="L172" s="15"/>
      <c r="M172" s="25"/>
      <c r="N172" s="23"/>
      <c r="O172" s="15"/>
      <c r="P172" s="14"/>
      <c r="Q172" s="23"/>
      <c r="R172" s="15"/>
      <c r="S172" s="25"/>
      <c r="T172" s="23"/>
      <c r="U172" s="15"/>
      <c r="V172" s="14"/>
      <c r="W172" s="23"/>
      <c r="X172" s="15"/>
      <c r="Y172" s="25"/>
      <c r="Z172" s="23"/>
      <c r="AA172" s="15"/>
      <c r="AB172" s="14"/>
      <c r="AC172" s="23"/>
      <c r="AD172" s="15"/>
      <c r="AE172" s="25"/>
      <c r="AF172" s="23"/>
      <c r="AG172" s="15"/>
      <c r="AH172" s="14"/>
      <c r="AI172" s="23"/>
      <c r="AJ172" s="15"/>
      <c r="AK172" s="25"/>
      <c r="AL172" s="23"/>
      <c r="AM172" s="15"/>
      <c r="AN172" s="14"/>
      <c r="AO172" s="23"/>
      <c r="AP172" s="15"/>
      <c r="AQ172" s="25"/>
      <c r="AR172" s="23"/>
      <c r="AS172" s="15"/>
      <c r="AT172" s="14"/>
      <c r="AU172" s="23"/>
      <c r="AV172" s="15"/>
      <c r="AW172" s="25"/>
      <c r="AX172" s="23"/>
      <c r="AY172" s="15"/>
      <c r="AZ172" s="14"/>
      <c r="BA172" s="23"/>
      <c r="BB172" s="15"/>
      <c r="BC172" s="25"/>
      <c r="BD172" s="23"/>
      <c r="BE172" s="15"/>
      <c r="BF172" s="14"/>
      <c r="BG172" s="23"/>
      <c r="BH172" s="15"/>
      <c r="BI172" s="25"/>
      <c r="BJ172" s="23"/>
      <c r="BK172" s="15"/>
      <c r="BL172" s="14"/>
      <c r="BM172" s="23"/>
      <c r="BN172" s="15"/>
      <c r="BO172" s="25"/>
      <c r="BP172" s="23"/>
      <c r="BQ172" s="15"/>
      <c r="BR172" s="14"/>
      <c r="BS172" s="23"/>
      <c r="BT172" s="15"/>
      <c r="BU172" s="25"/>
      <c r="BV172" s="23"/>
      <c r="BW172" s="15"/>
      <c r="BX172" s="14"/>
      <c r="BY172" s="23"/>
      <c r="BZ172" s="15"/>
    </row>
    <row r="173" customFormat="false" ht="15" hidden="false" customHeight="false" outlineLevel="0" collapsed="false">
      <c r="A173" s="14"/>
      <c r="B173" s="17" t="str">
        <f aca="false">IF($A173="","",IFERROR(INDEX(Policy!$B$2:$B$301,MATCH($A173,Policy!$A$2:$A$301,0)),"MRO không có"))</f>
        <v/>
      </c>
      <c r="C173" s="17" t="str">
        <f aca="false">IF($A173="","",IFERROR(INDEX(Policy!$E$2:$E$301,MATCH($A173,Policy!$A$2:$A$301,0)),"MRO không có"))</f>
        <v/>
      </c>
      <c r="D173" s="14"/>
      <c r="E173" s="15"/>
      <c r="F173" s="15"/>
      <c r="G173" s="25"/>
      <c r="H173" s="23"/>
      <c r="I173" s="15"/>
      <c r="J173" s="14"/>
      <c r="K173" s="23"/>
      <c r="L173" s="15"/>
      <c r="M173" s="25"/>
      <c r="N173" s="23"/>
      <c r="O173" s="15"/>
      <c r="P173" s="14"/>
      <c r="Q173" s="23"/>
      <c r="R173" s="15"/>
      <c r="S173" s="25"/>
      <c r="T173" s="23"/>
      <c r="U173" s="15"/>
      <c r="V173" s="14"/>
      <c r="W173" s="23"/>
      <c r="X173" s="15"/>
      <c r="Y173" s="25"/>
      <c r="Z173" s="23"/>
      <c r="AA173" s="15"/>
      <c r="AB173" s="14"/>
      <c r="AC173" s="23"/>
      <c r="AD173" s="15"/>
      <c r="AE173" s="25"/>
      <c r="AF173" s="23"/>
      <c r="AG173" s="15"/>
      <c r="AH173" s="14"/>
      <c r="AI173" s="23"/>
      <c r="AJ173" s="15"/>
      <c r="AK173" s="25"/>
      <c r="AL173" s="23"/>
      <c r="AM173" s="15"/>
      <c r="AN173" s="14"/>
      <c r="AO173" s="23"/>
      <c r="AP173" s="15"/>
      <c r="AQ173" s="25"/>
      <c r="AR173" s="23"/>
      <c r="AS173" s="15"/>
      <c r="AT173" s="14"/>
      <c r="AU173" s="23"/>
      <c r="AV173" s="15"/>
      <c r="AW173" s="25"/>
      <c r="AX173" s="23"/>
      <c r="AY173" s="15"/>
      <c r="AZ173" s="14"/>
      <c r="BA173" s="23"/>
      <c r="BB173" s="15"/>
      <c r="BC173" s="25"/>
      <c r="BD173" s="23"/>
      <c r="BE173" s="15"/>
      <c r="BF173" s="14"/>
      <c r="BG173" s="23"/>
      <c r="BH173" s="15"/>
      <c r="BI173" s="25"/>
      <c r="BJ173" s="23"/>
      <c r="BK173" s="15"/>
      <c r="BL173" s="14"/>
      <c r="BM173" s="23"/>
      <c r="BN173" s="15"/>
      <c r="BO173" s="25"/>
      <c r="BP173" s="23"/>
      <c r="BQ173" s="15"/>
      <c r="BR173" s="14"/>
      <c r="BS173" s="23"/>
      <c r="BT173" s="15"/>
      <c r="BU173" s="25"/>
      <c r="BV173" s="23"/>
      <c r="BW173" s="15"/>
      <c r="BX173" s="14"/>
      <c r="BY173" s="23"/>
      <c r="BZ173" s="15"/>
    </row>
    <row r="174" customFormat="false" ht="15" hidden="false" customHeight="false" outlineLevel="0" collapsed="false">
      <c r="A174" s="14"/>
      <c r="B174" s="17" t="str">
        <f aca="false">IF($A174="","",IFERROR(INDEX(Policy!$B$2:$B$301,MATCH($A174,Policy!$A$2:$A$301,0)),"MRO không có"))</f>
        <v/>
      </c>
      <c r="C174" s="17" t="str">
        <f aca="false">IF($A174="","",IFERROR(INDEX(Policy!$E$2:$E$301,MATCH($A174,Policy!$A$2:$A$301,0)),"MRO không có"))</f>
        <v/>
      </c>
      <c r="D174" s="14"/>
      <c r="E174" s="15"/>
      <c r="F174" s="15"/>
      <c r="G174" s="25"/>
      <c r="H174" s="23"/>
      <c r="I174" s="15"/>
      <c r="J174" s="14"/>
      <c r="K174" s="23"/>
      <c r="L174" s="15"/>
      <c r="M174" s="25"/>
      <c r="N174" s="23"/>
      <c r="O174" s="15"/>
      <c r="P174" s="14"/>
      <c r="Q174" s="23"/>
      <c r="R174" s="15"/>
      <c r="S174" s="25"/>
      <c r="T174" s="23"/>
      <c r="U174" s="15"/>
      <c r="V174" s="14"/>
      <c r="W174" s="23"/>
      <c r="X174" s="15"/>
      <c r="Y174" s="25"/>
      <c r="Z174" s="23"/>
      <c r="AA174" s="15"/>
      <c r="AB174" s="14"/>
      <c r="AC174" s="23"/>
      <c r="AD174" s="15"/>
      <c r="AE174" s="25"/>
      <c r="AF174" s="23"/>
      <c r="AG174" s="15"/>
      <c r="AH174" s="14"/>
      <c r="AI174" s="23"/>
      <c r="AJ174" s="15"/>
      <c r="AK174" s="25"/>
      <c r="AL174" s="23"/>
      <c r="AM174" s="15"/>
      <c r="AN174" s="14"/>
      <c r="AO174" s="23"/>
      <c r="AP174" s="15"/>
      <c r="AQ174" s="25"/>
      <c r="AR174" s="23"/>
      <c r="AS174" s="15"/>
      <c r="AT174" s="14"/>
      <c r="AU174" s="23"/>
      <c r="AV174" s="15"/>
      <c r="AW174" s="25"/>
      <c r="AX174" s="23"/>
      <c r="AY174" s="15"/>
      <c r="AZ174" s="14"/>
      <c r="BA174" s="23"/>
      <c r="BB174" s="15"/>
      <c r="BC174" s="25"/>
      <c r="BD174" s="23"/>
      <c r="BE174" s="15"/>
      <c r="BF174" s="14"/>
      <c r="BG174" s="23"/>
      <c r="BH174" s="15"/>
      <c r="BI174" s="25"/>
      <c r="BJ174" s="23"/>
      <c r="BK174" s="15"/>
      <c r="BL174" s="14"/>
      <c r="BM174" s="23"/>
      <c r="BN174" s="15"/>
      <c r="BO174" s="25"/>
      <c r="BP174" s="23"/>
      <c r="BQ174" s="15"/>
      <c r="BR174" s="14"/>
      <c r="BS174" s="23"/>
      <c r="BT174" s="15"/>
      <c r="BU174" s="25"/>
      <c r="BV174" s="23"/>
      <c r="BW174" s="15"/>
      <c r="BX174" s="14"/>
      <c r="BY174" s="23"/>
      <c r="BZ174" s="15"/>
    </row>
    <row r="175" customFormat="false" ht="15" hidden="false" customHeight="false" outlineLevel="0" collapsed="false">
      <c r="A175" s="14"/>
      <c r="B175" s="17" t="str">
        <f aca="false">IF($A175="","",IFERROR(INDEX(Policy!$B$2:$B$301,MATCH($A175,Policy!$A$2:$A$301,0)),"MRO không có"))</f>
        <v/>
      </c>
      <c r="C175" s="17" t="str">
        <f aca="false">IF($A175="","",IFERROR(INDEX(Policy!$E$2:$E$301,MATCH($A175,Policy!$A$2:$A$301,0)),"MRO không có"))</f>
        <v/>
      </c>
      <c r="D175" s="14"/>
      <c r="E175" s="15"/>
      <c r="F175" s="15"/>
      <c r="G175" s="25"/>
      <c r="H175" s="23"/>
      <c r="I175" s="15"/>
      <c r="J175" s="14"/>
      <c r="K175" s="23"/>
      <c r="L175" s="15"/>
      <c r="M175" s="25"/>
      <c r="N175" s="23"/>
      <c r="O175" s="15"/>
      <c r="P175" s="14"/>
      <c r="Q175" s="23"/>
      <c r="R175" s="15"/>
      <c r="S175" s="25"/>
      <c r="T175" s="23"/>
      <c r="U175" s="15"/>
      <c r="V175" s="14"/>
      <c r="W175" s="23"/>
      <c r="X175" s="15"/>
      <c r="Y175" s="25"/>
      <c r="Z175" s="23"/>
      <c r="AA175" s="15"/>
      <c r="AB175" s="14"/>
      <c r="AC175" s="23"/>
      <c r="AD175" s="15"/>
      <c r="AE175" s="25"/>
      <c r="AF175" s="23"/>
      <c r="AG175" s="15"/>
      <c r="AH175" s="14"/>
      <c r="AI175" s="23"/>
      <c r="AJ175" s="15"/>
      <c r="AK175" s="25"/>
      <c r="AL175" s="23"/>
      <c r="AM175" s="15"/>
      <c r="AN175" s="14"/>
      <c r="AO175" s="23"/>
      <c r="AP175" s="15"/>
      <c r="AQ175" s="25"/>
      <c r="AR175" s="23"/>
      <c r="AS175" s="15"/>
      <c r="AT175" s="14"/>
      <c r="AU175" s="23"/>
      <c r="AV175" s="15"/>
      <c r="AW175" s="25"/>
      <c r="AX175" s="23"/>
      <c r="AY175" s="15"/>
      <c r="AZ175" s="14"/>
      <c r="BA175" s="23"/>
      <c r="BB175" s="15"/>
      <c r="BC175" s="25"/>
      <c r="BD175" s="23"/>
      <c r="BE175" s="15"/>
      <c r="BF175" s="14"/>
      <c r="BG175" s="23"/>
      <c r="BH175" s="15"/>
      <c r="BI175" s="25"/>
      <c r="BJ175" s="23"/>
      <c r="BK175" s="15"/>
      <c r="BL175" s="14"/>
      <c r="BM175" s="23"/>
      <c r="BN175" s="15"/>
      <c r="BO175" s="25"/>
      <c r="BP175" s="23"/>
      <c r="BQ175" s="15"/>
      <c r="BR175" s="14"/>
      <c r="BS175" s="23"/>
      <c r="BT175" s="15"/>
      <c r="BU175" s="25"/>
      <c r="BV175" s="23"/>
      <c r="BW175" s="15"/>
      <c r="BX175" s="14"/>
      <c r="BY175" s="23"/>
      <c r="BZ175" s="15"/>
    </row>
    <row r="176" customFormat="false" ht="15" hidden="false" customHeight="false" outlineLevel="0" collapsed="false">
      <c r="A176" s="14"/>
      <c r="B176" s="17" t="str">
        <f aca="false">IF($A176="","",IFERROR(INDEX(Policy!$B$2:$B$301,MATCH($A176,Policy!$A$2:$A$301,0)),"MRO không có"))</f>
        <v/>
      </c>
      <c r="C176" s="17" t="str">
        <f aca="false">IF($A176="","",IFERROR(INDEX(Policy!$E$2:$E$301,MATCH($A176,Policy!$A$2:$A$301,0)),"MRO không có"))</f>
        <v/>
      </c>
      <c r="D176" s="14"/>
      <c r="E176" s="15"/>
      <c r="F176" s="15"/>
      <c r="G176" s="25"/>
      <c r="H176" s="23"/>
      <c r="I176" s="15"/>
      <c r="J176" s="14"/>
      <c r="K176" s="23"/>
      <c r="L176" s="15"/>
      <c r="M176" s="25"/>
      <c r="N176" s="23"/>
      <c r="O176" s="15"/>
      <c r="P176" s="14"/>
      <c r="Q176" s="23"/>
      <c r="R176" s="15"/>
      <c r="S176" s="25"/>
      <c r="T176" s="23"/>
      <c r="U176" s="15"/>
      <c r="V176" s="14"/>
      <c r="W176" s="23"/>
      <c r="X176" s="15"/>
      <c r="Y176" s="25"/>
      <c r="Z176" s="23"/>
      <c r="AA176" s="15"/>
      <c r="AB176" s="14"/>
      <c r="AC176" s="23"/>
      <c r="AD176" s="15"/>
      <c r="AE176" s="25"/>
      <c r="AF176" s="23"/>
      <c r="AG176" s="15"/>
      <c r="AH176" s="14"/>
      <c r="AI176" s="23"/>
      <c r="AJ176" s="15"/>
      <c r="AK176" s="25"/>
      <c r="AL176" s="23"/>
      <c r="AM176" s="15"/>
      <c r="AN176" s="14"/>
      <c r="AO176" s="23"/>
      <c r="AP176" s="15"/>
      <c r="AQ176" s="25"/>
      <c r="AR176" s="23"/>
      <c r="AS176" s="15"/>
      <c r="AT176" s="14"/>
      <c r="AU176" s="23"/>
      <c r="AV176" s="15"/>
      <c r="AW176" s="25"/>
      <c r="AX176" s="23"/>
      <c r="AY176" s="15"/>
      <c r="AZ176" s="14"/>
      <c r="BA176" s="23"/>
      <c r="BB176" s="15"/>
      <c r="BC176" s="25"/>
      <c r="BD176" s="23"/>
      <c r="BE176" s="15"/>
      <c r="BF176" s="14"/>
      <c r="BG176" s="23"/>
      <c r="BH176" s="15"/>
      <c r="BI176" s="25"/>
      <c r="BJ176" s="23"/>
      <c r="BK176" s="15"/>
      <c r="BL176" s="14"/>
      <c r="BM176" s="23"/>
      <c r="BN176" s="15"/>
      <c r="BO176" s="25"/>
      <c r="BP176" s="23"/>
      <c r="BQ176" s="15"/>
      <c r="BR176" s="14"/>
      <c r="BS176" s="23"/>
      <c r="BT176" s="15"/>
      <c r="BU176" s="25"/>
      <c r="BV176" s="23"/>
      <c r="BW176" s="15"/>
      <c r="BX176" s="14"/>
      <c r="BY176" s="23"/>
      <c r="BZ176" s="15"/>
    </row>
    <row r="177" customFormat="false" ht="15" hidden="false" customHeight="false" outlineLevel="0" collapsed="false">
      <c r="A177" s="14"/>
      <c r="B177" s="17" t="str">
        <f aca="false">IF($A177="","",IFERROR(INDEX(Policy!$B$2:$B$301,MATCH($A177,Policy!$A$2:$A$301,0)),"MRO không có"))</f>
        <v/>
      </c>
      <c r="C177" s="17" t="str">
        <f aca="false">IF($A177="","",IFERROR(INDEX(Policy!$E$2:$E$301,MATCH($A177,Policy!$A$2:$A$301,0)),"MRO không có"))</f>
        <v/>
      </c>
      <c r="D177" s="14"/>
      <c r="E177" s="15"/>
      <c r="F177" s="15"/>
      <c r="G177" s="25"/>
      <c r="H177" s="23"/>
      <c r="I177" s="15"/>
      <c r="J177" s="14"/>
      <c r="K177" s="23"/>
      <c r="L177" s="15"/>
      <c r="M177" s="25"/>
      <c r="N177" s="23"/>
      <c r="O177" s="15"/>
      <c r="P177" s="14"/>
      <c r="Q177" s="23"/>
      <c r="R177" s="15"/>
      <c r="S177" s="25"/>
      <c r="T177" s="23"/>
      <c r="U177" s="15"/>
      <c r="V177" s="14"/>
      <c r="W177" s="23"/>
      <c r="X177" s="15"/>
      <c r="Y177" s="25"/>
      <c r="Z177" s="23"/>
      <c r="AA177" s="15"/>
      <c r="AB177" s="14"/>
      <c r="AC177" s="23"/>
      <c r="AD177" s="15"/>
      <c r="AE177" s="25"/>
      <c r="AF177" s="23"/>
      <c r="AG177" s="15"/>
      <c r="AH177" s="14"/>
      <c r="AI177" s="23"/>
      <c r="AJ177" s="15"/>
      <c r="AK177" s="25"/>
      <c r="AL177" s="23"/>
      <c r="AM177" s="15"/>
      <c r="AN177" s="14"/>
      <c r="AO177" s="23"/>
      <c r="AP177" s="15"/>
      <c r="AQ177" s="25"/>
      <c r="AR177" s="23"/>
      <c r="AS177" s="15"/>
      <c r="AT177" s="14"/>
      <c r="AU177" s="23"/>
      <c r="AV177" s="15"/>
      <c r="AW177" s="25"/>
      <c r="AX177" s="23"/>
      <c r="AY177" s="15"/>
      <c r="AZ177" s="14"/>
      <c r="BA177" s="23"/>
      <c r="BB177" s="15"/>
      <c r="BC177" s="25"/>
      <c r="BD177" s="23"/>
      <c r="BE177" s="15"/>
      <c r="BF177" s="14"/>
      <c r="BG177" s="23"/>
      <c r="BH177" s="15"/>
      <c r="BI177" s="25"/>
      <c r="BJ177" s="23"/>
      <c r="BK177" s="15"/>
      <c r="BL177" s="14"/>
      <c r="BM177" s="23"/>
      <c r="BN177" s="15"/>
      <c r="BO177" s="25"/>
      <c r="BP177" s="23"/>
      <c r="BQ177" s="15"/>
      <c r="BR177" s="14"/>
      <c r="BS177" s="23"/>
      <c r="BT177" s="15"/>
      <c r="BU177" s="25"/>
      <c r="BV177" s="23"/>
      <c r="BW177" s="15"/>
      <c r="BX177" s="14"/>
      <c r="BY177" s="23"/>
      <c r="BZ177" s="15"/>
    </row>
    <row r="178" customFormat="false" ht="15" hidden="false" customHeight="false" outlineLevel="0" collapsed="false">
      <c r="A178" s="14"/>
      <c r="B178" s="17" t="str">
        <f aca="false">IF($A178="","",IFERROR(INDEX(Policy!$B$2:$B$301,MATCH($A178,Policy!$A$2:$A$301,0)),"MRO không có"))</f>
        <v/>
      </c>
      <c r="C178" s="17" t="str">
        <f aca="false">IF($A178="","",IFERROR(INDEX(Policy!$E$2:$E$301,MATCH($A178,Policy!$A$2:$A$301,0)),"MRO không có"))</f>
        <v/>
      </c>
      <c r="D178" s="14"/>
      <c r="E178" s="15"/>
      <c r="F178" s="15"/>
      <c r="G178" s="25"/>
      <c r="H178" s="23"/>
      <c r="I178" s="15"/>
      <c r="J178" s="14"/>
      <c r="K178" s="23"/>
      <c r="L178" s="15"/>
      <c r="M178" s="25"/>
      <c r="N178" s="23"/>
      <c r="O178" s="15"/>
      <c r="P178" s="14"/>
      <c r="Q178" s="23"/>
      <c r="R178" s="15"/>
      <c r="S178" s="25"/>
      <c r="T178" s="23"/>
      <c r="U178" s="15"/>
      <c r="V178" s="14"/>
      <c r="W178" s="23"/>
      <c r="X178" s="15"/>
      <c r="Y178" s="25"/>
      <c r="Z178" s="23"/>
      <c r="AA178" s="15"/>
      <c r="AB178" s="14"/>
      <c r="AC178" s="23"/>
      <c r="AD178" s="15"/>
      <c r="AE178" s="25"/>
      <c r="AF178" s="23"/>
      <c r="AG178" s="15"/>
      <c r="AH178" s="14"/>
      <c r="AI178" s="23"/>
      <c r="AJ178" s="15"/>
      <c r="AK178" s="25"/>
      <c r="AL178" s="23"/>
      <c r="AM178" s="15"/>
      <c r="AN178" s="14"/>
      <c r="AO178" s="23"/>
      <c r="AP178" s="15"/>
      <c r="AQ178" s="25"/>
      <c r="AR178" s="23"/>
      <c r="AS178" s="15"/>
      <c r="AT178" s="14"/>
      <c r="AU178" s="23"/>
      <c r="AV178" s="15"/>
      <c r="AW178" s="25"/>
      <c r="AX178" s="23"/>
      <c r="AY178" s="15"/>
      <c r="AZ178" s="14"/>
      <c r="BA178" s="23"/>
      <c r="BB178" s="15"/>
      <c r="BC178" s="25"/>
      <c r="BD178" s="23"/>
      <c r="BE178" s="15"/>
      <c r="BF178" s="14"/>
      <c r="BG178" s="23"/>
      <c r="BH178" s="15"/>
      <c r="BI178" s="25"/>
      <c r="BJ178" s="23"/>
      <c r="BK178" s="15"/>
      <c r="BL178" s="14"/>
      <c r="BM178" s="23"/>
      <c r="BN178" s="15"/>
      <c r="BO178" s="25"/>
      <c r="BP178" s="23"/>
      <c r="BQ178" s="15"/>
      <c r="BR178" s="14"/>
      <c r="BS178" s="23"/>
      <c r="BT178" s="15"/>
      <c r="BU178" s="25"/>
      <c r="BV178" s="23"/>
      <c r="BW178" s="15"/>
      <c r="BX178" s="14"/>
      <c r="BY178" s="23"/>
      <c r="BZ178" s="15"/>
    </row>
    <row r="179" customFormat="false" ht="15" hidden="false" customHeight="false" outlineLevel="0" collapsed="false">
      <c r="A179" s="14"/>
      <c r="B179" s="17" t="str">
        <f aca="false">IF($A179="","",IFERROR(INDEX(Policy!$B$2:$B$301,MATCH($A179,Policy!$A$2:$A$301,0)),"MRO không có"))</f>
        <v/>
      </c>
      <c r="C179" s="17" t="str">
        <f aca="false">IF($A179="","",IFERROR(INDEX(Policy!$E$2:$E$301,MATCH($A179,Policy!$A$2:$A$301,0)),"MRO không có"))</f>
        <v/>
      </c>
      <c r="D179" s="14"/>
      <c r="E179" s="15"/>
      <c r="F179" s="15"/>
      <c r="G179" s="25"/>
      <c r="H179" s="23"/>
      <c r="I179" s="15"/>
      <c r="J179" s="14"/>
      <c r="K179" s="23"/>
      <c r="L179" s="15"/>
      <c r="M179" s="25"/>
      <c r="N179" s="23"/>
      <c r="O179" s="15"/>
      <c r="P179" s="14"/>
      <c r="Q179" s="23"/>
      <c r="R179" s="15"/>
      <c r="S179" s="25"/>
      <c r="T179" s="23"/>
      <c r="U179" s="15"/>
      <c r="V179" s="14"/>
      <c r="W179" s="23"/>
      <c r="X179" s="15"/>
      <c r="Y179" s="25"/>
      <c r="Z179" s="23"/>
      <c r="AA179" s="15"/>
      <c r="AB179" s="14"/>
      <c r="AC179" s="23"/>
      <c r="AD179" s="15"/>
      <c r="AE179" s="25"/>
      <c r="AF179" s="23"/>
      <c r="AG179" s="15"/>
      <c r="AH179" s="14"/>
      <c r="AI179" s="23"/>
      <c r="AJ179" s="15"/>
      <c r="AK179" s="25"/>
      <c r="AL179" s="23"/>
      <c r="AM179" s="15"/>
      <c r="AN179" s="14"/>
      <c r="AO179" s="23"/>
      <c r="AP179" s="15"/>
      <c r="AQ179" s="25"/>
      <c r="AR179" s="23"/>
      <c r="AS179" s="15"/>
      <c r="AT179" s="14"/>
      <c r="AU179" s="23"/>
      <c r="AV179" s="15"/>
      <c r="AW179" s="25"/>
      <c r="AX179" s="23"/>
      <c r="AY179" s="15"/>
      <c r="AZ179" s="14"/>
      <c r="BA179" s="23"/>
      <c r="BB179" s="15"/>
      <c r="BC179" s="25"/>
      <c r="BD179" s="23"/>
      <c r="BE179" s="15"/>
      <c r="BF179" s="14"/>
      <c r="BG179" s="23"/>
      <c r="BH179" s="15"/>
      <c r="BI179" s="25"/>
      <c r="BJ179" s="23"/>
      <c r="BK179" s="15"/>
      <c r="BL179" s="14"/>
      <c r="BM179" s="23"/>
      <c r="BN179" s="15"/>
      <c r="BO179" s="25"/>
      <c r="BP179" s="23"/>
      <c r="BQ179" s="15"/>
      <c r="BR179" s="14"/>
      <c r="BS179" s="23"/>
      <c r="BT179" s="15"/>
      <c r="BU179" s="25"/>
      <c r="BV179" s="23"/>
      <c r="BW179" s="15"/>
      <c r="BX179" s="14"/>
      <c r="BY179" s="23"/>
      <c r="BZ179" s="15"/>
    </row>
    <row r="180" customFormat="false" ht="15" hidden="false" customHeight="false" outlineLevel="0" collapsed="false">
      <c r="A180" s="14"/>
      <c r="B180" s="17" t="str">
        <f aca="false">IF($A180="","",IFERROR(INDEX(Policy!$B$2:$B$301,MATCH($A180,Policy!$A$2:$A$301,0)),"MRO không có"))</f>
        <v/>
      </c>
      <c r="C180" s="17" t="str">
        <f aca="false">IF($A180="","",IFERROR(INDEX(Policy!$E$2:$E$301,MATCH($A180,Policy!$A$2:$A$301,0)),"MRO không có"))</f>
        <v/>
      </c>
      <c r="D180" s="14"/>
      <c r="E180" s="15"/>
      <c r="F180" s="15"/>
      <c r="G180" s="25"/>
      <c r="H180" s="23"/>
      <c r="I180" s="15"/>
      <c r="J180" s="14"/>
      <c r="K180" s="23"/>
      <c r="L180" s="15"/>
      <c r="M180" s="25"/>
      <c r="N180" s="23"/>
      <c r="O180" s="15"/>
      <c r="P180" s="14"/>
      <c r="Q180" s="23"/>
      <c r="R180" s="15"/>
      <c r="S180" s="25"/>
      <c r="T180" s="23"/>
      <c r="U180" s="15"/>
      <c r="V180" s="14"/>
      <c r="W180" s="23"/>
      <c r="X180" s="15"/>
      <c r="Y180" s="25"/>
      <c r="Z180" s="23"/>
      <c r="AA180" s="15"/>
      <c r="AB180" s="14"/>
      <c r="AC180" s="23"/>
      <c r="AD180" s="15"/>
      <c r="AE180" s="25"/>
      <c r="AF180" s="23"/>
      <c r="AG180" s="15"/>
      <c r="AH180" s="14"/>
      <c r="AI180" s="23"/>
      <c r="AJ180" s="15"/>
      <c r="AK180" s="25"/>
      <c r="AL180" s="23"/>
      <c r="AM180" s="15"/>
      <c r="AN180" s="14"/>
      <c r="AO180" s="23"/>
      <c r="AP180" s="15"/>
      <c r="AQ180" s="25"/>
      <c r="AR180" s="23"/>
      <c r="AS180" s="15"/>
      <c r="AT180" s="14"/>
      <c r="AU180" s="23"/>
      <c r="AV180" s="15"/>
      <c r="AW180" s="25"/>
      <c r="AX180" s="23"/>
      <c r="AY180" s="15"/>
      <c r="AZ180" s="14"/>
      <c r="BA180" s="23"/>
      <c r="BB180" s="15"/>
      <c r="BC180" s="25"/>
      <c r="BD180" s="23"/>
      <c r="BE180" s="15"/>
      <c r="BF180" s="14"/>
      <c r="BG180" s="23"/>
      <c r="BH180" s="15"/>
      <c r="BI180" s="25"/>
      <c r="BJ180" s="23"/>
      <c r="BK180" s="15"/>
      <c r="BL180" s="14"/>
      <c r="BM180" s="23"/>
      <c r="BN180" s="15"/>
      <c r="BO180" s="25"/>
      <c r="BP180" s="23"/>
      <c r="BQ180" s="15"/>
      <c r="BR180" s="14"/>
      <c r="BS180" s="23"/>
      <c r="BT180" s="15"/>
      <c r="BU180" s="25"/>
      <c r="BV180" s="23"/>
      <c r="BW180" s="15"/>
      <c r="BX180" s="14"/>
      <c r="BY180" s="23"/>
      <c r="BZ180" s="15"/>
    </row>
    <row r="181" customFormat="false" ht="15" hidden="false" customHeight="false" outlineLevel="0" collapsed="false">
      <c r="A181" s="14"/>
      <c r="B181" s="17" t="str">
        <f aca="false">IF($A181="","",IFERROR(INDEX(Policy!$B$2:$B$301,MATCH($A181,Policy!$A$2:$A$301,0)),"MRO không có"))</f>
        <v/>
      </c>
      <c r="C181" s="17" t="str">
        <f aca="false">IF($A181="","",IFERROR(INDEX(Policy!$E$2:$E$301,MATCH($A181,Policy!$A$2:$A$301,0)),"MRO không có"))</f>
        <v/>
      </c>
      <c r="D181" s="14"/>
      <c r="E181" s="15"/>
      <c r="F181" s="15"/>
      <c r="G181" s="25"/>
      <c r="H181" s="23"/>
      <c r="I181" s="15"/>
      <c r="J181" s="14"/>
      <c r="K181" s="23"/>
      <c r="L181" s="15"/>
      <c r="M181" s="25"/>
      <c r="N181" s="23"/>
      <c r="O181" s="15"/>
      <c r="P181" s="14"/>
      <c r="Q181" s="23"/>
      <c r="R181" s="15"/>
      <c r="S181" s="25"/>
      <c r="T181" s="23"/>
      <c r="U181" s="15"/>
      <c r="V181" s="14"/>
      <c r="W181" s="23"/>
      <c r="X181" s="15"/>
      <c r="Y181" s="25"/>
      <c r="Z181" s="23"/>
      <c r="AA181" s="15"/>
      <c r="AB181" s="14"/>
      <c r="AC181" s="23"/>
      <c r="AD181" s="15"/>
      <c r="AE181" s="25"/>
      <c r="AF181" s="23"/>
      <c r="AG181" s="15"/>
      <c r="AH181" s="14"/>
      <c r="AI181" s="23"/>
      <c r="AJ181" s="15"/>
      <c r="AK181" s="25"/>
      <c r="AL181" s="23"/>
      <c r="AM181" s="15"/>
      <c r="AN181" s="14"/>
      <c r="AO181" s="23"/>
      <c r="AP181" s="15"/>
      <c r="AQ181" s="25"/>
      <c r="AR181" s="23"/>
      <c r="AS181" s="15"/>
      <c r="AT181" s="14"/>
      <c r="AU181" s="23"/>
      <c r="AV181" s="15"/>
      <c r="AW181" s="25"/>
      <c r="AX181" s="23"/>
      <c r="AY181" s="15"/>
      <c r="AZ181" s="14"/>
      <c r="BA181" s="23"/>
      <c r="BB181" s="15"/>
      <c r="BC181" s="25"/>
      <c r="BD181" s="23"/>
      <c r="BE181" s="15"/>
      <c r="BF181" s="14"/>
      <c r="BG181" s="23"/>
      <c r="BH181" s="15"/>
      <c r="BI181" s="25"/>
      <c r="BJ181" s="23"/>
      <c r="BK181" s="15"/>
      <c r="BL181" s="14"/>
      <c r="BM181" s="23"/>
      <c r="BN181" s="15"/>
      <c r="BO181" s="25"/>
      <c r="BP181" s="23"/>
      <c r="BQ181" s="15"/>
      <c r="BR181" s="14"/>
      <c r="BS181" s="23"/>
      <c r="BT181" s="15"/>
      <c r="BU181" s="25"/>
      <c r="BV181" s="23"/>
      <c r="BW181" s="15"/>
      <c r="BX181" s="14"/>
      <c r="BY181" s="23"/>
      <c r="BZ181" s="15"/>
    </row>
    <row r="182" customFormat="false" ht="15" hidden="false" customHeight="false" outlineLevel="0" collapsed="false">
      <c r="A182" s="14"/>
      <c r="B182" s="17" t="str">
        <f aca="false">IF($A182="","",IFERROR(INDEX(Policy!$B$2:$B$301,MATCH($A182,Policy!$A$2:$A$301,0)),"MRO không có"))</f>
        <v/>
      </c>
      <c r="C182" s="17" t="str">
        <f aca="false">IF($A182="","",IFERROR(INDEX(Policy!$E$2:$E$301,MATCH($A182,Policy!$A$2:$A$301,0)),"MRO không có"))</f>
        <v/>
      </c>
      <c r="D182" s="14"/>
      <c r="E182" s="15"/>
      <c r="F182" s="15"/>
      <c r="G182" s="25"/>
      <c r="H182" s="23"/>
      <c r="I182" s="15"/>
      <c r="J182" s="14"/>
      <c r="K182" s="23"/>
      <c r="L182" s="15"/>
      <c r="M182" s="25"/>
      <c r="N182" s="23"/>
      <c r="O182" s="15"/>
      <c r="P182" s="14"/>
      <c r="Q182" s="23"/>
      <c r="R182" s="15"/>
      <c r="S182" s="25"/>
      <c r="T182" s="23"/>
      <c r="U182" s="15"/>
      <c r="V182" s="14"/>
      <c r="W182" s="23"/>
      <c r="X182" s="15"/>
      <c r="Y182" s="25"/>
      <c r="Z182" s="23"/>
      <c r="AA182" s="15"/>
      <c r="AB182" s="14"/>
      <c r="AC182" s="23"/>
      <c r="AD182" s="15"/>
      <c r="AE182" s="25"/>
      <c r="AF182" s="23"/>
      <c r="AG182" s="15"/>
      <c r="AH182" s="14"/>
      <c r="AI182" s="23"/>
      <c r="AJ182" s="15"/>
      <c r="AK182" s="25"/>
      <c r="AL182" s="23"/>
      <c r="AM182" s="15"/>
      <c r="AN182" s="14"/>
      <c r="AO182" s="23"/>
      <c r="AP182" s="15"/>
      <c r="AQ182" s="25"/>
      <c r="AR182" s="23"/>
      <c r="AS182" s="15"/>
      <c r="AT182" s="14"/>
      <c r="AU182" s="23"/>
      <c r="AV182" s="15"/>
      <c r="AW182" s="25"/>
      <c r="AX182" s="23"/>
      <c r="AY182" s="15"/>
      <c r="AZ182" s="14"/>
      <c r="BA182" s="23"/>
      <c r="BB182" s="15"/>
      <c r="BC182" s="25"/>
      <c r="BD182" s="23"/>
      <c r="BE182" s="15"/>
      <c r="BF182" s="14"/>
      <c r="BG182" s="23"/>
      <c r="BH182" s="15"/>
      <c r="BI182" s="25"/>
      <c r="BJ182" s="23"/>
      <c r="BK182" s="15"/>
      <c r="BL182" s="14"/>
      <c r="BM182" s="23"/>
      <c r="BN182" s="15"/>
      <c r="BO182" s="25"/>
      <c r="BP182" s="23"/>
      <c r="BQ182" s="15"/>
      <c r="BR182" s="14"/>
      <c r="BS182" s="23"/>
      <c r="BT182" s="15"/>
      <c r="BU182" s="25"/>
      <c r="BV182" s="23"/>
      <c r="BW182" s="15"/>
      <c r="BX182" s="14"/>
      <c r="BY182" s="23"/>
      <c r="BZ182" s="15"/>
    </row>
    <row r="183" customFormat="false" ht="15" hidden="false" customHeight="false" outlineLevel="0" collapsed="false">
      <c r="A183" s="14"/>
      <c r="B183" s="17" t="str">
        <f aca="false">IF($A183="","",IFERROR(INDEX(Policy!$B$2:$B$301,MATCH($A183,Policy!$A$2:$A$301,0)),"MRO không có"))</f>
        <v/>
      </c>
      <c r="C183" s="17" t="str">
        <f aca="false">IF($A183="","",IFERROR(INDEX(Policy!$E$2:$E$301,MATCH($A183,Policy!$A$2:$A$301,0)),"MRO không có"))</f>
        <v/>
      </c>
      <c r="D183" s="14"/>
      <c r="E183" s="15"/>
      <c r="F183" s="15"/>
      <c r="G183" s="25"/>
      <c r="H183" s="23"/>
      <c r="I183" s="15"/>
      <c r="J183" s="14"/>
      <c r="K183" s="23"/>
      <c r="L183" s="15"/>
      <c r="M183" s="25"/>
      <c r="N183" s="23"/>
      <c r="O183" s="15"/>
      <c r="P183" s="14"/>
      <c r="Q183" s="23"/>
      <c r="R183" s="15"/>
      <c r="S183" s="25"/>
      <c r="T183" s="23"/>
      <c r="U183" s="15"/>
      <c r="V183" s="14"/>
      <c r="W183" s="23"/>
      <c r="X183" s="15"/>
      <c r="Y183" s="25"/>
      <c r="Z183" s="23"/>
      <c r="AA183" s="15"/>
      <c r="AB183" s="14"/>
      <c r="AC183" s="23"/>
      <c r="AD183" s="15"/>
      <c r="AE183" s="25"/>
      <c r="AF183" s="23"/>
      <c r="AG183" s="15"/>
      <c r="AH183" s="14"/>
      <c r="AI183" s="23"/>
      <c r="AJ183" s="15"/>
      <c r="AK183" s="25"/>
      <c r="AL183" s="23"/>
      <c r="AM183" s="15"/>
      <c r="AN183" s="14"/>
      <c r="AO183" s="23"/>
      <c r="AP183" s="15"/>
      <c r="AQ183" s="25"/>
      <c r="AR183" s="23"/>
      <c r="AS183" s="15"/>
      <c r="AT183" s="14"/>
      <c r="AU183" s="23"/>
      <c r="AV183" s="15"/>
      <c r="AW183" s="25"/>
      <c r="AX183" s="23"/>
      <c r="AY183" s="15"/>
      <c r="AZ183" s="14"/>
      <c r="BA183" s="23"/>
      <c r="BB183" s="15"/>
      <c r="BC183" s="25"/>
      <c r="BD183" s="23"/>
      <c r="BE183" s="15"/>
      <c r="BF183" s="14"/>
      <c r="BG183" s="23"/>
      <c r="BH183" s="15"/>
      <c r="BI183" s="25"/>
      <c r="BJ183" s="23"/>
      <c r="BK183" s="15"/>
      <c r="BL183" s="14"/>
      <c r="BM183" s="23"/>
      <c r="BN183" s="15"/>
      <c r="BO183" s="25"/>
      <c r="BP183" s="23"/>
      <c r="BQ183" s="15"/>
      <c r="BR183" s="14"/>
      <c r="BS183" s="23"/>
      <c r="BT183" s="15"/>
      <c r="BU183" s="25"/>
      <c r="BV183" s="23"/>
      <c r="BW183" s="15"/>
      <c r="BX183" s="14"/>
      <c r="BY183" s="23"/>
      <c r="BZ183" s="15"/>
    </row>
    <row r="184" customFormat="false" ht="15" hidden="false" customHeight="false" outlineLevel="0" collapsed="false">
      <c r="A184" s="14"/>
      <c r="B184" s="17" t="str">
        <f aca="false">IF($A184="","",IFERROR(INDEX(Policy!$B$2:$B$301,MATCH($A184,Policy!$A$2:$A$301,0)),"MRO không có"))</f>
        <v/>
      </c>
      <c r="C184" s="17" t="str">
        <f aca="false">IF($A184="","",IFERROR(INDEX(Policy!$E$2:$E$301,MATCH($A184,Policy!$A$2:$A$301,0)),"MRO không có"))</f>
        <v/>
      </c>
      <c r="D184" s="14"/>
      <c r="E184" s="15"/>
      <c r="F184" s="15"/>
      <c r="G184" s="25"/>
      <c r="H184" s="23"/>
      <c r="I184" s="15"/>
      <c r="J184" s="14"/>
      <c r="K184" s="23"/>
      <c r="L184" s="15"/>
      <c r="M184" s="25"/>
      <c r="N184" s="23"/>
      <c r="O184" s="15"/>
      <c r="P184" s="14"/>
      <c r="Q184" s="23"/>
      <c r="R184" s="15"/>
      <c r="S184" s="25"/>
      <c r="T184" s="23"/>
      <c r="U184" s="15"/>
      <c r="V184" s="14"/>
      <c r="W184" s="23"/>
      <c r="X184" s="15"/>
      <c r="Y184" s="25"/>
      <c r="Z184" s="23"/>
      <c r="AA184" s="15"/>
      <c r="AB184" s="14"/>
      <c r="AC184" s="23"/>
      <c r="AD184" s="15"/>
      <c r="AE184" s="25"/>
      <c r="AF184" s="23"/>
      <c r="AG184" s="15"/>
      <c r="AH184" s="14"/>
      <c r="AI184" s="23"/>
      <c r="AJ184" s="15"/>
      <c r="AK184" s="25"/>
      <c r="AL184" s="23"/>
      <c r="AM184" s="15"/>
      <c r="AN184" s="14"/>
      <c r="AO184" s="23"/>
      <c r="AP184" s="15"/>
      <c r="AQ184" s="25"/>
      <c r="AR184" s="23"/>
      <c r="AS184" s="15"/>
      <c r="AT184" s="14"/>
      <c r="AU184" s="23"/>
      <c r="AV184" s="15"/>
      <c r="AW184" s="25"/>
      <c r="AX184" s="23"/>
      <c r="AY184" s="15"/>
      <c r="AZ184" s="14"/>
      <c r="BA184" s="23"/>
      <c r="BB184" s="15"/>
      <c r="BC184" s="25"/>
      <c r="BD184" s="23"/>
      <c r="BE184" s="15"/>
      <c r="BF184" s="14"/>
      <c r="BG184" s="23"/>
      <c r="BH184" s="15"/>
      <c r="BI184" s="25"/>
      <c r="BJ184" s="23"/>
      <c r="BK184" s="15"/>
      <c r="BL184" s="14"/>
      <c r="BM184" s="23"/>
      <c r="BN184" s="15"/>
      <c r="BO184" s="25"/>
      <c r="BP184" s="23"/>
      <c r="BQ184" s="15"/>
      <c r="BR184" s="14"/>
      <c r="BS184" s="23"/>
      <c r="BT184" s="15"/>
      <c r="BU184" s="25"/>
      <c r="BV184" s="23"/>
      <c r="BW184" s="15"/>
      <c r="BX184" s="14"/>
      <c r="BY184" s="23"/>
      <c r="BZ184" s="15"/>
    </row>
    <row r="185" customFormat="false" ht="15" hidden="false" customHeight="false" outlineLevel="0" collapsed="false">
      <c r="A185" s="14"/>
      <c r="B185" s="17" t="str">
        <f aca="false">IF($A185="","",IFERROR(INDEX(Policy!$B$2:$B$301,MATCH($A185,Policy!$A$2:$A$301,0)),"MRO không có"))</f>
        <v/>
      </c>
      <c r="C185" s="17" t="str">
        <f aca="false">IF($A185="","",IFERROR(INDEX(Policy!$E$2:$E$301,MATCH($A185,Policy!$A$2:$A$301,0)),"MRO không có"))</f>
        <v/>
      </c>
      <c r="D185" s="14"/>
      <c r="E185" s="15"/>
      <c r="F185" s="15"/>
      <c r="G185" s="25"/>
      <c r="H185" s="23"/>
      <c r="I185" s="15"/>
      <c r="J185" s="14"/>
      <c r="K185" s="23"/>
      <c r="L185" s="15"/>
      <c r="M185" s="25"/>
      <c r="N185" s="23"/>
      <c r="O185" s="15"/>
      <c r="P185" s="14"/>
      <c r="Q185" s="23"/>
      <c r="R185" s="15"/>
      <c r="S185" s="25"/>
      <c r="T185" s="23"/>
      <c r="U185" s="15"/>
      <c r="V185" s="14"/>
      <c r="W185" s="23"/>
      <c r="X185" s="15"/>
      <c r="Y185" s="25"/>
      <c r="Z185" s="23"/>
      <c r="AA185" s="15"/>
      <c r="AB185" s="14"/>
      <c r="AC185" s="23"/>
      <c r="AD185" s="15"/>
      <c r="AE185" s="25"/>
      <c r="AF185" s="23"/>
      <c r="AG185" s="15"/>
      <c r="AH185" s="14"/>
      <c r="AI185" s="23"/>
      <c r="AJ185" s="15"/>
      <c r="AK185" s="25"/>
      <c r="AL185" s="23"/>
      <c r="AM185" s="15"/>
      <c r="AN185" s="14"/>
      <c r="AO185" s="23"/>
      <c r="AP185" s="15"/>
      <c r="AQ185" s="25"/>
      <c r="AR185" s="23"/>
      <c r="AS185" s="15"/>
      <c r="AT185" s="14"/>
      <c r="AU185" s="23"/>
      <c r="AV185" s="15"/>
      <c r="AW185" s="25"/>
      <c r="AX185" s="23"/>
      <c r="AY185" s="15"/>
      <c r="AZ185" s="14"/>
      <c r="BA185" s="23"/>
      <c r="BB185" s="15"/>
      <c r="BC185" s="25"/>
      <c r="BD185" s="23"/>
      <c r="BE185" s="15"/>
      <c r="BF185" s="14"/>
      <c r="BG185" s="23"/>
      <c r="BH185" s="15"/>
      <c r="BI185" s="25"/>
      <c r="BJ185" s="23"/>
      <c r="BK185" s="15"/>
      <c r="BL185" s="14"/>
      <c r="BM185" s="23"/>
      <c r="BN185" s="15"/>
      <c r="BO185" s="25"/>
      <c r="BP185" s="23"/>
      <c r="BQ185" s="15"/>
      <c r="BR185" s="14"/>
      <c r="BS185" s="23"/>
      <c r="BT185" s="15"/>
      <c r="BU185" s="25"/>
      <c r="BV185" s="23"/>
      <c r="BW185" s="15"/>
      <c r="BX185" s="14"/>
      <c r="BY185" s="23"/>
      <c r="BZ185" s="15"/>
    </row>
    <row r="186" customFormat="false" ht="15" hidden="false" customHeight="false" outlineLevel="0" collapsed="false">
      <c r="A186" s="14"/>
      <c r="B186" s="17" t="str">
        <f aca="false">IF($A186="","",IFERROR(INDEX(Policy!$B$2:$B$301,MATCH($A186,Policy!$A$2:$A$301,0)),"MRO không có"))</f>
        <v/>
      </c>
      <c r="C186" s="17" t="str">
        <f aca="false">IF($A186="","",IFERROR(INDEX(Policy!$E$2:$E$301,MATCH($A186,Policy!$A$2:$A$301,0)),"MRO không có"))</f>
        <v/>
      </c>
      <c r="D186" s="14"/>
      <c r="E186" s="15"/>
      <c r="F186" s="15"/>
      <c r="G186" s="25"/>
      <c r="H186" s="23"/>
      <c r="I186" s="15"/>
      <c r="J186" s="14"/>
      <c r="K186" s="23"/>
      <c r="L186" s="15"/>
      <c r="M186" s="25"/>
      <c r="N186" s="23"/>
      <c r="O186" s="15"/>
      <c r="P186" s="14"/>
      <c r="Q186" s="23"/>
      <c r="R186" s="15"/>
      <c r="S186" s="25"/>
      <c r="T186" s="23"/>
      <c r="U186" s="15"/>
      <c r="V186" s="14"/>
      <c r="W186" s="23"/>
      <c r="X186" s="15"/>
      <c r="Y186" s="25"/>
      <c r="Z186" s="23"/>
      <c r="AA186" s="15"/>
      <c r="AB186" s="14"/>
      <c r="AC186" s="23"/>
      <c r="AD186" s="15"/>
      <c r="AE186" s="25"/>
      <c r="AF186" s="23"/>
      <c r="AG186" s="15"/>
      <c r="AH186" s="14"/>
      <c r="AI186" s="23"/>
      <c r="AJ186" s="15"/>
      <c r="AK186" s="25"/>
      <c r="AL186" s="23"/>
      <c r="AM186" s="15"/>
      <c r="AN186" s="14"/>
      <c r="AO186" s="23"/>
      <c r="AP186" s="15"/>
      <c r="AQ186" s="25"/>
      <c r="AR186" s="23"/>
      <c r="AS186" s="15"/>
      <c r="AT186" s="14"/>
      <c r="AU186" s="23"/>
      <c r="AV186" s="15"/>
      <c r="AW186" s="25"/>
      <c r="AX186" s="23"/>
      <c r="AY186" s="15"/>
      <c r="AZ186" s="14"/>
      <c r="BA186" s="23"/>
      <c r="BB186" s="15"/>
      <c r="BC186" s="25"/>
      <c r="BD186" s="23"/>
      <c r="BE186" s="15"/>
      <c r="BF186" s="14"/>
      <c r="BG186" s="23"/>
      <c r="BH186" s="15"/>
      <c r="BI186" s="25"/>
      <c r="BJ186" s="23"/>
      <c r="BK186" s="15"/>
      <c r="BL186" s="14"/>
      <c r="BM186" s="23"/>
      <c r="BN186" s="15"/>
      <c r="BO186" s="25"/>
      <c r="BP186" s="23"/>
      <c r="BQ186" s="15"/>
      <c r="BR186" s="14"/>
      <c r="BS186" s="23"/>
      <c r="BT186" s="15"/>
      <c r="BU186" s="25"/>
      <c r="BV186" s="23"/>
      <c r="BW186" s="15"/>
      <c r="BX186" s="14"/>
      <c r="BY186" s="23"/>
      <c r="BZ186" s="15"/>
    </row>
    <row r="187" customFormat="false" ht="15" hidden="false" customHeight="false" outlineLevel="0" collapsed="false">
      <c r="A187" s="14"/>
      <c r="B187" s="17" t="str">
        <f aca="false">IF($A187="","",IFERROR(INDEX(Policy!$B$2:$B$301,MATCH($A187,Policy!$A$2:$A$301,0)),"MRO không có"))</f>
        <v/>
      </c>
      <c r="C187" s="17" t="str">
        <f aca="false">IF($A187="","",IFERROR(INDEX(Policy!$E$2:$E$301,MATCH($A187,Policy!$A$2:$A$301,0)),"MRO không có"))</f>
        <v/>
      </c>
      <c r="D187" s="14"/>
      <c r="E187" s="15"/>
      <c r="F187" s="15"/>
      <c r="G187" s="25"/>
      <c r="H187" s="23"/>
      <c r="I187" s="15"/>
      <c r="J187" s="14"/>
      <c r="K187" s="23"/>
      <c r="L187" s="15"/>
      <c r="M187" s="25"/>
      <c r="N187" s="23"/>
      <c r="O187" s="15"/>
      <c r="P187" s="14"/>
      <c r="Q187" s="23"/>
      <c r="R187" s="15"/>
      <c r="S187" s="25"/>
      <c r="T187" s="23"/>
      <c r="U187" s="15"/>
      <c r="V187" s="14"/>
      <c r="W187" s="23"/>
      <c r="X187" s="15"/>
      <c r="Y187" s="25"/>
      <c r="Z187" s="23"/>
      <c r="AA187" s="15"/>
      <c r="AB187" s="14"/>
      <c r="AC187" s="23"/>
      <c r="AD187" s="15"/>
      <c r="AE187" s="25"/>
      <c r="AF187" s="23"/>
      <c r="AG187" s="15"/>
      <c r="AH187" s="14"/>
      <c r="AI187" s="23"/>
      <c r="AJ187" s="15"/>
      <c r="AK187" s="25"/>
      <c r="AL187" s="23"/>
      <c r="AM187" s="15"/>
      <c r="AN187" s="14"/>
      <c r="AO187" s="23"/>
      <c r="AP187" s="15"/>
      <c r="AQ187" s="25"/>
      <c r="AR187" s="23"/>
      <c r="AS187" s="15"/>
      <c r="AT187" s="14"/>
      <c r="AU187" s="23"/>
      <c r="AV187" s="15"/>
      <c r="AW187" s="25"/>
      <c r="AX187" s="23"/>
      <c r="AY187" s="15"/>
      <c r="AZ187" s="14"/>
      <c r="BA187" s="23"/>
      <c r="BB187" s="15"/>
      <c r="BC187" s="25"/>
      <c r="BD187" s="23"/>
      <c r="BE187" s="15"/>
      <c r="BF187" s="14"/>
      <c r="BG187" s="23"/>
      <c r="BH187" s="15"/>
      <c r="BI187" s="25"/>
      <c r="BJ187" s="23"/>
      <c r="BK187" s="15"/>
      <c r="BL187" s="14"/>
      <c r="BM187" s="23"/>
      <c r="BN187" s="15"/>
      <c r="BO187" s="25"/>
      <c r="BP187" s="23"/>
      <c r="BQ187" s="15"/>
      <c r="BR187" s="14"/>
      <c r="BS187" s="23"/>
      <c r="BT187" s="15"/>
      <c r="BU187" s="25"/>
      <c r="BV187" s="23"/>
      <c r="BW187" s="15"/>
      <c r="BX187" s="14"/>
      <c r="BY187" s="23"/>
      <c r="BZ187" s="15"/>
    </row>
    <row r="188" customFormat="false" ht="15" hidden="false" customHeight="false" outlineLevel="0" collapsed="false">
      <c r="A188" s="14"/>
      <c r="B188" s="17" t="str">
        <f aca="false">IF($A188="","",IFERROR(INDEX(Policy!$B$2:$B$301,MATCH($A188,Policy!$A$2:$A$301,0)),"MRO không có"))</f>
        <v/>
      </c>
      <c r="C188" s="17" t="str">
        <f aca="false">IF($A188="","",IFERROR(INDEX(Policy!$E$2:$E$301,MATCH($A188,Policy!$A$2:$A$301,0)),"MRO không có"))</f>
        <v/>
      </c>
      <c r="D188" s="14"/>
      <c r="E188" s="15"/>
      <c r="F188" s="15"/>
      <c r="G188" s="25"/>
      <c r="H188" s="23"/>
      <c r="I188" s="15"/>
      <c r="J188" s="14"/>
      <c r="K188" s="23"/>
      <c r="L188" s="15"/>
      <c r="M188" s="25"/>
      <c r="N188" s="23"/>
      <c r="O188" s="15"/>
      <c r="P188" s="14"/>
      <c r="Q188" s="23"/>
      <c r="R188" s="15"/>
      <c r="S188" s="25"/>
      <c r="T188" s="23"/>
      <c r="U188" s="15"/>
      <c r="V188" s="14"/>
      <c r="W188" s="23"/>
      <c r="X188" s="15"/>
      <c r="Y188" s="25"/>
      <c r="Z188" s="23"/>
      <c r="AA188" s="15"/>
      <c r="AB188" s="14"/>
      <c r="AC188" s="23"/>
      <c r="AD188" s="15"/>
      <c r="AE188" s="25"/>
      <c r="AF188" s="23"/>
      <c r="AG188" s="15"/>
      <c r="AH188" s="14"/>
      <c r="AI188" s="23"/>
      <c r="AJ188" s="15"/>
      <c r="AK188" s="25"/>
      <c r="AL188" s="23"/>
      <c r="AM188" s="15"/>
      <c r="AN188" s="14"/>
      <c r="AO188" s="23"/>
      <c r="AP188" s="15"/>
      <c r="AQ188" s="25"/>
      <c r="AR188" s="23"/>
      <c r="AS188" s="15"/>
      <c r="AT188" s="14"/>
      <c r="AU188" s="23"/>
      <c r="AV188" s="15"/>
      <c r="AW188" s="25"/>
      <c r="AX188" s="23"/>
      <c r="AY188" s="15"/>
      <c r="AZ188" s="14"/>
      <c r="BA188" s="23"/>
      <c r="BB188" s="15"/>
      <c r="BC188" s="25"/>
      <c r="BD188" s="23"/>
      <c r="BE188" s="15"/>
      <c r="BF188" s="14"/>
      <c r="BG188" s="23"/>
      <c r="BH188" s="15"/>
      <c r="BI188" s="25"/>
      <c r="BJ188" s="23"/>
      <c r="BK188" s="15"/>
      <c r="BL188" s="14"/>
      <c r="BM188" s="23"/>
      <c r="BN188" s="15"/>
      <c r="BO188" s="25"/>
      <c r="BP188" s="23"/>
      <c r="BQ188" s="15"/>
      <c r="BR188" s="14"/>
      <c r="BS188" s="23"/>
      <c r="BT188" s="15"/>
      <c r="BU188" s="25"/>
      <c r="BV188" s="23"/>
      <c r="BW188" s="15"/>
      <c r="BX188" s="14"/>
      <c r="BY188" s="23"/>
      <c r="BZ188" s="15"/>
    </row>
    <row r="189" customFormat="false" ht="15" hidden="false" customHeight="false" outlineLevel="0" collapsed="false">
      <c r="A189" s="14"/>
      <c r="B189" s="17" t="str">
        <f aca="false">IF($A189="","",IFERROR(INDEX(Policy!$B$2:$B$301,MATCH($A189,Policy!$A$2:$A$301,0)),"MRO không có"))</f>
        <v/>
      </c>
      <c r="C189" s="17" t="str">
        <f aca="false">IF($A189="","",IFERROR(INDEX(Policy!$E$2:$E$301,MATCH($A189,Policy!$A$2:$A$301,0)),"MRO không có"))</f>
        <v/>
      </c>
      <c r="D189" s="14"/>
      <c r="E189" s="15"/>
      <c r="F189" s="15"/>
      <c r="G189" s="25"/>
      <c r="H189" s="23"/>
      <c r="I189" s="15"/>
      <c r="J189" s="14"/>
      <c r="K189" s="23"/>
      <c r="L189" s="15"/>
      <c r="M189" s="25"/>
      <c r="N189" s="23"/>
      <c r="O189" s="15"/>
      <c r="P189" s="14"/>
      <c r="Q189" s="23"/>
      <c r="R189" s="15"/>
      <c r="S189" s="25"/>
      <c r="T189" s="23"/>
      <c r="U189" s="15"/>
      <c r="V189" s="14"/>
      <c r="W189" s="23"/>
      <c r="X189" s="15"/>
      <c r="Y189" s="25"/>
      <c r="Z189" s="23"/>
      <c r="AA189" s="15"/>
      <c r="AB189" s="14"/>
      <c r="AC189" s="23"/>
      <c r="AD189" s="15"/>
      <c r="AE189" s="25"/>
      <c r="AF189" s="23"/>
      <c r="AG189" s="15"/>
      <c r="AH189" s="14"/>
      <c r="AI189" s="23"/>
      <c r="AJ189" s="15"/>
      <c r="AK189" s="25"/>
      <c r="AL189" s="23"/>
      <c r="AM189" s="15"/>
      <c r="AN189" s="14"/>
      <c r="AO189" s="23"/>
      <c r="AP189" s="15"/>
      <c r="AQ189" s="25"/>
      <c r="AR189" s="23"/>
      <c r="AS189" s="15"/>
      <c r="AT189" s="14"/>
      <c r="AU189" s="23"/>
      <c r="AV189" s="15"/>
      <c r="AW189" s="25"/>
      <c r="AX189" s="23"/>
      <c r="AY189" s="15"/>
      <c r="AZ189" s="14"/>
      <c r="BA189" s="23"/>
      <c r="BB189" s="15"/>
      <c r="BC189" s="25"/>
      <c r="BD189" s="23"/>
      <c r="BE189" s="15"/>
      <c r="BF189" s="14"/>
      <c r="BG189" s="23"/>
      <c r="BH189" s="15"/>
      <c r="BI189" s="25"/>
      <c r="BJ189" s="23"/>
      <c r="BK189" s="15"/>
      <c r="BL189" s="14"/>
      <c r="BM189" s="23"/>
      <c r="BN189" s="15"/>
      <c r="BO189" s="25"/>
      <c r="BP189" s="23"/>
      <c r="BQ189" s="15"/>
      <c r="BR189" s="14"/>
      <c r="BS189" s="23"/>
      <c r="BT189" s="15"/>
      <c r="BU189" s="25"/>
      <c r="BV189" s="23"/>
      <c r="BW189" s="15"/>
      <c r="BX189" s="14"/>
      <c r="BY189" s="23"/>
      <c r="BZ189" s="15"/>
    </row>
    <row r="190" customFormat="false" ht="15" hidden="false" customHeight="false" outlineLevel="0" collapsed="false">
      <c r="A190" s="14"/>
      <c r="B190" s="17" t="str">
        <f aca="false">IF($A190="","",IFERROR(INDEX(Policy!$B$2:$B$301,MATCH($A190,Policy!$A$2:$A$301,0)),"MRO không có"))</f>
        <v/>
      </c>
      <c r="C190" s="17" t="str">
        <f aca="false">IF($A190="","",IFERROR(INDEX(Policy!$E$2:$E$301,MATCH($A190,Policy!$A$2:$A$301,0)),"MRO không có"))</f>
        <v/>
      </c>
      <c r="D190" s="14"/>
      <c r="E190" s="15"/>
      <c r="F190" s="15"/>
      <c r="G190" s="25"/>
      <c r="H190" s="23"/>
      <c r="I190" s="15"/>
      <c r="J190" s="14"/>
      <c r="K190" s="23"/>
      <c r="L190" s="15"/>
      <c r="M190" s="25"/>
      <c r="N190" s="23"/>
      <c r="O190" s="15"/>
      <c r="P190" s="14"/>
      <c r="Q190" s="23"/>
      <c r="R190" s="15"/>
      <c r="S190" s="25"/>
      <c r="T190" s="23"/>
      <c r="U190" s="15"/>
      <c r="V190" s="14"/>
      <c r="W190" s="23"/>
      <c r="X190" s="15"/>
      <c r="Y190" s="25"/>
      <c r="Z190" s="23"/>
      <c r="AA190" s="15"/>
      <c r="AB190" s="14"/>
      <c r="AC190" s="23"/>
      <c r="AD190" s="15"/>
      <c r="AE190" s="25"/>
      <c r="AF190" s="23"/>
      <c r="AG190" s="15"/>
      <c r="AH190" s="14"/>
      <c r="AI190" s="23"/>
      <c r="AJ190" s="15"/>
      <c r="AK190" s="25"/>
      <c r="AL190" s="23"/>
      <c r="AM190" s="15"/>
      <c r="AN190" s="14"/>
      <c r="AO190" s="23"/>
      <c r="AP190" s="15"/>
      <c r="AQ190" s="25"/>
      <c r="AR190" s="23"/>
      <c r="AS190" s="15"/>
      <c r="AT190" s="14"/>
      <c r="AU190" s="23"/>
      <c r="AV190" s="15"/>
      <c r="AW190" s="25"/>
      <c r="AX190" s="23"/>
      <c r="AY190" s="15"/>
      <c r="AZ190" s="14"/>
      <c r="BA190" s="23"/>
      <c r="BB190" s="15"/>
      <c r="BC190" s="25"/>
      <c r="BD190" s="23"/>
      <c r="BE190" s="15"/>
      <c r="BF190" s="14"/>
      <c r="BG190" s="23"/>
      <c r="BH190" s="15"/>
      <c r="BI190" s="25"/>
      <c r="BJ190" s="23"/>
      <c r="BK190" s="15"/>
      <c r="BL190" s="14"/>
      <c r="BM190" s="23"/>
      <c r="BN190" s="15"/>
      <c r="BO190" s="25"/>
      <c r="BP190" s="23"/>
      <c r="BQ190" s="15"/>
      <c r="BR190" s="14"/>
      <c r="BS190" s="23"/>
      <c r="BT190" s="15"/>
      <c r="BU190" s="25"/>
      <c r="BV190" s="23"/>
      <c r="BW190" s="15"/>
      <c r="BX190" s="14"/>
      <c r="BY190" s="23"/>
      <c r="BZ190" s="15"/>
    </row>
    <row r="191" customFormat="false" ht="15" hidden="false" customHeight="false" outlineLevel="0" collapsed="false">
      <c r="A191" s="14"/>
      <c r="B191" s="17" t="str">
        <f aca="false">IF($A191="","",IFERROR(INDEX(Policy!$B$2:$B$301,MATCH($A191,Policy!$A$2:$A$301,0)),"MRO không có"))</f>
        <v/>
      </c>
      <c r="C191" s="17" t="str">
        <f aca="false">IF($A191="","",IFERROR(INDEX(Policy!$E$2:$E$301,MATCH($A191,Policy!$A$2:$A$301,0)),"MRO không có"))</f>
        <v/>
      </c>
      <c r="D191" s="14"/>
      <c r="E191" s="15"/>
      <c r="F191" s="15"/>
      <c r="G191" s="25"/>
      <c r="H191" s="23"/>
      <c r="I191" s="15"/>
      <c r="J191" s="14"/>
      <c r="K191" s="23"/>
      <c r="L191" s="15"/>
      <c r="M191" s="25"/>
      <c r="N191" s="23"/>
      <c r="O191" s="15"/>
      <c r="P191" s="14"/>
      <c r="Q191" s="23"/>
      <c r="R191" s="15"/>
      <c r="S191" s="25"/>
      <c r="T191" s="23"/>
      <c r="U191" s="15"/>
      <c r="V191" s="14"/>
      <c r="W191" s="23"/>
      <c r="X191" s="15"/>
      <c r="Y191" s="25"/>
      <c r="Z191" s="23"/>
      <c r="AA191" s="15"/>
      <c r="AB191" s="14"/>
      <c r="AC191" s="23"/>
      <c r="AD191" s="15"/>
      <c r="AE191" s="25"/>
      <c r="AF191" s="23"/>
      <c r="AG191" s="15"/>
      <c r="AH191" s="14"/>
      <c r="AI191" s="23"/>
      <c r="AJ191" s="15"/>
      <c r="AK191" s="25"/>
      <c r="AL191" s="23"/>
      <c r="AM191" s="15"/>
      <c r="AN191" s="14"/>
      <c r="AO191" s="23"/>
      <c r="AP191" s="15"/>
      <c r="AQ191" s="25"/>
      <c r="AR191" s="23"/>
      <c r="AS191" s="15"/>
      <c r="AT191" s="14"/>
      <c r="AU191" s="23"/>
      <c r="AV191" s="15"/>
      <c r="AW191" s="25"/>
      <c r="AX191" s="23"/>
      <c r="AY191" s="15"/>
      <c r="AZ191" s="14"/>
      <c r="BA191" s="23"/>
      <c r="BB191" s="15"/>
      <c r="BC191" s="25"/>
      <c r="BD191" s="23"/>
      <c r="BE191" s="15"/>
      <c r="BF191" s="14"/>
      <c r="BG191" s="23"/>
      <c r="BH191" s="15"/>
      <c r="BI191" s="25"/>
      <c r="BJ191" s="23"/>
      <c r="BK191" s="15"/>
      <c r="BL191" s="14"/>
      <c r="BM191" s="23"/>
      <c r="BN191" s="15"/>
      <c r="BO191" s="25"/>
      <c r="BP191" s="23"/>
      <c r="BQ191" s="15"/>
      <c r="BR191" s="14"/>
      <c r="BS191" s="23"/>
      <c r="BT191" s="15"/>
      <c r="BU191" s="25"/>
      <c r="BV191" s="23"/>
      <c r="BW191" s="15"/>
      <c r="BX191" s="14"/>
      <c r="BY191" s="23"/>
      <c r="BZ191" s="15"/>
    </row>
    <row r="192" customFormat="false" ht="15" hidden="false" customHeight="false" outlineLevel="0" collapsed="false">
      <c r="A192" s="14"/>
      <c r="B192" s="17" t="str">
        <f aca="false">IF($A192="","",IFERROR(INDEX(Policy!$B$2:$B$301,MATCH($A192,Policy!$A$2:$A$301,0)),"MRO không có"))</f>
        <v/>
      </c>
      <c r="C192" s="17" t="str">
        <f aca="false">IF($A192="","",IFERROR(INDEX(Policy!$E$2:$E$301,MATCH($A192,Policy!$A$2:$A$301,0)),"MRO không có"))</f>
        <v/>
      </c>
      <c r="D192" s="14"/>
      <c r="E192" s="15"/>
      <c r="F192" s="15"/>
      <c r="G192" s="25"/>
      <c r="H192" s="23"/>
      <c r="I192" s="15"/>
      <c r="J192" s="14"/>
      <c r="K192" s="23"/>
      <c r="L192" s="15"/>
      <c r="M192" s="25"/>
      <c r="N192" s="23"/>
      <c r="O192" s="15"/>
      <c r="P192" s="14"/>
      <c r="Q192" s="23"/>
      <c r="R192" s="15"/>
      <c r="S192" s="25"/>
      <c r="T192" s="23"/>
      <c r="U192" s="15"/>
      <c r="V192" s="14"/>
      <c r="W192" s="23"/>
      <c r="X192" s="15"/>
      <c r="Y192" s="25"/>
      <c r="Z192" s="23"/>
      <c r="AA192" s="15"/>
      <c r="AB192" s="14"/>
      <c r="AC192" s="23"/>
      <c r="AD192" s="15"/>
      <c r="AE192" s="25"/>
      <c r="AF192" s="23"/>
      <c r="AG192" s="15"/>
      <c r="AH192" s="14"/>
      <c r="AI192" s="23"/>
      <c r="AJ192" s="15"/>
      <c r="AK192" s="25"/>
      <c r="AL192" s="23"/>
      <c r="AM192" s="15"/>
      <c r="AN192" s="14"/>
      <c r="AO192" s="23"/>
      <c r="AP192" s="15"/>
      <c r="AQ192" s="25"/>
      <c r="AR192" s="23"/>
      <c r="AS192" s="15"/>
      <c r="AT192" s="14"/>
      <c r="AU192" s="23"/>
      <c r="AV192" s="15"/>
      <c r="AW192" s="25"/>
      <c r="AX192" s="23"/>
      <c r="AY192" s="15"/>
      <c r="AZ192" s="14"/>
      <c r="BA192" s="23"/>
      <c r="BB192" s="15"/>
      <c r="BC192" s="25"/>
      <c r="BD192" s="23"/>
      <c r="BE192" s="15"/>
      <c r="BF192" s="14"/>
      <c r="BG192" s="23"/>
      <c r="BH192" s="15"/>
      <c r="BI192" s="25"/>
      <c r="BJ192" s="23"/>
      <c r="BK192" s="15"/>
      <c r="BL192" s="14"/>
      <c r="BM192" s="23"/>
      <c r="BN192" s="15"/>
      <c r="BO192" s="25"/>
      <c r="BP192" s="23"/>
      <c r="BQ192" s="15"/>
      <c r="BR192" s="14"/>
      <c r="BS192" s="23"/>
      <c r="BT192" s="15"/>
      <c r="BU192" s="25"/>
      <c r="BV192" s="23"/>
      <c r="BW192" s="15"/>
      <c r="BX192" s="14"/>
      <c r="BY192" s="23"/>
      <c r="BZ192" s="15"/>
    </row>
    <row r="193" customFormat="false" ht="15" hidden="false" customHeight="false" outlineLevel="0" collapsed="false">
      <c r="A193" s="14"/>
      <c r="B193" s="17" t="str">
        <f aca="false">IF($A193="","",IFERROR(INDEX(Policy!$B$2:$B$301,MATCH($A193,Policy!$A$2:$A$301,0)),"MRO không có"))</f>
        <v/>
      </c>
      <c r="C193" s="17" t="str">
        <f aca="false">IF($A193="","",IFERROR(INDEX(Policy!$E$2:$E$301,MATCH($A193,Policy!$A$2:$A$301,0)),"MRO không có"))</f>
        <v/>
      </c>
      <c r="D193" s="14"/>
      <c r="E193" s="15"/>
      <c r="F193" s="15"/>
      <c r="G193" s="25"/>
      <c r="H193" s="23"/>
      <c r="I193" s="15"/>
      <c r="J193" s="14"/>
      <c r="K193" s="23"/>
      <c r="L193" s="15"/>
      <c r="M193" s="25"/>
      <c r="N193" s="23"/>
      <c r="O193" s="15"/>
      <c r="P193" s="14"/>
      <c r="Q193" s="23"/>
      <c r="R193" s="15"/>
      <c r="S193" s="25"/>
      <c r="T193" s="23"/>
      <c r="U193" s="15"/>
      <c r="V193" s="14"/>
      <c r="W193" s="23"/>
      <c r="X193" s="15"/>
      <c r="Y193" s="25"/>
      <c r="Z193" s="23"/>
      <c r="AA193" s="15"/>
      <c r="AB193" s="14"/>
      <c r="AC193" s="23"/>
      <c r="AD193" s="15"/>
      <c r="AE193" s="25"/>
      <c r="AF193" s="23"/>
      <c r="AG193" s="15"/>
      <c r="AH193" s="14"/>
      <c r="AI193" s="23"/>
      <c r="AJ193" s="15"/>
      <c r="AK193" s="25"/>
      <c r="AL193" s="23"/>
      <c r="AM193" s="15"/>
      <c r="AN193" s="14"/>
      <c r="AO193" s="23"/>
      <c r="AP193" s="15"/>
      <c r="AQ193" s="25"/>
      <c r="AR193" s="23"/>
      <c r="AS193" s="15"/>
      <c r="AT193" s="14"/>
      <c r="AU193" s="23"/>
      <c r="AV193" s="15"/>
      <c r="AW193" s="25"/>
      <c r="AX193" s="23"/>
      <c r="AY193" s="15"/>
      <c r="AZ193" s="14"/>
      <c r="BA193" s="23"/>
      <c r="BB193" s="15"/>
      <c r="BC193" s="25"/>
      <c r="BD193" s="23"/>
      <c r="BE193" s="15"/>
      <c r="BF193" s="14"/>
      <c r="BG193" s="23"/>
      <c r="BH193" s="15"/>
      <c r="BI193" s="25"/>
      <c r="BJ193" s="23"/>
      <c r="BK193" s="15"/>
      <c r="BL193" s="14"/>
      <c r="BM193" s="23"/>
      <c r="BN193" s="15"/>
      <c r="BO193" s="25"/>
      <c r="BP193" s="23"/>
      <c r="BQ193" s="15"/>
      <c r="BR193" s="14"/>
      <c r="BS193" s="23"/>
      <c r="BT193" s="15"/>
      <c r="BU193" s="25"/>
      <c r="BV193" s="23"/>
      <c r="BW193" s="15"/>
      <c r="BX193" s="14"/>
      <c r="BY193" s="23"/>
      <c r="BZ193" s="15"/>
    </row>
    <row r="194" customFormat="false" ht="15" hidden="false" customHeight="false" outlineLevel="0" collapsed="false">
      <c r="A194" s="14"/>
      <c r="B194" s="17" t="str">
        <f aca="false">IF($A194="","",IFERROR(INDEX(Policy!$B$2:$B$301,MATCH($A194,Policy!$A$2:$A$301,0)),"MRO không có"))</f>
        <v/>
      </c>
      <c r="C194" s="17" t="str">
        <f aca="false">IF($A194="","",IFERROR(INDEX(Policy!$E$2:$E$301,MATCH($A194,Policy!$A$2:$A$301,0)),"MRO không có"))</f>
        <v/>
      </c>
      <c r="D194" s="14"/>
      <c r="E194" s="15"/>
      <c r="F194" s="15"/>
      <c r="G194" s="25"/>
      <c r="H194" s="23"/>
      <c r="I194" s="15"/>
      <c r="J194" s="14"/>
      <c r="K194" s="23"/>
      <c r="L194" s="15"/>
      <c r="M194" s="25"/>
      <c r="N194" s="23"/>
      <c r="O194" s="15"/>
      <c r="P194" s="14"/>
      <c r="Q194" s="23"/>
      <c r="R194" s="15"/>
      <c r="S194" s="25"/>
      <c r="T194" s="23"/>
      <c r="U194" s="15"/>
      <c r="V194" s="14"/>
      <c r="W194" s="23"/>
      <c r="X194" s="15"/>
      <c r="Y194" s="25"/>
      <c r="Z194" s="23"/>
      <c r="AA194" s="15"/>
      <c r="AB194" s="14"/>
      <c r="AC194" s="23"/>
      <c r="AD194" s="15"/>
      <c r="AE194" s="25"/>
      <c r="AF194" s="23"/>
      <c r="AG194" s="15"/>
      <c r="AH194" s="14"/>
      <c r="AI194" s="23"/>
      <c r="AJ194" s="15"/>
      <c r="AK194" s="25"/>
      <c r="AL194" s="23"/>
      <c r="AM194" s="15"/>
      <c r="AN194" s="14"/>
      <c r="AO194" s="23"/>
      <c r="AP194" s="15"/>
      <c r="AQ194" s="25"/>
      <c r="AR194" s="23"/>
      <c r="AS194" s="15"/>
      <c r="AT194" s="14"/>
      <c r="AU194" s="23"/>
      <c r="AV194" s="15"/>
      <c r="AW194" s="25"/>
      <c r="AX194" s="23"/>
      <c r="AY194" s="15"/>
      <c r="AZ194" s="14"/>
      <c r="BA194" s="23"/>
      <c r="BB194" s="15"/>
      <c r="BC194" s="25"/>
      <c r="BD194" s="23"/>
      <c r="BE194" s="15"/>
      <c r="BF194" s="14"/>
      <c r="BG194" s="23"/>
      <c r="BH194" s="15"/>
      <c r="BI194" s="25"/>
      <c r="BJ194" s="23"/>
      <c r="BK194" s="15"/>
      <c r="BL194" s="14"/>
      <c r="BM194" s="23"/>
      <c r="BN194" s="15"/>
      <c r="BO194" s="25"/>
      <c r="BP194" s="23"/>
      <c r="BQ194" s="15"/>
      <c r="BR194" s="14"/>
      <c r="BS194" s="23"/>
      <c r="BT194" s="15"/>
      <c r="BU194" s="25"/>
      <c r="BV194" s="23"/>
      <c r="BW194" s="15"/>
      <c r="BX194" s="14"/>
      <c r="BY194" s="23"/>
      <c r="BZ194" s="15"/>
    </row>
    <row r="195" customFormat="false" ht="15" hidden="false" customHeight="false" outlineLevel="0" collapsed="false">
      <c r="A195" s="14"/>
      <c r="B195" s="17" t="str">
        <f aca="false">IF($A195="","",IFERROR(INDEX(Policy!$B$2:$B$301,MATCH($A195,Policy!$A$2:$A$301,0)),"MRO không có"))</f>
        <v/>
      </c>
      <c r="C195" s="17" t="str">
        <f aca="false">IF($A195="","",IFERROR(INDEX(Policy!$E$2:$E$301,MATCH($A195,Policy!$A$2:$A$301,0)),"MRO không có"))</f>
        <v/>
      </c>
      <c r="D195" s="14"/>
      <c r="E195" s="15"/>
      <c r="F195" s="15"/>
      <c r="G195" s="25"/>
      <c r="H195" s="23"/>
      <c r="I195" s="15"/>
      <c r="J195" s="14"/>
      <c r="K195" s="23"/>
      <c r="L195" s="15"/>
      <c r="M195" s="25"/>
      <c r="N195" s="23"/>
      <c r="O195" s="15"/>
      <c r="P195" s="14"/>
      <c r="Q195" s="23"/>
      <c r="R195" s="15"/>
      <c r="S195" s="25"/>
      <c r="T195" s="23"/>
      <c r="U195" s="15"/>
      <c r="V195" s="14"/>
      <c r="W195" s="23"/>
      <c r="X195" s="15"/>
      <c r="Y195" s="25"/>
      <c r="Z195" s="23"/>
      <c r="AA195" s="15"/>
      <c r="AB195" s="14"/>
      <c r="AC195" s="23"/>
      <c r="AD195" s="15"/>
      <c r="AE195" s="25"/>
      <c r="AF195" s="23"/>
      <c r="AG195" s="15"/>
      <c r="AH195" s="14"/>
      <c r="AI195" s="23"/>
      <c r="AJ195" s="15"/>
      <c r="AK195" s="25"/>
      <c r="AL195" s="23"/>
      <c r="AM195" s="15"/>
      <c r="AN195" s="14"/>
      <c r="AO195" s="23"/>
      <c r="AP195" s="15"/>
      <c r="AQ195" s="25"/>
      <c r="AR195" s="23"/>
      <c r="AS195" s="15"/>
      <c r="AT195" s="14"/>
      <c r="AU195" s="23"/>
      <c r="AV195" s="15"/>
      <c r="AW195" s="25"/>
      <c r="AX195" s="23"/>
      <c r="AY195" s="15"/>
      <c r="AZ195" s="14"/>
      <c r="BA195" s="23"/>
      <c r="BB195" s="15"/>
      <c r="BC195" s="25"/>
      <c r="BD195" s="23"/>
      <c r="BE195" s="15"/>
      <c r="BF195" s="14"/>
      <c r="BG195" s="23"/>
      <c r="BH195" s="15"/>
      <c r="BI195" s="25"/>
      <c r="BJ195" s="23"/>
      <c r="BK195" s="15"/>
      <c r="BL195" s="14"/>
      <c r="BM195" s="23"/>
      <c r="BN195" s="15"/>
      <c r="BO195" s="25"/>
      <c r="BP195" s="23"/>
      <c r="BQ195" s="15"/>
      <c r="BR195" s="14"/>
      <c r="BS195" s="23"/>
      <c r="BT195" s="15"/>
      <c r="BU195" s="25"/>
      <c r="BV195" s="23"/>
      <c r="BW195" s="15"/>
      <c r="BX195" s="14"/>
      <c r="BY195" s="23"/>
      <c r="BZ195" s="15"/>
    </row>
    <row r="196" customFormat="false" ht="15" hidden="false" customHeight="false" outlineLevel="0" collapsed="false">
      <c r="A196" s="14"/>
      <c r="B196" s="17" t="str">
        <f aca="false">IF($A196="","",IFERROR(INDEX(Policy!$B$2:$B$301,MATCH($A196,Policy!$A$2:$A$301,0)),"MRO không có"))</f>
        <v/>
      </c>
      <c r="C196" s="17" t="str">
        <f aca="false">IF($A196="","",IFERROR(INDEX(Policy!$E$2:$E$301,MATCH($A196,Policy!$A$2:$A$301,0)),"MRO không có"))</f>
        <v/>
      </c>
      <c r="D196" s="14"/>
      <c r="E196" s="15"/>
      <c r="F196" s="15"/>
      <c r="G196" s="25"/>
      <c r="H196" s="23"/>
      <c r="I196" s="15"/>
      <c r="J196" s="14"/>
      <c r="K196" s="23"/>
      <c r="L196" s="15"/>
      <c r="M196" s="25"/>
      <c r="N196" s="23"/>
      <c r="O196" s="15"/>
      <c r="P196" s="14"/>
      <c r="Q196" s="23"/>
      <c r="R196" s="15"/>
      <c r="S196" s="25"/>
      <c r="T196" s="23"/>
      <c r="U196" s="15"/>
      <c r="V196" s="14"/>
      <c r="W196" s="23"/>
      <c r="X196" s="15"/>
      <c r="Y196" s="25"/>
      <c r="Z196" s="23"/>
      <c r="AA196" s="15"/>
      <c r="AB196" s="14"/>
      <c r="AC196" s="23"/>
      <c r="AD196" s="15"/>
      <c r="AE196" s="25"/>
      <c r="AF196" s="23"/>
      <c r="AG196" s="15"/>
      <c r="AH196" s="14"/>
      <c r="AI196" s="23"/>
      <c r="AJ196" s="15"/>
      <c r="AK196" s="25"/>
      <c r="AL196" s="23"/>
      <c r="AM196" s="15"/>
      <c r="AN196" s="14"/>
      <c r="AO196" s="23"/>
      <c r="AP196" s="15"/>
      <c r="AQ196" s="25"/>
      <c r="AR196" s="23"/>
      <c r="AS196" s="15"/>
      <c r="AT196" s="14"/>
      <c r="AU196" s="23"/>
      <c r="AV196" s="15"/>
      <c r="AW196" s="25"/>
      <c r="AX196" s="23"/>
      <c r="AY196" s="15"/>
      <c r="AZ196" s="14"/>
      <c r="BA196" s="23"/>
      <c r="BB196" s="15"/>
      <c r="BC196" s="25"/>
      <c r="BD196" s="23"/>
      <c r="BE196" s="15"/>
      <c r="BF196" s="14"/>
      <c r="BG196" s="23"/>
      <c r="BH196" s="15"/>
      <c r="BI196" s="25"/>
      <c r="BJ196" s="23"/>
      <c r="BK196" s="15"/>
      <c r="BL196" s="14"/>
      <c r="BM196" s="23"/>
      <c r="BN196" s="15"/>
      <c r="BO196" s="25"/>
      <c r="BP196" s="23"/>
      <c r="BQ196" s="15"/>
      <c r="BR196" s="14"/>
      <c r="BS196" s="23"/>
      <c r="BT196" s="15"/>
      <c r="BU196" s="25"/>
      <c r="BV196" s="23"/>
      <c r="BW196" s="15"/>
      <c r="BX196" s="14"/>
      <c r="BY196" s="23"/>
      <c r="BZ196" s="15"/>
    </row>
    <row r="197" customFormat="false" ht="15" hidden="false" customHeight="false" outlineLevel="0" collapsed="false">
      <c r="A197" s="14"/>
      <c r="B197" s="17" t="str">
        <f aca="false">IF($A197="","",IFERROR(INDEX(Policy!$B$2:$B$301,MATCH($A197,Policy!$A$2:$A$301,0)),"MRO không có"))</f>
        <v/>
      </c>
      <c r="C197" s="17" t="str">
        <f aca="false">IF($A197="","",IFERROR(INDEX(Policy!$E$2:$E$301,MATCH($A197,Policy!$A$2:$A$301,0)),"MRO không có"))</f>
        <v/>
      </c>
      <c r="D197" s="14"/>
      <c r="E197" s="15"/>
      <c r="F197" s="15"/>
      <c r="G197" s="25"/>
      <c r="H197" s="23"/>
      <c r="I197" s="15"/>
      <c r="J197" s="14"/>
      <c r="K197" s="23"/>
      <c r="L197" s="15"/>
      <c r="M197" s="25"/>
      <c r="N197" s="23"/>
      <c r="O197" s="15"/>
      <c r="P197" s="14"/>
      <c r="Q197" s="23"/>
      <c r="R197" s="15"/>
      <c r="S197" s="25"/>
      <c r="T197" s="23"/>
      <c r="U197" s="15"/>
      <c r="V197" s="14"/>
      <c r="W197" s="23"/>
      <c r="X197" s="15"/>
      <c r="Y197" s="25"/>
      <c r="Z197" s="23"/>
      <c r="AA197" s="15"/>
      <c r="AB197" s="14"/>
      <c r="AC197" s="23"/>
      <c r="AD197" s="15"/>
      <c r="AE197" s="25"/>
      <c r="AF197" s="23"/>
      <c r="AG197" s="15"/>
      <c r="AH197" s="14"/>
      <c r="AI197" s="23"/>
      <c r="AJ197" s="15"/>
      <c r="AK197" s="25"/>
      <c r="AL197" s="23"/>
      <c r="AM197" s="15"/>
      <c r="AN197" s="14"/>
      <c r="AO197" s="23"/>
      <c r="AP197" s="15"/>
      <c r="AQ197" s="25"/>
      <c r="AR197" s="23"/>
      <c r="AS197" s="15"/>
      <c r="AT197" s="14"/>
      <c r="AU197" s="23"/>
      <c r="AV197" s="15"/>
      <c r="AW197" s="25"/>
      <c r="AX197" s="23"/>
      <c r="AY197" s="15"/>
      <c r="AZ197" s="14"/>
      <c r="BA197" s="23"/>
      <c r="BB197" s="15"/>
      <c r="BC197" s="25"/>
      <c r="BD197" s="23"/>
      <c r="BE197" s="15"/>
      <c r="BF197" s="14"/>
      <c r="BG197" s="23"/>
      <c r="BH197" s="15"/>
      <c r="BI197" s="25"/>
      <c r="BJ197" s="23"/>
      <c r="BK197" s="15"/>
      <c r="BL197" s="14"/>
      <c r="BM197" s="23"/>
      <c r="BN197" s="15"/>
      <c r="BO197" s="25"/>
      <c r="BP197" s="23"/>
      <c r="BQ197" s="15"/>
      <c r="BR197" s="14"/>
      <c r="BS197" s="23"/>
      <c r="BT197" s="15"/>
      <c r="BU197" s="25"/>
      <c r="BV197" s="23"/>
      <c r="BW197" s="15"/>
      <c r="BX197" s="14"/>
      <c r="BY197" s="23"/>
      <c r="BZ197" s="15"/>
    </row>
    <row r="198" customFormat="false" ht="15" hidden="false" customHeight="false" outlineLevel="0" collapsed="false">
      <c r="A198" s="14"/>
      <c r="B198" s="17" t="str">
        <f aca="false">IF($A198="","",IFERROR(INDEX(Policy!$B$2:$B$301,MATCH($A198,Policy!$A$2:$A$301,0)),"MRO không có"))</f>
        <v/>
      </c>
      <c r="C198" s="17" t="str">
        <f aca="false">IF($A198="","",IFERROR(INDEX(Policy!$E$2:$E$301,MATCH($A198,Policy!$A$2:$A$301,0)),"MRO không có"))</f>
        <v/>
      </c>
      <c r="D198" s="14"/>
      <c r="E198" s="15"/>
      <c r="F198" s="15"/>
      <c r="G198" s="25"/>
      <c r="H198" s="23"/>
      <c r="I198" s="15"/>
      <c r="J198" s="14"/>
      <c r="K198" s="23"/>
      <c r="L198" s="15"/>
      <c r="M198" s="25"/>
      <c r="N198" s="23"/>
      <c r="O198" s="15"/>
      <c r="P198" s="14"/>
      <c r="Q198" s="23"/>
      <c r="R198" s="15"/>
      <c r="S198" s="25"/>
      <c r="T198" s="23"/>
      <c r="U198" s="15"/>
      <c r="V198" s="14"/>
      <c r="W198" s="23"/>
      <c r="X198" s="15"/>
      <c r="Y198" s="25"/>
      <c r="Z198" s="23"/>
      <c r="AA198" s="15"/>
      <c r="AB198" s="14"/>
      <c r="AC198" s="23"/>
      <c r="AD198" s="15"/>
      <c r="AE198" s="25"/>
      <c r="AF198" s="23"/>
      <c r="AG198" s="15"/>
      <c r="AH198" s="14"/>
      <c r="AI198" s="23"/>
      <c r="AJ198" s="15"/>
      <c r="AK198" s="25"/>
      <c r="AL198" s="23"/>
      <c r="AM198" s="15"/>
      <c r="AN198" s="14"/>
      <c r="AO198" s="23"/>
      <c r="AP198" s="15"/>
      <c r="AQ198" s="25"/>
      <c r="AR198" s="23"/>
      <c r="AS198" s="15"/>
      <c r="AT198" s="14"/>
      <c r="AU198" s="23"/>
      <c r="AV198" s="15"/>
      <c r="AW198" s="25"/>
      <c r="AX198" s="23"/>
      <c r="AY198" s="15"/>
      <c r="AZ198" s="14"/>
      <c r="BA198" s="23"/>
      <c r="BB198" s="15"/>
      <c r="BC198" s="25"/>
      <c r="BD198" s="23"/>
      <c r="BE198" s="15"/>
      <c r="BF198" s="14"/>
      <c r="BG198" s="23"/>
      <c r="BH198" s="15"/>
      <c r="BI198" s="25"/>
      <c r="BJ198" s="23"/>
      <c r="BK198" s="15"/>
      <c r="BL198" s="14"/>
      <c r="BM198" s="23"/>
      <c r="BN198" s="15"/>
      <c r="BO198" s="25"/>
      <c r="BP198" s="23"/>
      <c r="BQ198" s="15"/>
      <c r="BR198" s="14"/>
      <c r="BS198" s="23"/>
      <c r="BT198" s="15"/>
      <c r="BU198" s="25"/>
      <c r="BV198" s="23"/>
      <c r="BW198" s="15"/>
      <c r="BX198" s="14"/>
      <c r="BY198" s="23"/>
      <c r="BZ198" s="15"/>
    </row>
    <row r="199" customFormat="false" ht="15" hidden="false" customHeight="false" outlineLevel="0" collapsed="false">
      <c r="A199" s="14"/>
      <c r="B199" s="17" t="str">
        <f aca="false">IF($A199="","",IFERROR(INDEX(Policy!$B$2:$B$301,MATCH($A199,Policy!$A$2:$A$301,0)),"MRO không có"))</f>
        <v/>
      </c>
      <c r="C199" s="17" t="str">
        <f aca="false">IF($A199="","",IFERROR(INDEX(Policy!$E$2:$E$301,MATCH($A199,Policy!$A$2:$A$301,0)),"MRO không có"))</f>
        <v/>
      </c>
      <c r="D199" s="14"/>
      <c r="E199" s="15"/>
      <c r="F199" s="15"/>
      <c r="G199" s="25"/>
      <c r="H199" s="23"/>
      <c r="I199" s="15"/>
      <c r="J199" s="14"/>
      <c r="K199" s="23"/>
      <c r="L199" s="15"/>
      <c r="M199" s="25"/>
      <c r="N199" s="23"/>
      <c r="O199" s="15"/>
      <c r="P199" s="14"/>
      <c r="Q199" s="23"/>
      <c r="R199" s="15"/>
      <c r="S199" s="25"/>
      <c r="T199" s="23"/>
      <c r="U199" s="15"/>
      <c r="V199" s="14"/>
      <c r="W199" s="23"/>
      <c r="X199" s="15"/>
      <c r="Y199" s="25"/>
      <c r="Z199" s="23"/>
      <c r="AA199" s="15"/>
      <c r="AB199" s="14"/>
      <c r="AC199" s="23"/>
      <c r="AD199" s="15"/>
      <c r="AE199" s="25"/>
      <c r="AF199" s="23"/>
      <c r="AG199" s="15"/>
      <c r="AH199" s="14"/>
      <c r="AI199" s="23"/>
      <c r="AJ199" s="15"/>
      <c r="AK199" s="25"/>
      <c r="AL199" s="23"/>
      <c r="AM199" s="15"/>
      <c r="AN199" s="14"/>
      <c r="AO199" s="23"/>
      <c r="AP199" s="15"/>
      <c r="AQ199" s="25"/>
      <c r="AR199" s="23"/>
      <c r="AS199" s="15"/>
      <c r="AT199" s="14"/>
      <c r="AU199" s="23"/>
      <c r="AV199" s="15"/>
      <c r="AW199" s="25"/>
      <c r="AX199" s="23"/>
      <c r="AY199" s="15"/>
      <c r="AZ199" s="14"/>
      <c r="BA199" s="23"/>
      <c r="BB199" s="15"/>
      <c r="BC199" s="25"/>
      <c r="BD199" s="23"/>
      <c r="BE199" s="15"/>
      <c r="BF199" s="14"/>
      <c r="BG199" s="23"/>
      <c r="BH199" s="15"/>
      <c r="BI199" s="25"/>
      <c r="BJ199" s="23"/>
      <c r="BK199" s="15"/>
      <c r="BL199" s="14"/>
      <c r="BM199" s="23"/>
      <c r="BN199" s="15"/>
      <c r="BO199" s="25"/>
      <c r="BP199" s="23"/>
      <c r="BQ199" s="15"/>
      <c r="BR199" s="14"/>
      <c r="BS199" s="23"/>
      <c r="BT199" s="15"/>
      <c r="BU199" s="25"/>
      <c r="BV199" s="23"/>
      <c r="BW199" s="15"/>
      <c r="BX199" s="14"/>
      <c r="BY199" s="23"/>
      <c r="BZ199" s="15"/>
    </row>
    <row r="200" customFormat="false" ht="15" hidden="false" customHeight="false" outlineLevel="0" collapsed="false">
      <c r="A200" s="14"/>
      <c r="B200" s="17" t="str">
        <f aca="false">IF($A200="","",IFERROR(INDEX(Policy!$B$2:$B$301,MATCH($A200,Policy!$A$2:$A$301,0)),"MRO không có"))</f>
        <v/>
      </c>
      <c r="C200" s="17" t="str">
        <f aca="false">IF($A200="","",IFERROR(INDEX(Policy!$E$2:$E$301,MATCH($A200,Policy!$A$2:$A$301,0)),"MRO không có"))</f>
        <v/>
      </c>
      <c r="D200" s="14"/>
      <c r="E200" s="15"/>
      <c r="F200" s="15"/>
      <c r="G200" s="25"/>
      <c r="H200" s="23"/>
      <c r="I200" s="15"/>
      <c r="J200" s="14"/>
      <c r="K200" s="23"/>
      <c r="L200" s="15"/>
      <c r="M200" s="25"/>
      <c r="N200" s="23"/>
      <c r="O200" s="15"/>
      <c r="P200" s="14"/>
      <c r="Q200" s="23"/>
      <c r="R200" s="15"/>
      <c r="S200" s="25"/>
      <c r="T200" s="23"/>
      <c r="U200" s="15"/>
      <c r="V200" s="14"/>
      <c r="W200" s="23"/>
      <c r="X200" s="15"/>
      <c r="Y200" s="25"/>
      <c r="Z200" s="23"/>
      <c r="AA200" s="15"/>
      <c r="AB200" s="14"/>
      <c r="AC200" s="23"/>
      <c r="AD200" s="15"/>
      <c r="AE200" s="25"/>
      <c r="AF200" s="23"/>
      <c r="AG200" s="15"/>
      <c r="AH200" s="14"/>
      <c r="AI200" s="23"/>
      <c r="AJ200" s="15"/>
      <c r="AK200" s="25"/>
      <c r="AL200" s="23"/>
      <c r="AM200" s="15"/>
      <c r="AN200" s="14"/>
      <c r="AO200" s="23"/>
      <c r="AP200" s="15"/>
      <c r="AQ200" s="25"/>
      <c r="AR200" s="23"/>
      <c r="AS200" s="15"/>
      <c r="AT200" s="14"/>
      <c r="AU200" s="23"/>
      <c r="AV200" s="15"/>
      <c r="AW200" s="25"/>
      <c r="AX200" s="23"/>
      <c r="AY200" s="15"/>
      <c r="AZ200" s="14"/>
      <c r="BA200" s="23"/>
      <c r="BB200" s="15"/>
      <c r="BC200" s="25"/>
      <c r="BD200" s="23"/>
      <c r="BE200" s="15"/>
      <c r="BF200" s="14"/>
      <c r="BG200" s="23"/>
      <c r="BH200" s="15"/>
      <c r="BI200" s="25"/>
      <c r="BJ200" s="23"/>
      <c r="BK200" s="15"/>
      <c r="BL200" s="14"/>
      <c r="BM200" s="23"/>
      <c r="BN200" s="15"/>
      <c r="BO200" s="25"/>
      <c r="BP200" s="23"/>
      <c r="BQ200" s="15"/>
      <c r="BR200" s="14"/>
      <c r="BS200" s="23"/>
      <c r="BT200" s="15"/>
      <c r="BU200" s="25"/>
      <c r="BV200" s="23"/>
      <c r="BW200" s="15"/>
      <c r="BX200" s="14"/>
      <c r="BY200" s="23"/>
      <c r="BZ200" s="15"/>
    </row>
    <row r="201" customFormat="false" ht="15" hidden="false" customHeight="false" outlineLevel="0" collapsed="false">
      <c r="A201" s="14"/>
      <c r="B201" s="17" t="str">
        <f aca="false">IF($A201="","",IFERROR(INDEX(Policy!$B$2:$B$301,MATCH($A201,Policy!$A$2:$A$301,0)),"MRO không có"))</f>
        <v/>
      </c>
      <c r="C201" s="17" t="str">
        <f aca="false">IF($A201="","",IFERROR(INDEX(Policy!$E$2:$E$301,MATCH($A201,Policy!$A$2:$A$301,0)),"MRO không có"))</f>
        <v/>
      </c>
      <c r="D201" s="14"/>
      <c r="E201" s="15"/>
      <c r="F201" s="15"/>
      <c r="G201" s="25"/>
      <c r="H201" s="23"/>
      <c r="I201" s="15"/>
      <c r="J201" s="14"/>
      <c r="K201" s="23"/>
      <c r="L201" s="15"/>
      <c r="M201" s="25"/>
      <c r="N201" s="23"/>
      <c r="O201" s="15"/>
      <c r="P201" s="14"/>
      <c r="Q201" s="23"/>
      <c r="R201" s="15"/>
      <c r="S201" s="25"/>
      <c r="T201" s="23"/>
      <c r="U201" s="15"/>
      <c r="V201" s="14"/>
      <c r="W201" s="23"/>
      <c r="X201" s="15"/>
      <c r="Y201" s="25"/>
      <c r="Z201" s="23"/>
      <c r="AA201" s="15"/>
      <c r="AB201" s="14"/>
      <c r="AC201" s="23"/>
      <c r="AD201" s="15"/>
      <c r="AE201" s="25"/>
      <c r="AF201" s="23"/>
      <c r="AG201" s="15"/>
      <c r="AH201" s="14"/>
      <c r="AI201" s="23"/>
      <c r="AJ201" s="15"/>
      <c r="AK201" s="25"/>
      <c r="AL201" s="23"/>
      <c r="AM201" s="15"/>
      <c r="AN201" s="14"/>
      <c r="AO201" s="23"/>
      <c r="AP201" s="15"/>
      <c r="AQ201" s="25"/>
      <c r="AR201" s="23"/>
      <c r="AS201" s="15"/>
      <c r="AT201" s="14"/>
      <c r="AU201" s="23"/>
      <c r="AV201" s="15"/>
      <c r="AW201" s="25"/>
      <c r="AX201" s="23"/>
      <c r="AY201" s="15"/>
      <c r="AZ201" s="14"/>
      <c r="BA201" s="23"/>
      <c r="BB201" s="15"/>
      <c r="BC201" s="25"/>
      <c r="BD201" s="23"/>
      <c r="BE201" s="15"/>
      <c r="BF201" s="14"/>
      <c r="BG201" s="23"/>
      <c r="BH201" s="15"/>
      <c r="BI201" s="25"/>
      <c r="BJ201" s="23"/>
      <c r="BK201" s="15"/>
      <c r="BL201" s="14"/>
      <c r="BM201" s="23"/>
      <c r="BN201" s="15"/>
      <c r="BO201" s="25"/>
      <c r="BP201" s="23"/>
      <c r="BQ201" s="15"/>
      <c r="BR201" s="14"/>
      <c r="BS201" s="23"/>
      <c r="BT201" s="15"/>
      <c r="BU201" s="25"/>
      <c r="BV201" s="23"/>
      <c r="BW201" s="15"/>
      <c r="BX201" s="14"/>
      <c r="BY201" s="23"/>
      <c r="BZ201" s="15"/>
    </row>
    <row r="202" customFormat="false" ht="15" hidden="false" customHeight="false" outlineLevel="0" collapsed="false">
      <c r="A202" s="14"/>
      <c r="B202" s="17" t="str">
        <f aca="false">IF($A202="","",IFERROR(INDEX(Policy!$B$2:$B$301,MATCH($A202,Policy!$A$2:$A$301,0)),"MRO không có"))</f>
        <v/>
      </c>
      <c r="C202" s="17" t="str">
        <f aca="false">IF($A202="","",IFERROR(INDEX(Policy!$E$2:$E$301,MATCH($A202,Policy!$A$2:$A$301,0)),"MRO không có"))</f>
        <v/>
      </c>
      <c r="D202" s="14"/>
      <c r="E202" s="15"/>
      <c r="F202" s="15"/>
      <c r="G202" s="25"/>
      <c r="H202" s="23"/>
      <c r="I202" s="15"/>
      <c r="J202" s="14"/>
      <c r="K202" s="23"/>
      <c r="L202" s="15"/>
      <c r="M202" s="25"/>
      <c r="N202" s="23"/>
      <c r="O202" s="15"/>
      <c r="P202" s="14"/>
      <c r="Q202" s="23"/>
      <c r="R202" s="15"/>
      <c r="S202" s="25"/>
      <c r="T202" s="23"/>
      <c r="U202" s="15"/>
      <c r="V202" s="14"/>
      <c r="W202" s="23"/>
      <c r="X202" s="15"/>
      <c r="Y202" s="25"/>
      <c r="Z202" s="23"/>
      <c r="AA202" s="15"/>
      <c r="AB202" s="14"/>
      <c r="AC202" s="23"/>
      <c r="AD202" s="15"/>
      <c r="AE202" s="25"/>
      <c r="AF202" s="23"/>
      <c r="AG202" s="15"/>
      <c r="AH202" s="14"/>
      <c r="AI202" s="23"/>
      <c r="AJ202" s="15"/>
      <c r="AK202" s="25"/>
      <c r="AL202" s="23"/>
      <c r="AM202" s="15"/>
      <c r="AN202" s="14"/>
      <c r="AO202" s="23"/>
      <c r="AP202" s="15"/>
      <c r="AQ202" s="25"/>
      <c r="AR202" s="23"/>
      <c r="AS202" s="15"/>
      <c r="AT202" s="14"/>
      <c r="AU202" s="23"/>
      <c r="AV202" s="15"/>
      <c r="AW202" s="25"/>
      <c r="AX202" s="23"/>
      <c r="AY202" s="15"/>
      <c r="AZ202" s="14"/>
      <c r="BA202" s="23"/>
      <c r="BB202" s="15"/>
      <c r="BC202" s="25"/>
      <c r="BD202" s="23"/>
      <c r="BE202" s="15"/>
      <c r="BF202" s="14"/>
      <c r="BG202" s="23"/>
      <c r="BH202" s="15"/>
      <c r="BI202" s="25"/>
      <c r="BJ202" s="23"/>
      <c r="BK202" s="15"/>
      <c r="BL202" s="14"/>
      <c r="BM202" s="23"/>
      <c r="BN202" s="15"/>
      <c r="BO202" s="25"/>
      <c r="BP202" s="23"/>
      <c r="BQ202" s="15"/>
      <c r="BR202" s="14"/>
      <c r="BS202" s="23"/>
      <c r="BT202" s="15"/>
      <c r="BU202" s="25"/>
      <c r="BV202" s="23"/>
      <c r="BW202" s="15"/>
      <c r="BX202" s="14"/>
      <c r="BY202" s="23"/>
      <c r="BZ202" s="15"/>
    </row>
    <row r="203" customFormat="false" ht="15" hidden="false" customHeight="false" outlineLevel="0" collapsed="false">
      <c r="A203" s="14"/>
      <c r="B203" s="17" t="str">
        <f aca="false">IF($A203="","",IFERROR(INDEX(Policy!$B$2:$B$301,MATCH($A203,Policy!$A$2:$A$301,0)),"MRO không có"))</f>
        <v/>
      </c>
      <c r="C203" s="17" t="str">
        <f aca="false">IF($A203="","",IFERROR(INDEX(Policy!$E$2:$E$301,MATCH($A203,Policy!$A$2:$A$301,0)),"MRO không có"))</f>
        <v/>
      </c>
      <c r="D203" s="14"/>
      <c r="E203" s="15"/>
      <c r="F203" s="15"/>
      <c r="G203" s="25"/>
      <c r="H203" s="23"/>
      <c r="I203" s="15"/>
      <c r="J203" s="14"/>
      <c r="K203" s="23"/>
      <c r="L203" s="15"/>
      <c r="M203" s="25"/>
      <c r="N203" s="23"/>
      <c r="O203" s="15"/>
      <c r="P203" s="14"/>
      <c r="Q203" s="23"/>
      <c r="R203" s="15"/>
      <c r="S203" s="25"/>
      <c r="T203" s="23"/>
      <c r="U203" s="15"/>
      <c r="V203" s="14"/>
      <c r="W203" s="23"/>
      <c r="X203" s="15"/>
      <c r="Y203" s="25"/>
      <c r="Z203" s="23"/>
      <c r="AA203" s="15"/>
      <c r="AB203" s="14"/>
      <c r="AC203" s="23"/>
      <c r="AD203" s="15"/>
      <c r="AE203" s="25"/>
      <c r="AF203" s="23"/>
      <c r="AG203" s="15"/>
      <c r="AH203" s="14"/>
      <c r="AI203" s="23"/>
      <c r="AJ203" s="15"/>
      <c r="AK203" s="25"/>
      <c r="AL203" s="23"/>
      <c r="AM203" s="15"/>
      <c r="AN203" s="14"/>
      <c r="AO203" s="23"/>
      <c r="AP203" s="15"/>
      <c r="AQ203" s="25"/>
      <c r="AR203" s="23"/>
      <c r="AS203" s="15"/>
      <c r="AT203" s="14"/>
      <c r="AU203" s="23"/>
      <c r="AV203" s="15"/>
      <c r="AW203" s="25"/>
      <c r="AX203" s="23"/>
      <c r="AY203" s="15"/>
      <c r="AZ203" s="14"/>
      <c r="BA203" s="23"/>
      <c r="BB203" s="15"/>
      <c r="BC203" s="25"/>
      <c r="BD203" s="23"/>
      <c r="BE203" s="15"/>
      <c r="BF203" s="14"/>
      <c r="BG203" s="23"/>
      <c r="BH203" s="15"/>
      <c r="BI203" s="25"/>
      <c r="BJ203" s="23"/>
      <c r="BK203" s="15"/>
      <c r="BL203" s="14"/>
      <c r="BM203" s="23"/>
      <c r="BN203" s="15"/>
      <c r="BO203" s="25"/>
      <c r="BP203" s="23"/>
      <c r="BQ203" s="15"/>
      <c r="BR203" s="14"/>
      <c r="BS203" s="23"/>
      <c r="BT203" s="15"/>
      <c r="BU203" s="25"/>
      <c r="BV203" s="23"/>
      <c r="BW203" s="15"/>
      <c r="BX203" s="14"/>
      <c r="BY203" s="23"/>
      <c r="BZ203" s="15"/>
    </row>
    <row r="204" customFormat="false" ht="15" hidden="false" customHeight="false" outlineLevel="0" collapsed="false">
      <c r="A204" s="14"/>
      <c r="B204" s="17" t="str">
        <f aca="false">IF($A204="","",IFERROR(INDEX(Policy!$B$2:$B$301,MATCH($A204,Policy!$A$2:$A$301,0)),"MRO không có"))</f>
        <v/>
      </c>
      <c r="C204" s="17" t="str">
        <f aca="false">IF($A204="","",IFERROR(INDEX(Policy!$E$2:$E$301,MATCH($A204,Policy!$A$2:$A$301,0)),"MRO không có"))</f>
        <v/>
      </c>
      <c r="D204" s="14"/>
      <c r="E204" s="15"/>
      <c r="F204" s="15"/>
      <c r="G204" s="25"/>
      <c r="H204" s="23"/>
      <c r="I204" s="15"/>
      <c r="J204" s="14"/>
      <c r="K204" s="23"/>
      <c r="L204" s="15"/>
      <c r="M204" s="25"/>
      <c r="N204" s="23"/>
      <c r="O204" s="15"/>
      <c r="P204" s="14"/>
      <c r="Q204" s="23"/>
      <c r="R204" s="15"/>
      <c r="S204" s="25"/>
      <c r="T204" s="23"/>
      <c r="U204" s="15"/>
      <c r="V204" s="14"/>
      <c r="W204" s="23"/>
      <c r="X204" s="15"/>
      <c r="Y204" s="25"/>
      <c r="Z204" s="23"/>
      <c r="AA204" s="15"/>
      <c r="AB204" s="14"/>
      <c r="AC204" s="23"/>
      <c r="AD204" s="15"/>
      <c r="AE204" s="25"/>
      <c r="AF204" s="23"/>
      <c r="AG204" s="15"/>
      <c r="AH204" s="14"/>
      <c r="AI204" s="23"/>
      <c r="AJ204" s="15"/>
      <c r="AK204" s="25"/>
      <c r="AL204" s="23"/>
      <c r="AM204" s="15"/>
      <c r="AN204" s="14"/>
      <c r="AO204" s="23"/>
      <c r="AP204" s="15"/>
      <c r="AQ204" s="25"/>
      <c r="AR204" s="23"/>
      <c r="AS204" s="15"/>
      <c r="AT204" s="14"/>
      <c r="AU204" s="23"/>
      <c r="AV204" s="15"/>
      <c r="AW204" s="25"/>
      <c r="AX204" s="23"/>
      <c r="AY204" s="15"/>
      <c r="AZ204" s="14"/>
      <c r="BA204" s="23"/>
      <c r="BB204" s="15"/>
      <c r="BC204" s="25"/>
      <c r="BD204" s="23"/>
      <c r="BE204" s="15"/>
      <c r="BF204" s="14"/>
      <c r="BG204" s="23"/>
      <c r="BH204" s="15"/>
      <c r="BI204" s="25"/>
      <c r="BJ204" s="23"/>
      <c r="BK204" s="15"/>
      <c r="BL204" s="14"/>
      <c r="BM204" s="23"/>
      <c r="BN204" s="15"/>
      <c r="BO204" s="25"/>
      <c r="BP204" s="23"/>
      <c r="BQ204" s="15"/>
      <c r="BR204" s="14"/>
      <c r="BS204" s="23"/>
      <c r="BT204" s="15"/>
      <c r="BU204" s="25"/>
      <c r="BV204" s="23"/>
      <c r="BW204" s="15"/>
      <c r="BX204" s="14"/>
      <c r="BY204" s="23"/>
      <c r="BZ204" s="15"/>
    </row>
    <row r="205" customFormat="false" ht="15" hidden="false" customHeight="false" outlineLevel="0" collapsed="false">
      <c r="A205" s="14"/>
      <c r="B205" s="17" t="str">
        <f aca="false">IF($A205="","",IFERROR(INDEX(Policy!$B$2:$B$301,MATCH($A205,Policy!$A$2:$A$301,0)),"MRO không có"))</f>
        <v/>
      </c>
      <c r="C205" s="17" t="str">
        <f aca="false">IF($A205="","",IFERROR(INDEX(Policy!$E$2:$E$301,MATCH($A205,Policy!$A$2:$A$301,0)),"MRO không có"))</f>
        <v/>
      </c>
      <c r="D205" s="14"/>
      <c r="E205" s="15"/>
      <c r="F205" s="15"/>
      <c r="G205" s="25"/>
      <c r="H205" s="23"/>
      <c r="I205" s="15"/>
      <c r="J205" s="14"/>
      <c r="K205" s="23"/>
      <c r="L205" s="15"/>
      <c r="M205" s="25"/>
      <c r="N205" s="23"/>
      <c r="O205" s="15"/>
      <c r="P205" s="14"/>
      <c r="Q205" s="23"/>
      <c r="R205" s="15"/>
      <c r="S205" s="25"/>
      <c r="T205" s="23"/>
      <c r="U205" s="15"/>
      <c r="V205" s="14"/>
      <c r="W205" s="23"/>
      <c r="X205" s="15"/>
      <c r="Y205" s="25"/>
      <c r="Z205" s="23"/>
      <c r="AA205" s="15"/>
      <c r="AB205" s="14"/>
      <c r="AC205" s="23"/>
      <c r="AD205" s="15"/>
      <c r="AE205" s="25"/>
      <c r="AF205" s="23"/>
      <c r="AG205" s="15"/>
      <c r="AH205" s="14"/>
      <c r="AI205" s="23"/>
      <c r="AJ205" s="15"/>
      <c r="AK205" s="25"/>
      <c r="AL205" s="23"/>
      <c r="AM205" s="15"/>
      <c r="AN205" s="14"/>
      <c r="AO205" s="23"/>
      <c r="AP205" s="15"/>
      <c r="AQ205" s="25"/>
      <c r="AR205" s="23"/>
      <c r="AS205" s="15"/>
      <c r="AT205" s="14"/>
      <c r="AU205" s="23"/>
      <c r="AV205" s="15"/>
      <c r="AW205" s="25"/>
      <c r="AX205" s="23"/>
      <c r="AY205" s="15"/>
      <c r="AZ205" s="14"/>
      <c r="BA205" s="23"/>
      <c r="BB205" s="15"/>
      <c r="BC205" s="25"/>
      <c r="BD205" s="23"/>
      <c r="BE205" s="15"/>
      <c r="BF205" s="14"/>
      <c r="BG205" s="23"/>
      <c r="BH205" s="15"/>
      <c r="BI205" s="25"/>
      <c r="BJ205" s="23"/>
      <c r="BK205" s="15"/>
      <c r="BL205" s="14"/>
      <c r="BM205" s="23"/>
      <c r="BN205" s="15"/>
      <c r="BO205" s="25"/>
      <c r="BP205" s="23"/>
      <c r="BQ205" s="15"/>
      <c r="BR205" s="14"/>
      <c r="BS205" s="23"/>
      <c r="BT205" s="15"/>
      <c r="BU205" s="25"/>
      <c r="BV205" s="23"/>
      <c r="BW205" s="15"/>
      <c r="BX205" s="14"/>
      <c r="BY205" s="23"/>
      <c r="BZ205" s="15"/>
    </row>
    <row r="206" customFormat="false" ht="15" hidden="false" customHeight="false" outlineLevel="0" collapsed="false">
      <c r="A206" s="14"/>
      <c r="B206" s="17" t="str">
        <f aca="false">IF($A206="","",IFERROR(INDEX(Policy!$B$2:$B$301,MATCH($A206,Policy!$A$2:$A$301,0)),"MRO không có"))</f>
        <v/>
      </c>
      <c r="C206" s="17" t="str">
        <f aca="false">IF($A206="","",IFERROR(INDEX(Policy!$E$2:$E$301,MATCH($A206,Policy!$A$2:$A$301,0)),"MRO không có"))</f>
        <v/>
      </c>
      <c r="D206" s="14"/>
      <c r="E206" s="15"/>
      <c r="F206" s="15"/>
      <c r="G206" s="25"/>
      <c r="H206" s="23"/>
      <c r="I206" s="15"/>
      <c r="J206" s="14"/>
      <c r="K206" s="23"/>
      <c r="L206" s="15"/>
      <c r="M206" s="25"/>
      <c r="N206" s="23"/>
      <c r="O206" s="15"/>
      <c r="P206" s="14"/>
      <c r="Q206" s="23"/>
      <c r="R206" s="15"/>
      <c r="S206" s="25"/>
      <c r="T206" s="23"/>
      <c r="U206" s="15"/>
      <c r="V206" s="14"/>
      <c r="W206" s="23"/>
      <c r="X206" s="15"/>
      <c r="Y206" s="25"/>
      <c r="Z206" s="23"/>
      <c r="AA206" s="15"/>
      <c r="AB206" s="14"/>
      <c r="AC206" s="23"/>
      <c r="AD206" s="15"/>
      <c r="AE206" s="25"/>
      <c r="AF206" s="23"/>
      <c r="AG206" s="15"/>
      <c r="AH206" s="14"/>
      <c r="AI206" s="23"/>
      <c r="AJ206" s="15"/>
      <c r="AK206" s="25"/>
      <c r="AL206" s="23"/>
      <c r="AM206" s="15"/>
      <c r="AN206" s="14"/>
      <c r="AO206" s="23"/>
      <c r="AP206" s="15"/>
      <c r="AQ206" s="25"/>
      <c r="AR206" s="23"/>
      <c r="AS206" s="15"/>
      <c r="AT206" s="14"/>
      <c r="AU206" s="23"/>
      <c r="AV206" s="15"/>
      <c r="AW206" s="25"/>
      <c r="AX206" s="23"/>
      <c r="AY206" s="15"/>
      <c r="AZ206" s="14"/>
      <c r="BA206" s="23"/>
      <c r="BB206" s="15"/>
      <c r="BC206" s="25"/>
      <c r="BD206" s="23"/>
      <c r="BE206" s="15"/>
      <c r="BF206" s="14"/>
      <c r="BG206" s="23"/>
      <c r="BH206" s="15"/>
      <c r="BI206" s="25"/>
      <c r="BJ206" s="23"/>
      <c r="BK206" s="15"/>
      <c r="BL206" s="14"/>
      <c r="BM206" s="23"/>
      <c r="BN206" s="15"/>
      <c r="BO206" s="25"/>
      <c r="BP206" s="23"/>
      <c r="BQ206" s="15"/>
      <c r="BR206" s="14"/>
      <c r="BS206" s="23"/>
      <c r="BT206" s="15"/>
      <c r="BU206" s="25"/>
      <c r="BV206" s="23"/>
      <c r="BW206" s="15"/>
      <c r="BX206" s="14"/>
      <c r="BY206" s="23"/>
      <c r="BZ206" s="15"/>
    </row>
    <row r="207" customFormat="false" ht="15" hidden="false" customHeight="false" outlineLevel="0" collapsed="false">
      <c r="A207" s="14"/>
      <c r="B207" s="17" t="str">
        <f aca="false">IF($A207="","",IFERROR(INDEX(Policy!$B$2:$B$301,MATCH($A207,Policy!$A$2:$A$301,0)),"MRO không có"))</f>
        <v/>
      </c>
      <c r="C207" s="17" t="str">
        <f aca="false">IF($A207="","",IFERROR(INDEX(Policy!$E$2:$E$301,MATCH($A207,Policy!$A$2:$A$301,0)),"MRO không có"))</f>
        <v/>
      </c>
      <c r="D207" s="14"/>
      <c r="E207" s="15"/>
      <c r="F207" s="15"/>
      <c r="G207" s="25"/>
      <c r="H207" s="23"/>
      <c r="I207" s="15"/>
      <c r="J207" s="14"/>
      <c r="K207" s="23"/>
      <c r="L207" s="15"/>
      <c r="M207" s="25"/>
      <c r="N207" s="23"/>
      <c r="O207" s="15"/>
      <c r="P207" s="14"/>
      <c r="Q207" s="23"/>
      <c r="R207" s="15"/>
      <c r="S207" s="25"/>
      <c r="T207" s="23"/>
      <c r="U207" s="15"/>
      <c r="V207" s="14"/>
      <c r="W207" s="23"/>
      <c r="X207" s="15"/>
      <c r="Y207" s="25"/>
      <c r="Z207" s="23"/>
      <c r="AA207" s="15"/>
      <c r="AB207" s="14"/>
      <c r="AC207" s="23"/>
      <c r="AD207" s="15"/>
      <c r="AE207" s="25"/>
      <c r="AF207" s="23"/>
      <c r="AG207" s="15"/>
      <c r="AH207" s="14"/>
      <c r="AI207" s="23"/>
      <c r="AJ207" s="15"/>
      <c r="AK207" s="25"/>
      <c r="AL207" s="23"/>
      <c r="AM207" s="15"/>
      <c r="AN207" s="14"/>
      <c r="AO207" s="23"/>
      <c r="AP207" s="15"/>
      <c r="AQ207" s="25"/>
      <c r="AR207" s="23"/>
      <c r="AS207" s="15"/>
      <c r="AT207" s="14"/>
      <c r="AU207" s="23"/>
      <c r="AV207" s="15"/>
      <c r="AW207" s="25"/>
      <c r="AX207" s="23"/>
      <c r="AY207" s="15"/>
      <c r="AZ207" s="14"/>
      <c r="BA207" s="23"/>
      <c r="BB207" s="15"/>
      <c r="BC207" s="25"/>
      <c r="BD207" s="23"/>
      <c r="BE207" s="15"/>
      <c r="BF207" s="14"/>
      <c r="BG207" s="23"/>
      <c r="BH207" s="15"/>
      <c r="BI207" s="25"/>
      <c r="BJ207" s="23"/>
      <c r="BK207" s="15"/>
      <c r="BL207" s="14"/>
      <c r="BM207" s="23"/>
      <c r="BN207" s="15"/>
      <c r="BO207" s="25"/>
      <c r="BP207" s="23"/>
      <c r="BQ207" s="15"/>
      <c r="BR207" s="14"/>
      <c r="BS207" s="23"/>
      <c r="BT207" s="15"/>
      <c r="BU207" s="25"/>
      <c r="BV207" s="23"/>
      <c r="BW207" s="15"/>
      <c r="BX207" s="14"/>
      <c r="BY207" s="23"/>
      <c r="BZ207" s="15"/>
    </row>
    <row r="208" customFormat="false" ht="15" hidden="false" customHeight="false" outlineLevel="0" collapsed="false">
      <c r="A208" s="14"/>
      <c r="B208" s="17" t="str">
        <f aca="false">IF($A208="","",IFERROR(INDEX(Policy!$B$2:$B$301,MATCH($A208,Policy!$A$2:$A$301,0)),"MRO không có"))</f>
        <v/>
      </c>
      <c r="C208" s="17" t="str">
        <f aca="false">IF($A208="","",IFERROR(INDEX(Policy!$E$2:$E$301,MATCH($A208,Policy!$A$2:$A$301,0)),"MRO không có"))</f>
        <v/>
      </c>
      <c r="D208" s="14"/>
      <c r="E208" s="15"/>
      <c r="F208" s="15"/>
      <c r="G208" s="25"/>
      <c r="H208" s="23"/>
      <c r="I208" s="15"/>
      <c r="J208" s="14"/>
      <c r="K208" s="23"/>
      <c r="L208" s="15"/>
      <c r="M208" s="25"/>
      <c r="N208" s="23"/>
      <c r="O208" s="15"/>
      <c r="P208" s="14"/>
      <c r="Q208" s="23"/>
      <c r="R208" s="15"/>
      <c r="S208" s="25"/>
      <c r="T208" s="23"/>
      <c r="U208" s="15"/>
      <c r="V208" s="14"/>
      <c r="W208" s="23"/>
      <c r="X208" s="15"/>
      <c r="Y208" s="25"/>
      <c r="Z208" s="23"/>
      <c r="AA208" s="15"/>
      <c r="AB208" s="14"/>
      <c r="AC208" s="23"/>
      <c r="AD208" s="15"/>
      <c r="AE208" s="25"/>
      <c r="AF208" s="23"/>
      <c r="AG208" s="15"/>
      <c r="AH208" s="14"/>
      <c r="AI208" s="23"/>
      <c r="AJ208" s="15"/>
      <c r="AK208" s="25"/>
      <c r="AL208" s="23"/>
      <c r="AM208" s="15"/>
      <c r="AN208" s="14"/>
      <c r="AO208" s="23"/>
      <c r="AP208" s="15"/>
      <c r="AQ208" s="25"/>
      <c r="AR208" s="23"/>
      <c r="AS208" s="15"/>
      <c r="AT208" s="14"/>
      <c r="AU208" s="23"/>
      <c r="AV208" s="15"/>
      <c r="AW208" s="25"/>
      <c r="AX208" s="23"/>
      <c r="AY208" s="15"/>
      <c r="AZ208" s="14"/>
      <c r="BA208" s="23"/>
      <c r="BB208" s="15"/>
      <c r="BC208" s="25"/>
      <c r="BD208" s="23"/>
      <c r="BE208" s="15"/>
      <c r="BF208" s="14"/>
      <c r="BG208" s="23"/>
      <c r="BH208" s="15"/>
      <c r="BI208" s="25"/>
      <c r="BJ208" s="23"/>
      <c r="BK208" s="15"/>
      <c r="BL208" s="14"/>
      <c r="BM208" s="23"/>
      <c r="BN208" s="15"/>
      <c r="BO208" s="25"/>
      <c r="BP208" s="23"/>
      <c r="BQ208" s="15"/>
      <c r="BR208" s="14"/>
      <c r="BS208" s="23"/>
      <c r="BT208" s="15"/>
      <c r="BU208" s="25"/>
      <c r="BV208" s="23"/>
      <c r="BW208" s="15"/>
      <c r="BX208" s="14"/>
      <c r="BY208" s="23"/>
      <c r="BZ208" s="15"/>
    </row>
    <row r="209" customFormat="false" ht="15" hidden="false" customHeight="false" outlineLevel="0" collapsed="false">
      <c r="A209" s="14"/>
      <c r="B209" s="17" t="str">
        <f aca="false">IF($A209="","",IFERROR(INDEX(Policy!$B$2:$B$301,MATCH($A209,Policy!$A$2:$A$301,0)),"MRO không có"))</f>
        <v/>
      </c>
      <c r="C209" s="17" t="str">
        <f aca="false">IF($A209="","",IFERROR(INDEX(Policy!$E$2:$E$301,MATCH($A209,Policy!$A$2:$A$301,0)),"MRO không có"))</f>
        <v/>
      </c>
      <c r="D209" s="14"/>
      <c r="E209" s="15"/>
      <c r="F209" s="15"/>
      <c r="G209" s="25"/>
      <c r="H209" s="23"/>
      <c r="I209" s="15"/>
      <c r="J209" s="14"/>
      <c r="K209" s="23"/>
      <c r="L209" s="15"/>
      <c r="M209" s="25"/>
      <c r="N209" s="23"/>
      <c r="O209" s="15"/>
      <c r="P209" s="14"/>
      <c r="Q209" s="23"/>
      <c r="R209" s="15"/>
      <c r="S209" s="25"/>
      <c r="T209" s="23"/>
      <c r="U209" s="15"/>
      <c r="V209" s="14"/>
      <c r="W209" s="23"/>
      <c r="X209" s="15"/>
      <c r="Y209" s="25"/>
      <c r="Z209" s="23"/>
      <c r="AA209" s="15"/>
      <c r="AB209" s="14"/>
      <c r="AC209" s="23"/>
      <c r="AD209" s="15"/>
      <c r="AE209" s="25"/>
      <c r="AF209" s="23"/>
      <c r="AG209" s="15"/>
      <c r="AH209" s="14"/>
      <c r="AI209" s="23"/>
      <c r="AJ209" s="15"/>
      <c r="AK209" s="25"/>
      <c r="AL209" s="23"/>
      <c r="AM209" s="15"/>
      <c r="AN209" s="14"/>
      <c r="AO209" s="23"/>
      <c r="AP209" s="15"/>
      <c r="AQ209" s="25"/>
      <c r="AR209" s="23"/>
      <c r="AS209" s="15"/>
      <c r="AT209" s="14"/>
      <c r="AU209" s="23"/>
      <c r="AV209" s="15"/>
      <c r="AW209" s="25"/>
      <c r="AX209" s="23"/>
      <c r="AY209" s="15"/>
      <c r="AZ209" s="14"/>
      <c r="BA209" s="23"/>
      <c r="BB209" s="15"/>
      <c r="BC209" s="25"/>
      <c r="BD209" s="23"/>
      <c r="BE209" s="15"/>
      <c r="BF209" s="14"/>
      <c r="BG209" s="23"/>
      <c r="BH209" s="15"/>
      <c r="BI209" s="25"/>
      <c r="BJ209" s="23"/>
      <c r="BK209" s="15"/>
      <c r="BL209" s="14"/>
      <c r="BM209" s="23"/>
      <c r="BN209" s="15"/>
      <c r="BO209" s="25"/>
      <c r="BP209" s="23"/>
      <c r="BQ209" s="15"/>
      <c r="BR209" s="14"/>
      <c r="BS209" s="23"/>
      <c r="BT209" s="15"/>
      <c r="BU209" s="25"/>
      <c r="BV209" s="23"/>
      <c r="BW209" s="15"/>
      <c r="BX209" s="14"/>
      <c r="BY209" s="23"/>
      <c r="BZ209" s="15"/>
    </row>
    <row r="210" customFormat="false" ht="15" hidden="false" customHeight="false" outlineLevel="0" collapsed="false">
      <c r="A210" s="14"/>
      <c r="B210" s="17" t="str">
        <f aca="false">IF($A210="","",IFERROR(INDEX(Policy!$B$2:$B$301,MATCH($A210,Policy!$A$2:$A$301,0)),"MRO không có"))</f>
        <v/>
      </c>
      <c r="C210" s="17" t="str">
        <f aca="false">IF($A210="","",IFERROR(INDEX(Policy!$E$2:$E$301,MATCH($A210,Policy!$A$2:$A$301,0)),"MRO không có"))</f>
        <v/>
      </c>
      <c r="D210" s="14"/>
      <c r="E210" s="15"/>
      <c r="F210" s="15"/>
      <c r="G210" s="25"/>
      <c r="H210" s="23"/>
      <c r="I210" s="15"/>
      <c r="J210" s="14"/>
      <c r="K210" s="23"/>
      <c r="L210" s="15"/>
      <c r="M210" s="25"/>
      <c r="N210" s="23"/>
      <c r="O210" s="15"/>
      <c r="P210" s="14"/>
      <c r="Q210" s="23"/>
      <c r="R210" s="15"/>
      <c r="S210" s="25"/>
      <c r="T210" s="23"/>
      <c r="U210" s="15"/>
      <c r="V210" s="14"/>
      <c r="W210" s="23"/>
      <c r="X210" s="15"/>
      <c r="Y210" s="25"/>
      <c r="Z210" s="23"/>
      <c r="AA210" s="15"/>
      <c r="AB210" s="14"/>
      <c r="AC210" s="23"/>
      <c r="AD210" s="15"/>
      <c r="AE210" s="25"/>
      <c r="AF210" s="23"/>
      <c r="AG210" s="15"/>
      <c r="AH210" s="14"/>
      <c r="AI210" s="23"/>
      <c r="AJ210" s="15"/>
      <c r="AK210" s="25"/>
      <c r="AL210" s="23"/>
      <c r="AM210" s="15"/>
      <c r="AN210" s="14"/>
      <c r="AO210" s="23"/>
      <c r="AP210" s="15"/>
      <c r="AQ210" s="25"/>
      <c r="AR210" s="23"/>
      <c r="AS210" s="15"/>
      <c r="AT210" s="14"/>
      <c r="AU210" s="23"/>
      <c r="AV210" s="15"/>
      <c r="AW210" s="25"/>
      <c r="AX210" s="23"/>
      <c r="AY210" s="15"/>
      <c r="AZ210" s="14"/>
      <c r="BA210" s="23"/>
      <c r="BB210" s="15"/>
      <c r="BC210" s="25"/>
      <c r="BD210" s="23"/>
      <c r="BE210" s="15"/>
      <c r="BF210" s="14"/>
      <c r="BG210" s="23"/>
      <c r="BH210" s="15"/>
      <c r="BI210" s="25"/>
      <c r="BJ210" s="23"/>
      <c r="BK210" s="15"/>
      <c r="BL210" s="14"/>
      <c r="BM210" s="23"/>
      <c r="BN210" s="15"/>
      <c r="BO210" s="25"/>
      <c r="BP210" s="23"/>
      <c r="BQ210" s="15"/>
      <c r="BR210" s="14"/>
      <c r="BS210" s="23"/>
      <c r="BT210" s="15"/>
      <c r="BU210" s="25"/>
      <c r="BV210" s="23"/>
      <c r="BW210" s="15"/>
      <c r="BX210" s="14"/>
      <c r="BY210" s="23"/>
      <c r="BZ210" s="15"/>
    </row>
    <row r="211" customFormat="false" ht="15" hidden="false" customHeight="false" outlineLevel="0" collapsed="false">
      <c r="A211" s="14"/>
      <c r="B211" s="17" t="str">
        <f aca="false">IF($A211="","",IFERROR(INDEX(Policy!$B$2:$B$301,MATCH($A211,Policy!$A$2:$A$301,0)),"MRO không có"))</f>
        <v/>
      </c>
      <c r="C211" s="17" t="str">
        <f aca="false">IF($A211="","",IFERROR(INDEX(Policy!$E$2:$E$301,MATCH($A211,Policy!$A$2:$A$301,0)),"MRO không có"))</f>
        <v/>
      </c>
      <c r="D211" s="14"/>
      <c r="E211" s="15"/>
      <c r="F211" s="15"/>
      <c r="G211" s="25"/>
      <c r="H211" s="23"/>
      <c r="I211" s="15"/>
      <c r="J211" s="14"/>
      <c r="K211" s="23"/>
      <c r="L211" s="15"/>
      <c r="M211" s="25"/>
      <c r="N211" s="23"/>
      <c r="O211" s="15"/>
      <c r="P211" s="14"/>
      <c r="Q211" s="23"/>
      <c r="R211" s="15"/>
      <c r="S211" s="25"/>
      <c r="T211" s="23"/>
      <c r="U211" s="15"/>
      <c r="V211" s="14"/>
      <c r="W211" s="23"/>
      <c r="X211" s="15"/>
      <c r="Y211" s="25"/>
      <c r="Z211" s="23"/>
      <c r="AA211" s="15"/>
      <c r="AB211" s="14"/>
      <c r="AC211" s="23"/>
      <c r="AD211" s="15"/>
      <c r="AE211" s="25"/>
      <c r="AF211" s="23"/>
      <c r="AG211" s="15"/>
      <c r="AH211" s="14"/>
      <c r="AI211" s="23"/>
      <c r="AJ211" s="15"/>
      <c r="AK211" s="25"/>
      <c r="AL211" s="23"/>
      <c r="AM211" s="15"/>
      <c r="AN211" s="14"/>
      <c r="AO211" s="23"/>
      <c r="AP211" s="15"/>
      <c r="AQ211" s="25"/>
      <c r="AR211" s="23"/>
      <c r="AS211" s="15"/>
      <c r="AT211" s="14"/>
      <c r="AU211" s="23"/>
      <c r="AV211" s="15"/>
      <c r="AW211" s="25"/>
      <c r="AX211" s="23"/>
      <c r="AY211" s="15"/>
      <c r="AZ211" s="14"/>
      <c r="BA211" s="23"/>
      <c r="BB211" s="15"/>
      <c r="BC211" s="25"/>
      <c r="BD211" s="23"/>
      <c r="BE211" s="15"/>
      <c r="BF211" s="14"/>
      <c r="BG211" s="23"/>
      <c r="BH211" s="15"/>
      <c r="BI211" s="25"/>
      <c r="BJ211" s="23"/>
      <c r="BK211" s="15"/>
      <c r="BL211" s="14"/>
      <c r="BM211" s="23"/>
      <c r="BN211" s="15"/>
      <c r="BO211" s="25"/>
      <c r="BP211" s="23"/>
      <c r="BQ211" s="15"/>
      <c r="BR211" s="14"/>
      <c r="BS211" s="23"/>
      <c r="BT211" s="15"/>
      <c r="BU211" s="25"/>
      <c r="BV211" s="23"/>
      <c r="BW211" s="15"/>
      <c r="BX211" s="14"/>
      <c r="BY211" s="23"/>
      <c r="BZ211" s="15"/>
    </row>
    <row r="212" customFormat="false" ht="15" hidden="false" customHeight="false" outlineLevel="0" collapsed="false">
      <c r="A212" s="14"/>
      <c r="B212" s="17" t="str">
        <f aca="false">IF($A212="","",IFERROR(INDEX(Policy!$B$2:$B$301,MATCH($A212,Policy!$A$2:$A$301,0)),"MRO không có"))</f>
        <v/>
      </c>
      <c r="C212" s="17" t="str">
        <f aca="false">IF($A212="","",IFERROR(INDEX(Policy!$E$2:$E$301,MATCH($A212,Policy!$A$2:$A$301,0)),"MRO không có"))</f>
        <v/>
      </c>
      <c r="D212" s="14"/>
      <c r="E212" s="15"/>
      <c r="F212" s="15"/>
      <c r="G212" s="25"/>
      <c r="H212" s="23"/>
      <c r="I212" s="15"/>
      <c r="J212" s="14"/>
      <c r="K212" s="23"/>
      <c r="L212" s="15"/>
      <c r="M212" s="25"/>
      <c r="N212" s="23"/>
      <c r="O212" s="15"/>
      <c r="P212" s="14"/>
      <c r="Q212" s="23"/>
      <c r="R212" s="15"/>
      <c r="S212" s="25"/>
      <c r="T212" s="23"/>
      <c r="U212" s="15"/>
      <c r="V212" s="14"/>
      <c r="W212" s="23"/>
      <c r="X212" s="15"/>
      <c r="Y212" s="25"/>
      <c r="Z212" s="23"/>
      <c r="AA212" s="15"/>
      <c r="AB212" s="14"/>
      <c r="AC212" s="23"/>
      <c r="AD212" s="15"/>
      <c r="AE212" s="25"/>
      <c r="AF212" s="23"/>
      <c r="AG212" s="15"/>
      <c r="AH212" s="14"/>
      <c r="AI212" s="23"/>
      <c r="AJ212" s="15"/>
      <c r="AK212" s="25"/>
      <c r="AL212" s="23"/>
      <c r="AM212" s="15"/>
      <c r="AN212" s="14"/>
      <c r="AO212" s="23"/>
      <c r="AP212" s="15"/>
      <c r="AQ212" s="25"/>
      <c r="AR212" s="23"/>
      <c r="AS212" s="15"/>
      <c r="AT212" s="14"/>
      <c r="AU212" s="23"/>
      <c r="AV212" s="15"/>
      <c r="AW212" s="25"/>
      <c r="AX212" s="23"/>
      <c r="AY212" s="15"/>
      <c r="AZ212" s="14"/>
      <c r="BA212" s="23"/>
      <c r="BB212" s="15"/>
      <c r="BC212" s="25"/>
      <c r="BD212" s="23"/>
      <c r="BE212" s="15"/>
      <c r="BF212" s="14"/>
      <c r="BG212" s="23"/>
      <c r="BH212" s="15"/>
      <c r="BI212" s="25"/>
      <c r="BJ212" s="23"/>
      <c r="BK212" s="15"/>
      <c r="BL212" s="14"/>
      <c r="BM212" s="23"/>
      <c r="BN212" s="15"/>
      <c r="BO212" s="25"/>
      <c r="BP212" s="23"/>
      <c r="BQ212" s="15"/>
      <c r="BR212" s="14"/>
      <c r="BS212" s="23"/>
      <c r="BT212" s="15"/>
      <c r="BU212" s="25"/>
      <c r="BV212" s="23"/>
      <c r="BW212" s="15"/>
      <c r="BX212" s="14"/>
      <c r="BY212" s="23"/>
      <c r="BZ212" s="15"/>
    </row>
    <row r="213" customFormat="false" ht="15" hidden="false" customHeight="false" outlineLevel="0" collapsed="false">
      <c r="A213" s="14"/>
      <c r="B213" s="17" t="str">
        <f aca="false">IF($A213="","",IFERROR(INDEX(Policy!$B$2:$B$301,MATCH($A213,Policy!$A$2:$A$301,0)),"MRO không có"))</f>
        <v/>
      </c>
      <c r="C213" s="17" t="str">
        <f aca="false">IF($A213="","",IFERROR(INDEX(Policy!$E$2:$E$301,MATCH($A213,Policy!$A$2:$A$301,0)),"MRO không có"))</f>
        <v/>
      </c>
      <c r="D213" s="14"/>
      <c r="E213" s="15"/>
      <c r="F213" s="15"/>
      <c r="G213" s="25"/>
      <c r="H213" s="23"/>
      <c r="I213" s="15"/>
      <c r="J213" s="14"/>
      <c r="K213" s="23"/>
      <c r="L213" s="15"/>
      <c r="M213" s="25"/>
      <c r="N213" s="23"/>
      <c r="O213" s="15"/>
      <c r="P213" s="14"/>
      <c r="Q213" s="23"/>
      <c r="R213" s="15"/>
      <c r="S213" s="25"/>
      <c r="T213" s="23"/>
      <c r="U213" s="15"/>
      <c r="V213" s="14"/>
      <c r="W213" s="23"/>
      <c r="X213" s="15"/>
      <c r="Y213" s="25"/>
      <c r="Z213" s="23"/>
      <c r="AA213" s="15"/>
      <c r="AB213" s="14"/>
      <c r="AC213" s="23"/>
      <c r="AD213" s="15"/>
      <c r="AE213" s="25"/>
      <c r="AF213" s="23"/>
      <c r="AG213" s="15"/>
      <c r="AH213" s="14"/>
      <c r="AI213" s="23"/>
      <c r="AJ213" s="15"/>
      <c r="AK213" s="25"/>
      <c r="AL213" s="23"/>
      <c r="AM213" s="15"/>
      <c r="AN213" s="14"/>
      <c r="AO213" s="23"/>
      <c r="AP213" s="15"/>
      <c r="AQ213" s="25"/>
      <c r="AR213" s="23"/>
      <c r="AS213" s="15"/>
      <c r="AT213" s="14"/>
      <c r="AU213" s="23"/>
      <c r="AV213" s="15"/>
      <c r="AW213" s="25"/>
      <c r="AX213" s="23"/>
      <c r="AY213" s="15"/>
      <c r="AZ213" s="14"/>
      <c r="BA213" s="23"/>
      <c r="BB213" s="15"/>
      <c r="BC213" s="25"/>
      <c r="BD213" s="23"/>
      <c r="BE213" s="15"/>
      <c r="BF213" s="14"/>
      <c r="BG213" s="23"/>
      <c r="BH213" s="15"/>
      <c r="BI213" s="25"/>
      <c r="BJ213" s="23"/>
      <c r="BK213" s="15"/>
      <c r="BL213" s="14"/>
      <c r="BM213" s="23"/>
      <c r="BN213" s="15"/>
      <c r="BO213" s="25"/>
      <c r="BP213" s="23"/>
      <c r="BQ213" s="15"/>
      <c r="BR213" s="14"/>
      <c r="BS213" s="23"/>
      <c r="BT213" s="15"/>
      <c r="BU213" s="25"/>
      <c r="BV213" s="23"/>
      <c r="BW213" s="15"/>
      <c r="BX213" s="14"/>
      <c r="BY213" s="23"/>
      <c r="BZ213" s="15"/>
    </row>
    <row r="214" customFormat="false" ht="15" hidden="false" customHeight="false" outlineLevel="0" collapsed="false">
      <c r="A214" s="14"/>
      <c r="B214" s="17" t="str">
        <f aca="false">IF($A214="","",IFERROR(INDEX(Policy!$B$2:$B$301,MATCH($A214,Policy!$A$2:$A$301,0)),"MRO không có"))</f>
        <v/>
      </c>
      <c r="C214" s="17" t="str">
        <f aca="false">IF($A214="","",IFERROR(INDEX(Policy!$E$2:$E$301,MATCH($A214,Policy!$A$2:$A$301,0)),"MRO không có"))</f>
        <v/>
      </c>
      <c r="D214" s="14"/>
      <c r="E214" s="15"/>
      <c r="F214" s="15"/>
      <c r="G214" s="25"/>
      <c r="H214" s="23"/>
      <c r="I214" s="15"/>
      <c r="J214" s="14"/>
      <c r="K214" s="23"/>
      <c r="L214" s="15"/>
      <c r="M214" s="25"/>
      <c r="N214" s="23"/>
      <c r="O214" s="15"/>
      <c r="P214" s="14"/>
      <c r="Q214" s="23"/>
      <c r="R214" s="15"/>
      <c r="S214" s="25"/>
      <c r="T214" s="23"/>
      <c r="U214" s="15"/>
      <c r="V214" s="14"/>
      <c r="W214" s="23"/>
      <c r="X214" s="15"/>
      <c r="Y214" s="25"/>
      <c r="Z214" s="23"/>
      <c r="AA214" s="15"/>
      <c r="AB214" s="14"/>
      <c r="AC214" s="23"/>
      <c r="AD214" s="15"/>
      <c r="AE214" s="25"/>
      <c r="AF214" s="23"/>
      <c r="AG214" s="15"/>
      <c r="AH214" s="14"/>
      <c r="AI214" s="23"/>
      <c r="AJ214" s="15"/>
      <c r="AK214" s="25"/>
      <c r="AL214" s="23"/>
      <c r="AM214" s="15"/>
      <c r="AN214" s="14"/>
      <c r="AO214" s="23"/>
      <c r="AP214" s="15"/>
      <c r="AQ214" s="25"/>
      <c r="AR214" s="23"/>
      <c r="AS214" s="15"/>
      <c r="AT214" s="14"/>
      <c r="AU214" s="23"/>
      <c r="AV214" s="15"/>
      <c r="AW214" s="25"/>
      <c r="AX214" s="23"/>
      <c r="AY214" s="15"/>
      <c r="AZ214" s="14"/>
      <c r="BA214" s="23"/>
      <c r="BB214" s="15"/>
      <c r="BC214" s="25"/>
      <c r="BD214" s="23"/>
      <c r="BE214" s="15"/>
      <c r="BF214" s="14"/>
      <c r="BG214" s="23"/>
      <c r="BH214" s="15"/>
      <c r="BI214" s="25"/>
      <c r="BJ214" s="23"/>
      <c r="BK214" s="15"/>
      <c r="BL214" s="14"/>
      <c r="BM214" s="23"/>
      <c r="BN214" s="15"/>
      <c r="BO214" s="25"/>
      <c r="BP214" s="23"/>
      <c r="BQ214" s="15"/>
      <c r="BR214" s="14"/>
      <c r="BS214" s="23"/>
      <c r="BT214" s="15"/>
      <c r="BU214" s="25"/>
      <c r="BV214" s="23"/>
      <c r="BW214" s="15"/>
      <c r="BX214" s="14"/>
      <c r="BY214" s="23"/>
      <c r="BZ214" s="15"/>
    </row>
    <row r="215" customFormat="false" ht="15" hidden="false" customHeight="false" outlineLevel="0" collapsed="false">
      <c r="A215" s="14"/>
      <c r="B215" s="17" t="str">
        <f aca="false">IF($A215="","",IFERROR(INDEX(Policy!$B$2:$B$301,MATCH($A215,Policy!$A$2:$A$301,0)),"MRO không có"))</f>
        <v/>
      </c>
      <c r="C215" s="17" t="str">
        <f aca="false">IF($A215="","",IFERROR(INDEX(Policy!$E$2:$E$301,MATCH($A215,Policy!$A$2:$A$301,0)),"MRO không có"))</f>
        <v/>
      </c>
      <c r="D215" s="14"/>
      <c r="E215" s="15"/>
      <c r="F215" s="15"/>
      <c r="G215" s="25"/>
      <c r="H215" s="23"/>
      <c r="I215" s="15"/>
      <c r="J215" s="14"/>
      <c r="K215" s="23"/>
      <c r="L215" s="15"/>
      <c r="M215" s="25"/>
      <c r="N215" s="23"/>
      <c r="O215" s="15"/>
      <c r="P215" s="14"/>
      <c r="Q215" s="23"/>
      <c r="R215" s="15"/>
      <c r="S215" s="25"/>
      <c r="T215" s="23"/>
      <c r="U215" s="15"/>
      <c r="V215" s="14"/>
      <c r="W215" s="23"/>
      <c r="X215" s="15"/>
      <c r="Y215" s="25"/>
      <c r="Z215" s="23"/>
      <c r="AA215" s="15"/>
      <c r="AB215" s="14"/>
      <c r="AC215" s="23"/>
      <c r="AD215" s="15"/>
      <c r="AE215" s="25"/>
      <c r="AF215" s="23"/>
      <c r="AG215" s="15"/>
      <c r="AH215" s="14"/>
      <c r="AI215" s="23"/>
      <c r="AJ215" s="15"/>
      <c r="AK215" s="25"/>
      <c r="AL215" s="23"/>
      <c r="AM215" s="15"/>
      <c r="AN215" s="14"/>
      <c r="AO215" s="23"/>
      <c r="AP215" s="15"/>
      <c r="AQ215" s="25"/>
      <c r="AR215" s="23"/>
      <c r="AS215" s="15"/>
      <c r="AT215" s="14"/>
      <c r="AU215" s="23"/>
      <c r="AV215" s="15"/>
      <c r="AW215" s="25"/>
      <c r="AX215" s="23"/>
      <c r="AY215" s="15"/>
      <c r="AZ215" s="14"/>
      <c r="BA215" s="23"/>
      <c r="BB215" s="15"/>
      <c r="BC215" s="25"/>
      <c r="BD215" s="23"/>
      <c r="BE215" s="15"/>
      <c r="BF215" s="14"/>
      <c r="BG215" s="23"/>
      <c r="BH215" s="15"/>
      <c r="BI215" s="25"/>
      <c r="BJ215" s="23"/>
      <c r="BK215" s="15"/>
      <c r="BL215" s="14"/>
      <c r="BM215" s="23"/>
      <c r="BN215" s="15"/>
      <c r="BO215" s="25"/>
      <c r="BP215" s="23"/>
      <c r="BQ215" s="15"/>
      <c r="BR215" s="14"/>
      <c r="BS215" s="23"/>
      <c r="BT215" s="15"/>
      <c r="BU215" s="25"/>
      <c r="BV215" s="23"/>
      <c r="BW215" s="15"/>
      <c r="BX215" s="14"/>
      <c r="BY215" s="23"/>
      <c r="BZ215" s="15"/>
    </row>
    <row r="216" customFormat="false" ht="15" hidden="false" customHeight="false" outlineLevel="0" collapsed="false">
      <c r="A216" s="14"/>
      <c r="B216" s="17" t="str">
        <f aca="false">IF($A216="","",IFERROR(INDEX(Policy!$B$2:$B$301,MATCH($A216,Policy!$A$2:$A$301,0)),"MRO không có"))</f>
        <v/>
      </c>
      <c r="C216" s="17" t="str">
        <f aca="false">IF($A216="","",IFERROR(INDEX(Policy!$E$2:$E$301,MATCH($A216,Policy!$A$2:$A$301,0)),"MRO không có"))</f>
        <v/>
      </c>
      <c r="D216" s="14"/>
      <c r="E216" s="15"/>
      <c r="F216" s="15"/>
      <c r="G216" s="25"/>
      <c r="H216" s="23"/>
      <c r="I216" s="15"/>
      <c r="J216" s="14"/>
      <c r="K216" s="23"/>
      <c r="L216" s="15"/>
      <c r="M216" s="25"/>
      <c r="N216" s="23"/>
      <c r="O216" s="15"/>
      <c r="P216" s="14"/>
      <c r="Q216" s="23"/>
      <c r="R216" s="15"/>
      <c r="S216" s="25"/>
      <c r="T216" s="23"/>
      <c r="U216" s="15"/>
      <c r="V216" s="14"/>
      <c r="W216" s="23"/>
      <c r="X216" s="15"/>
      <c r="Y216" s="25"/>
      <c r="Z216" s="23"/>
      <c r="AA216" s="15"/>
      <c r="AB216" s="14"/>
      <c r="AC216" s="23"/>
      <c r="AD216" s="15"/>
      <c r="AE216" s="25"/>
      <c r="AF216" s="23"/>
      <c r="AG216" s="15"/>
      <c r="AH216" s="14"/>
      <c r="AI216" s="23"/>
      <c r="AJ216" s="15"/>
      <c r="AK216" s="25"/>
      <c r="AL216" s="23"/>
      <c r="AM216" s="15"/>
      <c r="AN216" s="14"/>
      <c r="AO216" s="23"/>
      <c r="AP216" s="15"/>
      <c r="AQ216" s="25"/>
      <c r="AR216" s="23"/>
      <c r="AS216" s="15"/>
      <c r="AT216" s="14"/>
      <c r="AU216" s="23"/>
      <c r="AV216" s="15"/>
      <c r="AW216" s="25"/>
      <c r="AX216" s="23"/>
      <c r="AY216" s="15"/>
      <c r="AZ216" s="14"/>
      <c r="BA216" s="23"/>
      <c r="BB216" s="15"/>
      <c r="BC216" s="25"/>
      <c r="BD216" s="23"/>
      <c r="BE216" s="15"/>
      <c r="BF216" s="14"/>
      <c r="BG216" s="23"/>
      <c r="BH216" s="15"/>
      <c r="BI216" s="25"/>
      <c r="BJ216" s="23"/>
      <c r="BK216" s="15"/>
      <c r="BL216" s="14"/>
      <c r="BM216" s="23"/>
      <c r="BN216" s="15"/>
      <c r="BO216" s="25"/>
      <c r="BP216" s="23"/>
      <c r="BQ216" s="15"/>
      <c r="BR216" s="14"/>
      <c r="BS216" s="23"/>
      <c r="BT216" s="15"/>
      <c r="BU216" s="25"/>
      <c r="BV216" s="23"/>
      <c r="BW216" s="15"/>
      <c r="BX216" s="14"/>
      <c r="BY216" s="23"/>
      <c r="BZ216" s="15"/>
    </row>
    <row r="217" customFormat="false" ht="15" hidden="false" customHeight="false" outlineLevel="0" collapsed="false">
      <c r="A217" s="14"/>
      <c r="B217" s="17" t="str">
        <f aca="false">IF($A217="","",IFERROR(INDEX(Policy!$B$2:$B$301,MATCH($A217,Policy!$A$2:$A$301,0)),"MRO không có"))</f>
        <v/>
      </c>
      <c r="C217" s="17" t="str">
        <f aca="false">IF($A217="","",IFERROR(INDEX(Policy!$E$2:$E$301,MATCH($A217,Policy!$A$2:$A$301,0)),"MRO không có"))</f>
        <v/>
      </c>
      <c r="D217" s="14"/>
      <c r="E217" s="15"/>
      <c r="F217" s="15"/>
      <c r="G217" s="25"/>
      <c r="H217" s="23"/>
      <c r="I217" s="15"/>
      <c r="J217" s="14"/>
      <c r="K217" s="23"/>
      <c r="L217" s="15"/>
      <c r="M217" s="25"/>
      <c r="N217" s="23"/>
      <c r="O217" s="15"/>
      <c r="P217" s="14"/>
      <c r="Q217" s="23"/>
      <c r="R217" s="15"/>
      <c r="S217" s="25"/>
      <c r="T217" s="23"/>
      <c r="U217" s="15"/>
      <c r="V217" s="14"/>
      <c r="W217" s="23"/>
      <c r="X217" s="15"/>
      <c r="Y217" s="25"/>
      <c r="Z217" s="23"/>
      <c r="AA217" s="15"/>
      <c r="AB217" s="14"/>
      <c r="AC217" s="23"/>
      <c r="AD217" s="15"/>
      <c r="AE217" s="25"/>
      <c r="AF217" s="23"/>
      <c r="AG217" s="15"/>
      <c r="AH217" s="14"/>
      <c r="AI217" s="23"/>
      <c r="AJ217" s="15"/>
      <c r="AK217" s="25"/>
      <c r="AL217" s="23"/>
      <c r="AM217" s="15"/>
      <c r="AN217" s="14"/>
      <c r="AO217" s="23"/>
      <c r="AP217" s="15"/>
      <c r="AQ217" s="25"/>
      <c r="AR217" s="23"/>
      <c r="AS217" s="15"/>
      <c r="AT217" s="14"/>
      <c r="AU217" s="23"/>
      <c r="AV217" s="15"/>
      <c r="AW217" s="25"/>
      <c r="AX217" s="23"/>
      <c r="AY217" s="15"/>
      <c r="AZ217" s="14"/>
      <c r="BA217" s="23"/>
      <c r="BB217" s="15"/>
      <c r="BC217" s="25"/>
      <c r="BD217" s="23"/>
      <c r="BE217" s="15"/>
      <c r="BF217" s="14"/>
      <c r="BG217" s="23"/>
      <c r="BH217" s="15"/>
      <c r="BI217" s="25"/>
      <c r="BJ217" s="23"/>
      <c r="BK217" s="15"/>
      <c r="BL217" s="14"/>
      <c r="BM217" s="23"/>
      <c r="BN217" s="15"/>
      <c r="BO217" s="25"/>
      <c r="BP217" s="23"/>
      <c r="BQ217" s="15"/>
      <c r="BR217" s="14"/>
      <c r="BS217" s="23"/>
      <c r="BT217" s="15"/>
      <c r="BU217" s="25"/>
      <c r="BV217" s="23"/>
      <c r="BW217" s="15"/>
      <c r="BX217" s="14"/>
      <c r="BY217" s="23"/>
      <c r="BZ217" s="15"/>
    </row>
    <row r="218" customFormat="false" ht="15" hidden="false" customHeight="false" outlineLevel="0" collapsed="false">
      <c r="A218" s="14"/>
      <c r="B218" s="17" t="str">
        <f aca="false">IF($A218="","",IFERROR(INDEX(Policy!$B$2:$B$301,MATCH($A218,Policy!$A$2:$A$301,0)),"MRO không có"))</f>
        <v/>
      </c>
      <c r="C218" s="17" t="str">
        <f aca="false">IF($A218="","",IFERROR(INDEX(Policy!$E$2:$E$301,MATCH($A218,Policy!$A$2:$A$301,0)),"MRO không có"))</f>
        <v/>
      </c>
      <c r="D218" s="14"/>
      <c r="E218" s="15"/>
      <c r="F218" s="15"/>
      <c r="G218" s="25"/>
      <c r="H218" s="23"/>
      <c r="I218" s="15"/>
      <c r="J218" s="14"/>
      <c r="K218" s="23"/>
      <c r="L218" s="15"/>
      <c r="M218" s="25"/>
      <c r="N218" s="23"/>
      <c r="O218" s="15"/>
      <c r="P218" s="14"/>
      <c r="Q218" s="23"/>
      <c r="R218" s="15"/>
      <c r="S218" s="25"/>
      <c r="T218" s="23"/>
      <c r="U218" s="15"/>
      <c r="V218" s="14"/>
      <c r="W218" s="23"/>
      <c r="X218" s="15"/>
      <c r="Y218" s="25"/>
      <c r="Z218" s="23"/>
      <c r="AA218" s="15"/>
      <c r="AB218" s="14"/>
      <c r="AC218" s="23"/>
      <c r="AD218" s="15"/>
      <c r="AE218" s="25"/>
      <c r="AF218" s="23"/>
      <c r="AG218" s="15"/>
      <c r="AH218" s="14"/>
      <c r="AI218" s="23"/>
      <c r="AJ218" s="15"/>
      <c r="AK218" s="25"/>
      <c r="AL218" s="23"/>
      <c r="AM218" s="15"/>
      <c r="AN218" s="14"/>
      <c r="AO218" s="23"/>
      <c r="AP218" s="15"/>
      <c r="AQ218" s="25"/>
      <c r="AR218" s="23"/>
      <c r="AS218" s="15"/>
      <c r="AT218" s="14"/>
      <c r="AU218" s="23"/>
      <c r="AV218" s="15"/>
      <c r="AW218" s="25"/>
      <c r="AX218" s="23"/>
      <c r="AY218" s="15"/>
      <c r="AZ218" s="14"/>
      <c r="BA218" s="23"/>
      <c r="BB218" s="15"/>
      <c r="BC218" s="25"/>
      <c r="BD218" s="23"/>
      <c r="BE218" s="15"/>
      <c r="BF218" s="14"/>
      <c r="BG218" s="23"/>
      <c r="BH218" s="15"/>
      <c r="BI218" s="25"/>
      <c r="BJ218" s="23"/>
      <c r="BK218" s="15"/>
      <c r="BL218" s="14"/>
      <c r="BM218" s="23"/>
      <c r="BN218" s="15"/>
      <c r="BO218" s="25"/>
      <c r="BP218" s="23"/>
      <c r="BQ218" s="15"/>
      <c r="BR218" s="14"/>
      <c r="BS218" s="23"/>
      <c r="BT218" s="15"/>
      <c r="BU218" s="25"/>
      <c r="BV218" s="23"/>
      <c r="BW218" s="15"/>
      <c r="BX218" s="14"/>
      <c r="BY218" s="23"/>
      <c r="BZ218" s="15"/>
    </row>
    <row r="219" customFormat="false" ht="15" hidden="false" customHeight="false" outlineLevel="0" collapsed="false">
      <c r="A219" s="14"/>
      <c r="B219" s="17" t="str">
        <f aca="false">IF($A219="","",IFERROR(INDEX(Policy!$B$2:$B$301,MATCH($A219,Policy!$A$2:$A$301,0)),"MRO không có"))</f>
        <v/>
      </c>
      <c r="C219" s="17" t="str">
        <f aca="false">IF($A219="","",IFERROR(INDEX(Policy!$E$2:$E$301,MATCH($A219,Policy!$A$2:$A$301,0)),"MRO không có"))</f>
        <v/>
      </c>
      <c r="D219" s="14"/>
      <c r="E219" s="15"/>
      <c r="F219" s="15"/>
      <c r="G219" s="25"/>
      <c r="H219" s="23"/>
      <c r="I219" s="15"/>
      <c r="J219" s="14"/>
      <c r="K219" s="23"/>
      <c r="L219" s="15"/>
      <c r="M219" s="25"/>
      <c r="N219" s="23"/>
      <c r="O219" s="15"/>
      <c r="P219" s="14"/>
      <c r="Q219" s="23"/>
      <c r="R219" s="15"/>
      <c r="S219" s="25"/>
      <c r="T219" s="23"/>
      <c r="U219" s="15"/>
      <c r="V219" s="14"/>
      <c r="W219" s="23"/>
      <c r="X219" s="15"/>
      <c r="Y219" s="25"/>
      <c r="Z219" s="23"/>
      <c r="AA219" s="15"/>
      <c r="AB219" s="14"/>
      <c r="AC219" s="23"/>
      <c r="AD219" s="15"/>
      <c r="AE219" s="25"/>
      <c r="AF219" s="23"/>
      <c r="AG219" s="15"/>
      <c r="AH219" s="14"/>
      <c r="AI219" s="23"/>
      <c r="AJ219" s="15"/>
      <c r="AK219" s="25"/>
      <c r="AL219" s="23"/>
      <c r="AM219" s="15"/>
      <c r="AN219" s="14"/>
      <c r="AO219" s="23"/>
      <c r="AP219" s="15"/>
      <c r="AQ219" s="25"/>
      <c r="AR219" s="23"/>
      <c r="AS219" s="15"/>
      <c r="AT219" s="14"/>
      <c r="AU219" s="23"/>
      <c r="AV219" s="15"/>
      <c r="AW219" s="25"/>
      <c r="AX219" s="23"/>
      <c r="AY219" s="15"/>
      <c r="AZ219" s="14"/>
      <c r="BA219" s="23"/>
      <c r="BB219" s="15"/>
      <c r="BC219" s="25"/>
      <c r="BD219" s="23"/>
      <c r="BE219" s="15"/>
      <c r="BF219" s="14"/>
      <c r="BG219" s="23"/>
      <c r="BH219" s="15"/>
      <c r="BI219" s="25"/>
      <c r="BJ219" s="23"/>
      <c r="BK219" s="15"/>
      <c r="BL219" s="14"/>
      <c r="BM219" s="23"/>
      <c r="BN219" s="15"/>
      <c r="BO219" s="25"/>
      <c r="BP219" s="23"/>
      <c r="BQ219" s="15"/>
      <c r="BR219" s="14"/>
      <c r="BS219" s="23"/>
      <c r="BT219" s="15"/>
      <c r="BU219" s="25"/>
      <c r="BV219" s="23"/>
      <c r="BW219" s="15"/>
      <c r="BX219" s="14"/>
      <c r="BY219" s="23"/>
      <c r="BZ219" s="15"/>
    </row>
    <row r="220" customFormat="false" ht="15" hidden="false" customHeight="false" outlineLevel="0" collapsed="false">
      <c r="A220" s="14"/>
      <c r="B220" s="17" t="str">
        <f aca="false">IF($A220="","",IFERROR(INDEX(Policy!$B$2:$B$301,MATCH($A220,Policy!$A$2:$A$301,0)),"MRO không có"))</f>
        <v/>
      </c>
      <c r="C220" s="17" t="str">
        <f aca="false">IF($A220="","",IFERROR(INDEX(Policy!$E$2:$E$301,MATCH($A220,Policy!$A$2:$A$301,0)),"MRO không có"))</f>
        <v/>
      </c>
      <c r="D220" s="14"/>
      <c r="E220" s="15"/>
      <c r="F220" s="15"/>
      <c r="G220" s="25"/>
      <c r="H220" s="23"/>
      <c r="I220" s="15"/>
      <c r="J220" s="14"/>
      <c r="K220" s="23"/>
      <c r="L220" s="15"/>
      <c r="M220" s="25"/>
      <c r="N220" s="23"/>
      <c r="O220" s="15"/>
      <c r="P220" s="14"/>
      <c r="Q220" s="23"/>
      <c r="R220" s="15"/>
      <c r="S220" s="25"/>
      <c r="T220" s="23"/>
      <c r="U220" s="15"/>
      <c r="V220" s="14"/>
      <c r="W220" s="23"/>
      <c r="X220" s="15"/>
      <c r="Y220" s="25"/>
      <c r="Z220" s="23"/>
      <c r="AA220" s="15"/>
      <c r="AB220" s="14"/>
      <c r="AC220" s="23"/>
      <c r="AD220" s="15"/>
      <c r="AE220" s="25"/>
      <c r="AF220" s="23"/>
      <c r="AG220" s="15"/>
      <c r="AH220" s="14"/>
      <c r="AI220" s="23"/>
      <c r="AJ220" s="15"/>
      <c r="AK220" s="25"/>
      <c r="AL220" s="23"/>
      <c r="AM220" s="15"/>
      <c r="AN220" s="14"/>
      <c r="AO220" s="23"/>
      <c r="AP220" s="15"/>
      <c r="AQ220" s="25"/>
      <c r="AR220" s="23"/>
      <c r="AS220" s="15"/>
      <c r="AT220" s="14"/>
      <c r="AU220" s="23"/>
      <c r="AV220" s="15"/>
      <c r="AW220" s="25"/>
      <c r="AX220" s="23"/>
      <c r="AY220" s="15"/>
      <c r="AZ220" s="14"/>
      <c r="BA220" s="23"/>
      <c r="BB220" s="15"/>
      <c r="BC220" s="25"/>
      <c r="BD220" s="23"/>
      <c r="BE220" s="15"/>
      <c r="BF220" s="14"/>
      <c r="BG220" s="23"/>
      <c r="BH220" s="15"/>
      <c r="BI220" s="25"/>
      <c r="BJ220" s="23"/>
      <c r="BK220" s="15"/>
      <c r="BL220" s="14"/>
      <c r="BM220" s="23"/>
      <c r="BN220" s="15"/>
      <c r="BO220" s="25"/>
      <c r="BP220" s="23"/>
      <c r="BQ220" s="15"/>
      <c r="BR220" s="14"/>
      <c r="BS220" s="23"/>
      <c r="BT220" s="15"/>
      <c r="BU220" s="25"/>
      <c r="BV220" s="23"/>
      <c r="BW220" s="15"/>
      <c r="BX220" s="14"/>
      <c r="BY220" s="23"/>
      <c r="BZ220" s="15"/>
    </row>
    <row r="221" customFormat="false" ht="15" hidden="false" customHeight="false" outlineLevel="0" collapsed="false">
      <c r="A221" s="14"/>
      <c r="B221" s="17" t="str">
        <f aca="false">IF($A221="","",IFERROR(INDEX(Policy!$B$2:$B$301,MATCH($A221,Policy!$A$2:$A$301,0)),"MRO không có"))</f>
        <v/>
      </c>
      <c r="C221" s="17" t="str">
        <f aca="false">IF($A221="","",IFERROR(INDEX(Policy!$E$2:$E$301,MATCH($A221,Policy!$A$2:$A$301,0)),"MRO không có"))</f>
        <v/>
      </c>
      <c r="D221" s="14"/>
      <c r="E221" s="15"/>
      <c r="F221" s="15"/>
      <c r="G221" s="25"/>
      <c r="H221" s="23"/>
      <c r="I221" s="15"/>
      <c r="J221" s="14"/>
      <c r="K221" s="23"/>
      <c r="L221" s="15"/>
      <c r="M221" s="25"/>
      <c r="N221" s="23"/>
      <c r="O221" s="15"/>
      <c r="P221" s="14"/>
      <c r="Q221" s="23"/>
      <c r="R221" s="15"/>
      <c r="S221" s="25"/>
      <c r="T221" s="23"/>
      <c r="U221" s="15"/>
      <c r="V221" s="14"/>
      <c r="W221" s="23"/>
      <c r="X221" s="15"/>
      <c r="Y221" s="25"/>
      <c r="Z221" s="23"/>
      <c r="AA221" s="15"/>
      <c r="AB221" s="14"/>
      <c r="AC221" s="23"/>
      <c r="AD221" s="15"/>
      <c r="AE221" s="25"/>
      <c r="AF221" s="23"/>
      <c r="AG221" s="15"/>
      <c r="AH221" s="14"/>
      <c r="AI221" s="23"/>
      <c r="AJ221" s="15"/>
      <c r="AK221" s="25"/>
      <c r="AL221" s="23"/>
      <c r="AM221" s="15"/>
      <c r="AN221" s="14"/>
      <c r="AO221" s="23"/>
      <c r="AP221" s="15"/>
      <c r="AQ221" s="25"/>
      <c r="AR221" s="23"/>
      <c r="AS221" s="15"/>
      <c r="AT221" s="14"/>
      <c r="AU221" s="23"/>
      <c r="AV221" s="15"/>
      <c r="AW221" s="25"/>
      <c r="AX221" s="23"/>
      <c r="AY221" s="15"/>
      <c r="AZ221" s="14"/>
      <c r="BA221" s="23"/>
      <c r="BB221" s="15"/>
      <c r="BC221" s="25"/>
      <c r="BD221" s="23"/>
      <c r="BE221" s="15"/>
      <c r="BF221" s="14"/>
      <c r="BG221" s="23"/>
      <c r="BH221" s="15"/>
      <c r="BI221" s="25"/>
      <c r="BJ221" s="23"/>
      <c r="BK221" s="15"/>
      <c r="BL221" s="14"/>
      <c r="BM221" s="23"/>
      <c r="BN221" s="15"/>
      <c r="BO221" s="25"/>
      <c r="BP221" s="23"/>
      <c r="BQ221" s="15"/>
      <c r="BR221" s="14"/>
      <c r="BS221" s="23"/>
      <c r="BT221" s="15"/>
      <c r="BU221" s="25"/>
      <c r="BV221" s="23"/>
      <c r="BW221" s="15"/>
      <c r="BX221" s="14"/>
      <c r="BY221" s="23"/>
      <c r="BZ221" s="15"/>
    </row>
    <row r="222" customFormat="false" ht="15" hidden="false" customHeight="false" outlineLevel="0" collapsed="false">
      <c r="A222" s="14"/>
      <c r="B222" s="17" t="str">
        <f aca="false">IF($A222="","",IFERROR(INDEX(Policy!$B$2:$B$301,MATCH($A222,Policy!$A$2:$A$301,0)),"MRO không có"))</f>
        <v/>
      </c>
      <c r="C222" s="17" t="str">
        <f aca="false">IF($A222="","",IFERROR(INDEX(Policy!$E$2:$E$301,MATCH($A222,Policy!$A$2:$A$301,0)),"MRO không có"))</f>
        <v/>
      </c>
      <c r="D222" s="14"/>
      <c r="E222" s="15"/>
      <c r="F222" s="15"/>
      <c r="G222" s="25"/>
      <c r="H222" s="23"/>
      <c r="I222" s="15"/>
      <c r="J222" s="14"/>
      <c r="K222" s="23"/>
      <c r="L222" s="15"/>
      <c r="M222" s="25"/>
      <c r="N222" s="23"/>
      <c r="O222" s="15"/>
      <c r="P222" s="14"/>
      <c r="Q222" s="23"/>
      <c r="R222" s="15"/>
      <c r="S222" s="25"/>
      <c r="T222" s="23"/>
      <c r="U222" s="15"/>
      <c r="V222" s="14"/>
      <c r="W222" s="23"/>
      <c r="X222" s="15"/>
      <c r="Y222" s="25"/>
      <c r="Z222" s="23"/>
      <c r="AA222" s="15"/>
      <c r="AB222" s="14"/>
      <c r="AC222" s="23"/>
      <c r="AD222" s="15"/>
      <c r="AE222" s="25"/>
      <c r="AF222" s="23"/>
      <c r="AG222" s="15"/>
      <c r="AH222" s="14"/>
      <c r="AI222" s="23"/>
      <c r="AJ222" s="15"/>
      <c r="AK222" s="25"/>
      <c r="AL222" s="23"/>
      <c r="AM222" s="15"/>
      <c r="AN222" s="14"/>
      <c r="AO222" s="23"/>
      <c r="AP222" s="15"/>
      <c r="AQ222" s="25"/>
      <c r="AR222" s="23"/>
      <c r="AS222" s="15"/>
      <c r="AT222" s="14"/>
      <c r="AU222" s="23"/>
      <c r="AV222" s="15"/>
      <c r="AW222" s="25"/>
      <c r="AX222" s="23"/>
      <c r="AY222" s="15"/>
      <c r="AZ222" s="14"/>
      <c r="BA222" s="23"/>
      <c r="BB222" s="15"/>
      <c r="BC222" s="25"/>
      <c r="BD222" s="23"/>
      <c r="BE222" s="15"/>
      <c r="BF222" s="14"/>
      <c r="BG222" s="23"/>
      <c r="BH222" s="15"/>
      <c r="BI222" s="25"/>
      <c r="BJ222" s="23"/>
      <c r="BK222" s="15"/>
      <c r="BL222" s="14"/>
      <c r="BM222" s="23"/>
      <c r="BN222" s="15"/>
      <c r="BO222" s="25"/>
      <c r="BP222" s="23"/>
      <c r="BQ222" s="15"/>
      <c r="BR222" s="14"/>
      <c r="BS222" s="23"/>
      <c r="BT222" s="15"/>
      <c r="BU222" s="25"/>
      <c r="BV222" s="23"/>
      <c r="BW222" s="15"/>
      <c r="BX222" s="14"/>
      <c r="BY222" s="23"/>
      <c r="BZ222" s="15"/>
    </row>
    <row r="223" customFormat="false" ht="15" hidden="false" customHeight="false" outlineLevel="0" collapsed="false">
      <c r="A223" s="14"/>
      <c r="B223" s="17" t="str">
        <f aca="false">IF($A223="","",IFERROR(INDEX(Policy!$B$2:$B$301,MATCH($A223,Policy!$A$2:$A$301,0)),"MRO không có"))</f>
        <v/>
      </c>
      <c r="C223" s="17" t="str">
        <f aca="false">IF($A223="","",IFERROR(INDEX(Policy!$E$2:$E$301,MATCH($A223,Policy!$A$2:$A$301,0)),"MRO không có"))</f>
        <v/>
      </c>
      <c r="D223" s="14"/>
      <c r="E223" s="15"/>
      <c r="F223" s="15"/>
      <c r="G223" s="25"/>
      <c r="H223" s="23"/>
      <c r="I223" s="15"/>
      <c r="J223" s="14"/>
      <c r="K223" s="23"/>
      <c r="L223" s="15"/>
      <c r="M223" s="25"/>
      <c r="N223" s="23"/>
      <c r="O223" s="15"/>
      <c r="P223" s="14"/>
      <c r="Q223" s="23"/>
      <c r="R223" s="15"/>
      <c r="S223" s="25"/>
      <c r="T223" s="23"/>
      <c r="U223" s="15"/>
      <c r="V223" s="14"/>
      <c r="W223" s="23"/>
      <c r="X223" s="15"/>
      <c r="Y223" s="25"/>
      <c r="Z223" s="23"/>
      <c r="AA223" s="15"/>
      <c r="AB223" s="14"/>
      <c r="AC223" s="23"/>
      <c r="AD223" s="15"/>
      <c r="AE223" s="25"/>
      <c r="AF223" s="23"/>
      <c r="AG223" s="15"/>
      <c r="AH223" s="14"/>
      <c r="AI223" s="23"/>
      <c r="AJ223" s="15"/>
      <c r="AK223" s="25"/>
      <c r="AL223" s="23"/>
      <c r="AM223" s="15"/>
      <c r="AN223" s="14"/>
      <c r="AO223" s="23"/>
      <c r="AP223" s="15"/>
      <c r="AQ223" s="25"/>
      <c r="AR223" s="23"/>
      <c r="AS223" s="15"/>
      <c r="AT223" s="14"/>
      <c r="AU223" s="23"/>
      <c r="AV223" s="15"/>
      <c r="AW223" s="25"/>
      <c r="AX223" s="23"/>
      <c r="AY223" s="15"/>
      <c r="AZ223" s="14"/>
      <c r="BA223" s="23"/>
      <c r="BB223" s="15"/>
      <c r="BC223" s="25"/>
      <c r="BD223" s="23"/>
      <c r="BE223" s="15"/>
      <c r="BF223" s="14"/>
      <c r="BG223" s="23"/>
      <c r="BH223" s="15"/>
      <c r="BI223" s="25"/>
      <c r="BJ223" s="23"/>
      <c r="BK223" s="15"/>
      <c r="BL223" s="14"/>
      <c r="BM223" s="23"/>
      <c r="BN223" s="15"/>
      <c r="BO223" s="25"/>
      <c r="BP223" s="23"/>
      <c r="BQ223" s="15"/>
      <c r="BR223" s="14"/>
      <c r="BS223" s="23"/>
      <c r="BT223" s="15"/>
      <c r="BU223" s="25"/>
      <c r="BV223" s="23"/>
      <c r="BW223" s="15"/>
      <c r="BX223" s="14"/>
      <c r="BY223" s="23"/>
      <c r="BZ223" s="15"/>
    </row>
    <row r="224" customFormat="false" ht="15" hidden="false" customHeight="false" outlineLevel="0" collapsed="false">
      <c r="A224" s="14"/>
      <c r="B224" s="17" t="str">
        <f aca="false">IF($A224="","",IFERROR(INDEX(Policy!$B$2:$B$301,MATCH($A224,Policy!$A$2:$A$301,0)),"MRO không có"))</f>
        <v/>
      </c>
      <c r="C224" s="17" t="str">
        <f aca="false">IF($A224="","",IFERROR(INDEX(Policy!$E$2:$E$301,MATCH($A224,Policy!$A$2:$A$301,0)),"MRO không có"))</f>
        <v/>
      </c>
      <c r="D224" s="14"/>
      <c r="E224" s="15"/>
      <c r="F224" s="15"/>
      <c r="G224" s="25"/>
      <c r="H224" s="23"/>
      <c r="I224" s="15"/>
      <c r="J224" s="14"/>
      <c r="K224" s="23"/>
      <c r="L224" s="15"/>
      <c r="M224" s="25"/>
      <c r="N224" s="23"/>
      <c r="O224" s="15"/>
      <c r="P224" s="14"/>
      <c r="Q224" s="23"/>
      <c r="R224" s="15"/>
      <c r="S224" s="25"/>
      <c r="T224" s="23"/>
      <c r="U224" s="15"/>
      <c r="V224" s="14"/>
      <c r="W224" s="23"/>
      <c r="X224" s="15"/>
      <c r="Y224" s="25"/>
      <c r="Z224" s="23"/>
      <c r="AA224" s="15"/>
      <c r="AB224" s="14"/>
      <c r="AC224" s="23"/>
      <c r="AD224" s="15"/>
      <c r="AE224" s="25"/>
      <c r="AF224" s="23"/>
      <c r="AG224" s="15"/>
      <c r="AH224" s="14"/>
      <c r="AI224" s="23"/>
      <c r="AJ224" s="15"/>
      <c r="AK224" s="25"/>
      <c r="AL224" s="23"/>
      <c r="AM224" s="15"/>
      <c r="AN224" s="14"/>
      <c r="AO224" s="23"/>
      <c r="AP224" s="15"/>
      <c r="AQ224" s="25"/>
      <c r="AR224" s="23"/>
      <c r="AS224" s="15"/>
      <c r="AT224" s="14"/>
      <c r="AU224" s="23"/>
      <c r="AV224" s="15"/>
      <c r="AW224" s="25"/>
      <c r="AX224" s="23"/>
      <c r="AY224" s="15"/>
      <c r="AZ224" s="14"/>
      <c r="BA224" s="23"/>
      <c r="BB224" s="15"/>
      <c r="BC224" s="25"/>
      <c r="BD224" s="23"/>
      <c r="BE224" s="15"/>
      <c r="BF224" s="14"/>
      <c r="BG224" s="23"/>
      <c r="BH224" s="15"/>
      <c r="BI224" s="25"/>
      <c r="BJ224" s="23"/>
      <c r="BK224" s="15"/>
      <c r="BL224" s="14"/>
      <c r="BM224" s="23"/>
      <c r="BN224" s="15"/>
      <c r="BO224" s="25"/>
      <c r="BP224" s="23"/>
      <c r="BQ224" s="15"/>
      <c r="BR224" s="14"/>
      <c r="BS224" s="23"/>
      <c r="BT224" s="15"/>
      <c r="BU224" s="25"/>
      <c r="BV224" s="23"/>
      <c r="BW224" s="15"/>
      <c r="BX224" s="14"/>
      <c r="BY224" s="23"/>
      <c r="BZ224" s="15"/>
    </row>
    <row r="225" customFormat="false" ht="15" hidden="false" customHeight="false" outlineLevel="0" collapsed="false">
      <c r="A225" s="14"/>
      <c r="B225" s="17" t="str">
        <f aca="false">IF($A225="","",IFERROR(INDEX(Policy!$B$2:$B$301,MATCH($A225,Policy!$A$2:$A$301,0)),"MRO không có"))</f>
        <v/>
      </c>
      <c r="C225" s="17" t="str">
        <f aca="false">IF($A225="","",IFERROR(INDEX(Policy!$E$2:$E$301,MATCH($A225,Policy!$A$2:$A$301,0)),"MRO không có"))</f>
        <v/>
      </c>
      <c r="D225" s="14"/>
      <c r="E225" s="15"/>
      <c r="F225" s="15"/>
      <c r="G225" s="25"/>
      <c r="H225" s="23"/>
      <c r="I225" s="15"/>
      <c r="J225" s="14"/>
      <c r="K225" s="23"/>
      <c r="L225" s="15"/>
      <c r="M225" s="25"/>
      <c r="N225" s="23"/>
      <c r="O225" s="15"/>
      <c r="P225" s="14"/>
      <c r="Q225" s="23"/>
      <c r="R225" s="15"/>
      <c r="S225" s="25"/>
      <c r="T225" s="23"/>
      <c r="U225" s="15"/>
      <c r="V225" s="14"/>
      <c r="W225" s="23"/>
      <c r="X225" s="15"/>
      <c r="Y225" s="25"/>
      <c r="Z225" s="23"/>
      <c r="AA225" s="15"/>
      <c r="AB225" s="14"/>
      <c r="AC225" s="23"/>
      <c r="AD225" s="15"/>
      <c r="AE225" s="25"/>
      <c r="AF225" s="23"/>
      <c r="AG225" s="15"/>
      <c r="AH225" s="14"/>
      <c r="AI225" s="23"/>
      <c r="AJ225" s="15"/>
      <c r="AK225" s="25"/>
      <c r="AL225" s="23"/>
      <c r="AM225" s="15"/>
      <c r="AN225" s="14"/>
      <c r="AO225" s="23"/>
      <c r="AP225" s="15"/>
      <c r="AQ225" s="25"/>
      <c r="AR225" s="23"/>
      <c r="AS225" s="15"/>
      <c r="AT225" s="14"/>
      <c r="AU225" s="23"/>
      <c r="AV225" s="15"/>
      <c r="AW225" s="25"/>
      <c r="AX225" s="23"/>
      <c r="AY225" s="15"/>
      <c r="AZ225" s="14"/>
      <c r="BA225" s="23"/>
      <c r="BB225" s="15"/>
      <c r="BC225" s="25"/>
      <c r="BD225" s="23"/>
      <c r="BE225" s="15"/>
      <c r="BF225" s="14"/>
      <c r="BG225" s="23"/>
      <c r="BH225" s="15"/>
      <c r="BI225" s="25"/>
      <c r="BJ225" s="23"/>
      <c r="BK225" s="15"/>
      <c r="BL225" s="14"/>
      <c r="BM225" s="23"/>
      <c r="BN225" s="15"/>
      <c r="BO225" s="25"/>
      <c r="BP225" s="23"/>
      <c r="BQ225" s="15"/>
      <c r="BR225" s="14"/>
      <c r="BS225" s="23"/>
      <c r="BT225" s="15"/>
      <c r="BU225" s="25"/>
      <c r="BV225" s="23"/>
      <c r="BW225" s="15"/>
      <c r="BX225" s="14"/>
      <c r="BY225" s="23"/>
      <c r="BZ225" s="15"/>
    </row>
    <row r="226" customFormat="false" ht="15" hidden="false" customHeight="false" outlineLevel="0" collapsed="false">
      <c r="A226" s="14"/>
      <c r="B226" s="17" t="str">
        <f aca="false">IF($A226="","",IFERROR(INDEX(Policy!$B$2:$B$301,MATCH($A226,Policy!$A$2:$A$301,0)),"MRO không có"))</f>
        <v/>
      </c>
      <c r="C226" s="17" t="str">
        <f aca="false">IF($A226="","",IFERROR(INDEX(Policy!$E$2:$E$301,MATCH($A226,Policy!$A$2:$A$301,0)),"MRO không có"))</f>
        <v/>
      </c>
      <c r="D226" s="14"/>
      <c r="E226" s="15"/>
      <c r="F226" s="15"/>
      <c r="G226" s="25"/>
      <c r="H226" s="23"/>
      <c r="I226" s="15"/>
      <c r="J226" s="14"/>
      <c r="K226" s="23"/>
      <c r="L226" s="15"/>
      <c r="M226" s="25"/>
      <c r="N226" s="23"/>
      <c r="O226" s="15"/>
      <c r="P226" s="14"/>
      <c r="Q226" s="23"/>
      <c r="R226" s="15"/>
      <c r="S226" s="25"/>
      <c r="T226" s="23"/>
      <c r="U226" s="15"/>
      <c r="V226" s="14"/>
      <c r="W226" s="23"/>
      <c r="X226" s="15"/>
      <c r="Y226" s="25"/>
      <c r="Z226" s="23"/>
      <c r="AA226" s="15"/>
      <c r="AB226" s="14"/>
      <c r="AC226" s="23"/>
      <c r="AD226" s="15"/>
      <c r="AE226" s="25"/>
      <c r="AF226" s="23"/>
      <c r="AG226" s="15"/>
      <c r="AH226" s="14"/>
      <c r="AI226" s="23"/>
      <c r="AJ226" s="15"/>
      <c r="AK226" s="25"/>
      <c r="AL226" s="23"/>
      <c r="AM226" s="15"/>
      <c r="AN226" s="14"/>
      <c r="AO226" s="23"/>
      <c r="AP226" s="15"/>
      <c r="AQ226" s="25"/>
      <c r="AR226" s="23"/>
      <c r="AS226" s="15"/>
      <c r="AT226" s="14"/>
      <c r="AU226" s="23"/>
      <c r="AV226" s="15"/>
      <c r="AW226" s="25"/>
      <c r="AX226" s="23"/>
      <c r="AY226" s="15"/>
      <c r="AZ226" s="14"/>
      <c r="BA226" s="23"/>
      <c r="BB226" s="15"/>
      <c r="BC226" s="25"/>
      <c r="BD226" s="23"/>
      <c r="BE226" s="15"/>
      <c r="BF226" s="14"/>
      <c r="BG226" s="23"/>
      <c r="BH226" s="15"/>
      <c r="BI226" s="25"/>
      <c r="BJ226" s="23"/>
      <c r="BK226" s="15"/>
      <c r="BL226" s="14"/>
      <c r="BM226" s="23"/>
      <c r="BN226" s="15"/>
      <c r="BO226" s="25"/>
      <c r="BP226" s="23"/>
      <c r="BQ226" s="15"/>
      <c r="BR226" s="14"/>
      <c r="BS226" s="23"/>
      <c r="BT226" s="15"/>
      <c r="BU226" s="25"/>
      <c r="BV226" s="23"/>
      <c r="BW226" s="15"/>
      <c r="BX226" s="14"/>
      <c r="BY226" s="23"/>
      <c r="BZ226" s="15"/>
    </row>
    <row r="227" customFormat="false" ht="15" hidden="false" customHeight="false" outlineLevel="0" collapsed="false">
      <c r="A227" s="14"/>
      <c r="B227" s="17" t="str">
        <f aca="false">IF($A227="","",IFERROR(INDEX(Policy!$B$2:$B$301,MATCH($A227,Policy!$A$2:$A$301,0)),"MRO không có"))</f>
        <v/>
      </c>
      <c r="C227" s="17" t="str">
        <f aca="false">IF($A227="","",IFERROR(INDEX(Policy!$E$2:$E$301,MATCH($A227,Policy!$A$2:$A$301,0)),"MRO không có"))</f>
        <v/>
      </c>
      <c r="D227" s="14"/>
      <c r="E227" s="15"/>
      <c r="F227" s="15"/>
      <c r="G227" s="25"/>
      <c r="H227" s="23"/>
      <c r="I227" s="15"/>
      <c r="J227" s="14"/>
      <c r="K227" s="23"/>
      <c r="L227" s="15"/>
      <c r="M227" s="25"/>
      <c r="N227" s="23"/>
      <c r="O227" s="15"/>
      <c r="P227" s="14"/>
      <c r="Q227" s="23"/>
      <c r="R227" s="15"/>
      <c r="S227" s="25"/>
      <c r="T227" s="23"/>
      <c r="U227" s="15"/>
      <c r="V227" s="14"/>
      <c r="W227" s="23"/>
      <c r="X227" s="15"/>
      <c r="Y227" s="25"/>
      <c r="Z227" s="23"/>
      <c r="AA227" s="15"/>
      <c r="AB227" s="14"/>
      <c r="AC227" s="23"/>
      <c r="AD227" s="15"/>
      <c r="AE227" s="25"/>
      <c r="AF227" s="23"/>
      <c r="AG227" s="15"/>
      <c r="AH227" s="14"/>
      <c r="AI227" s="23"/>
      <c r="AJ227" s="15"/>
      <c r="AK227" s="25"/>
      <c r="AL227" s="23"/>
      <c r="AM227" s="15"/>
      <c r="AN227" s="14"/>
      <c r="AO227" s="23"/>
      <c r="AP227" s="15"/>
      <c r="AQ227" s="25"/>
      <c r="AR227" s="23"/>
      <c r="AS227" s="15"/>
      <c r="AT227" s="14"/>
      <c r="AU227" s="23"/>
      <c r="AV227" s="15"/>
      <c r="AW227" s="25"/>
      <c r="AX227" s="23"/>
      <c r="AY227" s="15"/>
      <c r="AZ227" s="14"/>
      <c r="BA227" s="23"/>
      <c r="BB227" s="15"/>
      <c r="BC227" s="25"/>
      <c r="BD227" s="23"/>
      <c r="BE227" s="15"/>
      <c r="BF227" s="14"/>
      <c r="BG227" s="23"/>
      <c r="BH227" s="15"/>
      <c r="BI227" s="25"/>
      <c r="BJ227" s="23"/>
      <c r="BK227" s="15"/>
      <c r="BL227" s="14"/>
      <c r="BM227" s="23"/>
      <c r="BN227" s="15"/>
      <c r="BO227" s="25"/>
      <c r="BP227" s="23"/>
      <c r="BQ227" s="15"/>
      <c r="BR227" s="14"/>
      <c r="BS227" s="23"/>
      <c r="BT227" s="15"/>
      <c r="BU227" s="25"/>
      <c r="BV227" s="23"/>
      <c r="BW227" s="15"/>
      <c r="BX227" s="14"/>
      <c r="BY227" s="23"/>
      <c r="BZ227" s="15"/>
    </row>
    <row r="228" customFormat="false" ht="15" hidden="false" customHeight="false" outlineLevel="0" collapsed="false">
      <c r="A228" s="14"/>
      <c r="B228" s="17" t="str">
        <f aca="false">IF($A228="","",IFERROR(INDEX(Policy!$B$2:$B$301,MATCH($A228,Policy!$A$2:$A$301,0)),"MRO không có"))</f>
        <v/>
      </c>
      <c r="C228" s="17" t="str">
        <f aca="false">IF($A228="","",IFERROR(INDEX(Policy!$E$2:$E$301,MATCH($A228,Policy!$A$2:$A$301,0)),"MRO không có"))</f>
        <v/>
      </c>
      <c r="D228" s="14"/>
      <c r="E228" s="15"/>
      <c r="F228" s="15"/>
      <c r="G228" s="25"/>
      <c r="H228" s="23"/>
      <c r="I228" s="15"/>
      <c r="J228" s="14"/>
      <c r="K228" s="23"/>
      <c r="L228" s="15"/>
      <c r="M228" s="25"/>
      <c r="N228" s="23"/>
      <c r="O228" s="15"/>
      <c r="P228" s="14"/>
      <c r="Q228" s="23"/>
      <c r="R228" s="15"/>
      <c r="S228" s="25"/>
      <c r="T228" s="23"/>
      <c r="U228" s="15"/>
      <c r="V228" s="14"/>
      <c r="W228" s="23"/>
      <c r="X228" s="15"/>
      <c r="Y228" s="25"/>
      <c r="Z228" s="23"/>
      <c r="AA228" s="15"/>
      <c r="AB228" s="14"/>
      <c r="AC228" s="23"/>
      <c r="AD228" s="15"/>
      <c r="AE228" s="25"/>
      <c r="AF228" s="23"/>
      <c r="AG228" s="15"/>
      <c r="AH228" s="14"/>
      <c r="AI228" s="23"/>
      <c r="AJ228" s="15"/>
      <c r="AK228" s="25"/>
      <c r="AL228" s="23"/>
      <c r="AM228" s="15"/>
      <c r="AN228" s="14"/>
      <c r="AO228" s="23"/>
      <c r="AP228" s="15"/>
      <c r="AQ228" s="25"/>
      <c r="AR228" s="23"/>
      <c r="AS228" s="15"/>
      <c r="AT228" s="14"/>
      <c r="AU228" s="23"/>
      <c r="AV228" s="15"/>
      <c r="AW228" s="25"/>
      <c r="AX228" s="23"/>
      <c r="AY228" s="15"/>
      <c r="AZ228" s="14"/>
      <c r="BA228" s="23"/>
      <c r="BB228" s="15"/>
      <c r="BC228" s="25"/>
      <c r="BD228" s="23"/>
      <c r="BE228" s="15"/>
      <c r="BF228" s="14"/>
      <c r="BG228" s="23"/>
      <c r="BH228" s="15"/>
      <c r="BI228" s="25"/>
      <c r="BJ228" s="23"/>
      <c r="BK228" s="15"/>
      <c r="BL228" s="14"/>
      <c r="BM228" s="23"/>
      <c r="BN228" s="15"/>
      <c r="BO228" s="25"/>
      <c r="BP228" s="23"/>
      <c r="BQ228" s="15"/>
      <c r="BR228" s="14"/>
      <c r="BS228" s="23"/>
      <c r="BT228" s="15"/>
      <c r="BU228" s="25"/>
      <c r="BV228" s="23"/>
      <c r="BW228" s="15"/>
      <c r="BX228" s="14"/>
      <c r="BY228" s="23"/>
      <c r="BZ228" s="15"/>
    </row>
    <row r="229" customFormat="false" ht="15" hidden="false" customHeight="false" outlineLevel="0" collapsed="false">
      <c r="A229" s="14"/>
      <c r="B229" s="17" t="str">
        <f aca="false">IF($A229="","",IFERROR(INDEX(Policy!$B$2:$B$301,MATCH($A229,Policy!$A$2:$A$301,0)),"MRO không có"))</f>
        <v/>
      </c>
      <c r="C229" s="17" t="str">
        <f aca="false">IF($A229="","",IFERROR(INDEX(Policy!$E$2:$E$301,MATCH($A229,Policy!$A$2:$A$301,0)),"MRO không có"))</f>
        <v/>
      </c>
      <c r="D229" s="14"/>
      <c r="E229" s="15"/>
      <c r="F229" s="15"/>
      <c r="G229" s="25"/>
      <c r="H229" s="23"/>
      <c r="I229" s="15"/>
      <c r="J229" s="14"/>
      <c r="K229" s="23"/>
      <c r="L229" s="15"/>
      <c r="M229" s="25"/>
      <c r="N229" s="23"/>
      <c r="O229" s="15"/>
      <c r="P229" s="14"/>
      <c r="Q229" s="23"/>
      <c r="R229" s="15"/>
      <c r="S229" s="25"/>
      <c r="T229" s="23"/>
      <c r="U229" s="15"/>
      <c r="V229" s="14"/>
      <c r="W229" s="23"/>
      <c r="X229" s="15"/>
      <c r="Y229" s="25"/>
      <c r="Z229" s="23"/>
      <c r="AA229" s="15"/>
      <c r="AB229" s="14"/>
      <c r="AC229" s="23"/>
      <c r="AD229" s="15"/>
      <c r="AE229" s="25"/>
      <c r="AF229" s="23"/>
      <c r="AG229" s="15"/>
      <c r="AH229" s="14"/>
      <c r="AI229" s="23"/>
      <c r="AJ229" s="15"/>
      <c r="AK229" s="25"/>
      <c r="AL229" s="23"/>
      <c r="AM229" s="15"/>
      <c r="AN229" s="14"/>
      <c r="AO229" s="23"/>
      <c r="AP229" s="15"/>
      <c r="AQ229" s="25"/>
      <c r="AR229" s="23"/>
      <c r="AS229" s="15"/>
      <c r="AT229" s="14"/>
      <c r="AU229" s="23"/>
      <c r="AV229" s="15"/>
      <c r="AW229" s="25"/>
      <c r="AX229" s="23"/>
      <c r="AY229" s="15"/>
      <c r="AZ229" s="14"/>
      <c r="BA229" s="23"/>
      <c r="BB229" s="15"/>
      <c r="BC229" s="25"/>
      <c r="BD229" s="23"/>
      <c r="BE229" s="15"/>
      <c r="BF229" s="14"/>
      <c r="BG229" s="23"/>
      <c r="BH229" s="15"/>
      <c r="BI229" s="25"/>
      <c r="BJ229" s="23"/>
      <c r="BK229" s="15"/>
      <c r="BL229" s="14"/>
      <c r="BM229" s="23"/>
      <c r="BN229" s="15"/>
      <c r="BO229" s="25"/>
      <c r="BP229" s="23"/>
      <c r="BQ229" s="15"/>
      <c r="BR229" s="14"/>
      <c r="BS229" s="23"/>
      <c r="BT229" s="15"/>
      <c r="BU229" s="25"/>
      <c r="BV229" s="23"/>
      <c r="BW229" s="15"/>
      <c r="BX229" s="14"/>
      <c r="BY229" s="23"/>
      <c r="BZ229" s="15"/>
    </row>
    <row r="230" customFormat="false" ht="15" hidden="false" customHeight="false" outlineLevel="0" collapsed="false">
      <c r="A230" s="14"/>
      <c r="B230" s="17" t="str">
        <f aca="false">IF($A230="","",IFERROR(INDEX(Policy!$B$2:$B$301,MATCH($A230,Policy!$A$2:$A$301,0)),"MRO không có"))</f>
        <v/>
      </c>
      <c r="C230" s="17" t="str">
        <f aca="false">IF($A230="","",IFERROR(INDEX(Policy!$E$2:$E$301,MATCH($A230,Policy!$A$2:$A$301,0)),"MRO không có"))</f>
        <v/>
      </c>
      <c r="D230" s="14"/>
      <c r="E230" s="15"/>
      <c r="F230" s="15"/>
      <c r="G230" s="25"/>
      <c r="H230" s="23"/>
      <c r="I230" s="15"/>
      <c r="J230" s="14"/>
      <c r="K230" s="23"/>
      <c r="L230" s="15"/>
      <c r="M230" s="25"/>
      <c r="N230" s="23"/>
      <c r="O230" s="15"/>
      <c r="P230" s="14"/>
      <c r="Q230" s="23"/>
      <c r="R230" s="15"/>
      <c r="S230" s="25"/>
      <c r="T230" s="23"/>
      <c r="U230" s="15"/>
      <c r="V230" s="14"/>
      <c r="W230" s="23"/>
      <c r="X230" s="15"/>
      <c r="Y230" s="25"/>
      <c r="Z230" s="23"/>
      <c r="AA230" s="15"/>
      <c r="AB230" s="14"/>
      <c r="AC230" s="23"/>
      <c r="AD230" s="15"/>
      <c r="AE230" s="25"/>
      <c r="AF230" s="23"/>
      <c r="AG230" s="15"/>
      <c r="AH230" s="14"/>
      <c r="AI230" s="23"/>
      <c r="AJ230" s="15"/>
      <c r="AK230" s="25"/>
      <c r="AL230" s="23"/>
      <c r="AM230" s="15"/>
      <c r="AN230" s="14"/>
      <c r="AO230" s="23"/>
      <c r="AP230" s="15"/>
      <c r="AQ230" s="25"/>
      <c r="AR230" s="23"/>
      <c r="AS230" s="15"/>
      <c r="AT230" s="14"/>
      <c r="AU230" s="23"/>
      <c r="AV230" s="15"/>
      <c r="AW230" s="25"/>
      <c r="AX230" s="23"/>
      <c r="AY230" s="15"/>
      <c r="AZ230" s="14"/>
      <c r="BA230" s="23"/>
      <c r="BB230" s="15"/>
      <c r="BC230" s="25"/>
      <c r="BD230" s="23"/>
      <c r="BE230" s="15"/>
      <c r="BF230" s="14"/>
      <c r="BG230" s="23"/>
      <c r="BH230" s="15"/>
      <c r="BI230" s="25"/>
      <c r="BJ230" s="23"/>
      <c r="BK230" s="15"/>
      <c r="BL230" s="14"/>
      <c r="BM230" s="23"/>
      <c r="BN230" s="15"/>
      <c r="BO230" s="25"/>
      <c r="BP230" s="23"/>
      <c r="BQ230" s="15"/>
      <c r="BR230" s="14"/>
      <c r="BS230" s="23"/>
      <c r="BT230" s="15"/>
      <c r="BU230" s="25"/>
      <c r="BV230" s="23"/>
      <c r="BW230" s="15"/>
      <c r="BX230" s="14"/>
      <c r="BY230" s="23"/>
      <c r="BZ230" s="15"/>
    </row>
    <row r="231" customFormat="false" ht="15" hidden="false" customHeight="false" outlineLevel="0" collapsed="false">
      <c r="A231" s="14"/>
      <c r="B231" s="17" t="str">
        <f aca="false">IF($A231="","",IFERROR(INDEX(Policy!$B$2:$B$301,MATCH($A231,Policy!$A$2:$A$301,0)),"MRO không có"))</f>
        <v/>
      </c>
      <c r="C231" s="17" t="str">
        <f aca="false">IF($A231="","",IFERROR(INDEX(Policy!$E$2:$E$301,MATCH($A231,Policy!$A$2:$A$301,0)),"MRO không có"))</f>
        <v/>
      </c>
      <c r="D231" s="14"/>
      <c r="E231" s="15"/>
      <c r="F231" s="15"/>
      <c r="G231" s="25"/>
      <c r="H231" s="23"/>
      <c r="I231" s="15"/>
      <c r="J231" s="14"/>
      <c r="K231" s="23"/>
      <c r="L231" s="15"/>
      <c r="M231" s="25"/>
      <c r="N231" s="23"/>
      <c r="O231" s="15"/>
      <c r="P231" s="14"/>
      <c r="Q231" s="23"/>
      <c r="R231" s="15"/>
      <c r="S231" s="25"/>
      <c r="T231" s="23"/>
      <c r="U231" s="15"/>
      <c r="V231" s="14"/>
      <c r="W231" s="23"/>
      <c r="X231" s="15"/>
      <c r="Y231" s="25"/>
      <c r="Z231" s="23"/>
      <c r="AA231" s="15"/>
      <c r="AB231" s="14"/>
      <c r="AC231" s="23"/>
      <c r="AD231" s="15"/>
      <c r="AE231" s="25"/>
      <c r="AF231" s="23"/>
      <c r="AG231" s="15"/>
      <c r="AH231" s="14"/>
      <c r="AI231" s="23"/>
      <c r="AJ231" s="15"/>
      <c r="AK231" s="25"/>
      <c r="AL231" s="23"/>
      <c r="AM231" s="15"/>
      <c r="AN231" s="14"/>
      <c r="AO231" s="23"/>
      <c r="AP231" s="15"/>
      <c r="AQ231" s="25"/>
      <c r="AR231" s="23"/>
      <c r="AS231" s="15"/>
      <c r="AT231" s="14"/>
      <c r="AU231" s="23"/>
      <c r="AV231" s="15"/>
      <c r="AW231" s="25"/>
      <c r="AX231" s="23"/>
      <c r="AY231" s="15"/>
      <c r="AZ231" s="14"/>
      <c r="BA231" s="23"/>
      <c r="BB231" s="15"/>
      <c r="BC231" s="25"/>
      <c r="BD231" s="23"/>
      <c r="BE231" s="15"/>
      <c r="BF231" s="14"/>
      <c r="BG231" s="23"/>
      <c r="BH231" s="15"/>
      <c r="BI231" s="25"/>
      <c r="BJ231" s="23"/>
      <c r="BK231" s="15"/>
      <c r="BL231" s="14"/>
      <c r="BM231" s="23"/>
      <c r="BN231" s="15"/>
      <c r="BO231" s="25"/>
      <c r="BP231" s="23"/>
      <c r="BQ231" s="15"/>
      <c r="BR231" s="14"/>
      <c r="BS231" s="23"/>
      <c r="BT231" s="15"/>
      <c r="BU231" s="25"/>
      <c r="BV231" s="23"/>
      <c r="BW231" s="15"/>
      <c r="BX231" s="14"/>
      <c r="BY231" s="23"/>
      <c r="BZ231" s="15"/>
    </row>
    <row r="232" customFormat="false" ht="15" hidden="false" customHeight="false" outlineLevel="0" collapsed="false">
      <c r="A232" s="14"/>
      <c r="B232" s="17" t="str">
        <f aca="false">IF($A232="","",IFERROR(INDEX(Policy!$B$2:$B$301,MATCH($A232,Policy!$A$2:$A$301,0)),"MRO không có"))</f>
        <v/>
      </c>
      <c r="C232" s="17" t="str">
        <f aca="false">IF($A232="","",IFERROR(INDEX(Policy!$E$2:$E$301,MATCH($A232,Policy!$A$2:$A$301,0)),"MRO không có"))</f>
        <v/>
      </c>
      <c r="D232" s="14"/>
      <c r="E232" s="15"/>
      <c r="F232" s="15"/>
      <c r="G232" s="25"/>
      <c r="H232" s="23"/>
      <c r="I232" s="15"/>
      <c r="J232" s="14"/>
      <c r="K232" s="23"/>
      <c r="L232" s="15"/>
      <c r="M232" s="25"/>
      <c r="N232" s="23"/>
      <c r="O232" s="15"/>
      <c r="P232" s="14"/>
      <c r="Q232" s="23"/>
      <c r="R232" s="15"/>
      <c r="S232" s="25"/>
      <c r="T232" s="23"/>
      <c r="U232" s="15"/>
      <c r="V232" s="14"/>
      <c r="W232" s="23"/>
      <c r="X232" s="15"/>
      <c r="Y232" s="25"/>
      <c r="Z232" s="23"/>
      <c r="AA232" s="15"/>
      <c r="AB232" s="14"/>
      <c r="AC232" s="23"/>
      <c r="AD232" s="15"/>
      <c r="AE232" s="25"/>
      <c r="AF232" s="23"/>
      <c r="AG232" s="15"/>
      <c r="AH232" s="14"/>
      <c r="AI232" s="23"/>
      <c r="AJ232" s="15"/>
      <c r="AK232" s="25"/>
      <c r="AL232" s="23"/>
      <c r="AM232" s="15"/>
      <c r="AN232" s="14"/>
      <c r="AO232" s="23"/>
      <c r="AP232" s="15"/>
      <c r="AQ232" s="25"/>
      <c r="AR232" s="23"/>
      <c r="AS232" s="15"/>
      <c r="AT232" s="14"/>
      <c r="AU232" s="23"/>
      <c r="AV232" s="15"/>
      <c r="AW232" s="25"/>
      <c r="AX232" s="23"/>
      <c r="AY232" s="15"/>
      <c r="AZ232" s="14"/>
      <c r="BA232" s="23"/>
      <c r="BB232" s="15"/>
      <c r="BC232" s="25"/>
      <c r="BD232" s="23"/>
      <c r="BE232" s="15"/>
      <c r="BF232" s="14"/>
      <c r="BG232" s="23"/>
      <c r="BH232" s="15"/>
      <c r="BI232" s="25"/>
      <c r="BJ232" s="23"/>
      <c r="BK232" s="15"/>
      <c r="BL232" s="14"/>
      <c r="BM232" s="23"/>
      <c r="BN232" s="15"/>
      <c r="BO232" s="25"/>
      <c r="BP232" s="23"/>
      <c r="BQ232" s="15"/>
      <c r="BR232" s="14"/>
      <c r="BS232" s="23"/>
      <c r="BT232" s="15"/>
      <c r="BU232" s="25"/>
      <c r="BV232" s="23"/>
      <c r="BW232" s="15"/>
      <c r="BX232" s="14"/>
      <c r="BY232" s="23"/>
      <c r="BZ232" s="15"/>
    </row>
    <row r="233" customFormat="false" ht="15" hidden="false" customHeight="false" outlineLevel="0" collapsed="false">
      <c r="A233" s="14"/>
      <c r="B233" s="17" t="str">
        <f aca="false">IF($A233="","",IFERROR(INDEX(Policy!$B$2:$B$301,MATCH($A233,Policy!$A$2:$A$301,0)),"MRO không có"))</f>
        <v/>
      </c>
      <c r="C233" s="17" t="str">
        <f aca="false">IF($A233="","",IFERROR(INDEX(Policy!$E$2:$E$301,MATCH($A233,Policy!$A$2:$A$301,0)),"MRO không có"))</f>
        <v/>
      </c>
      <c r="D233" s="14"/>
      <c r="E233" s="15"/>
      <c r="F233" s="15"/>
      <c r="G233" s="25"/>
      <c r="H233" s="23"/>
      <c r="I233" s="15"/>
      <c r="J233" s="14"/>
      <c r="K233" s="23"/>
      <c r="L233" s="15"/>
      <c r="M233" s="25"/>
      <c r="N233" s="23"/>
      <c r="O233" s="15"/>
      <c r="P233" s="14"/>
      <c r="Q233" s="23"/>
      <c r="R233" s="15"/>
      <c r="S233" s="25"/>
      <c r="T233" s="23"/>
      <c r="U233" s="15"/>
      <c r="V233" s="14"/>
      <c r="W233" s="23"/>
      <c r="X233" s="15"/>
      <c r="Y233" s="25"/>
      <c r="Z233" s="23"/>
      <c r="AA233" s="15"/>
      <c r="AB233" s="14"/>
      <c r="AC233" s="23"/>
      <c r="AD233" s="15"/>
      <c r="AE233" s="25"/>
      <c r="AF233" s="23"/>
      <c r="AG233" s="15"/>
      <c r="AH233" s="14"/>
      <c r="AI233" s="23"/>
      <c r="AJ233" s="15"/>
      <c r="AK233" s="25"/>
      <c r="AL233" s="23"/>
      <c r="AM233" s="15"/>
      <c r="AN233" s="14"/>
      <c r="AO233" s="23"/>
      <c r="AP233" s="15"/>
      <c r="AQ233" s="25"/>
      <c r="AR233" s="23"/>
      <c r="AS233" s="15"/>
      <c r="AT233" s="14"/>
      <c r="AU233" s="23"/>
      <c r="AV233" s="15"/>
      <c r="AW233" s="25"/>
      <c r="AX233" s="23"/>
      <c r="AY233" s="15"/>
      <c r="AZ233" s="14"/>
      <c r="BA233" s="23"/>
      <c r="BB233" s="15"/>
      <c r="BC233" s="25"/>
      <c r="BD233" s="23"/>
      <c r="BE233" s="15"/>
      <c r="BF233" s="14"/>
      <c r="BG233" s="23"/>
      <c r="BH233" s="15"/>
      <c r="BI233" s="25"/>
      <c r="BJ233" s="23"/>
      <c r="BK233" s="15"/>
      <c r="BL233" s="14"/>
      <c r="BM233" s="23"/>
      <c r="BN233" s="15"/>
      <c r="BO233" s="25"/>
      <c r="BP233" s="23"/>
      <c r="BQ233" s="15"/>
      <c r="BR233" s="14"/>
      <c r="BS233" s="23"/>
      <c r="BT233" s="15"/>
      <c r="BU233" s="25"/>
      <c r="BV233" s="23"/>
      <c r="BW233" s="15"/>
      <c r="BX233" s="14"/>
      <c r="BY233" s="23"/>
      <c r="BZ233" s="15"/>
    </row>
    <row r="234" customFormat="false" ht="15" hidden="false" customHeight="false" outlineLevel="0" collapsed="false">
      <c r="A234" s="14"/>
      <c r="B234" s="17" t="str">
        <f aca="false">IF($A234="","",IFERROR(INDEX(Policy!$B$2:$B$301,MATCH($A234,Policy!$A$2:$A$301,0)),"MRO không có"))</f>
        <v/>
      </c>
      <c r="C234" s="17" t="str">
        <f aca="false">IF($A234="","",IFERROR(INDEX(Policy!$E$2:$E$301,MATCH($A234,Policy!$A$2:$A$301,0)),"MRO không có"))</f>
        <v/>
      </c>
      <c r="D234" s="14"/>
      <c r="E234" s="15"/>
      <c r="F234" s="15"/>
      <c r="G234" s="25"/>
      <c r="H234" s="23"/>
      <c r="I234" s="15"/>
      <c r="J234" s="14"/>
      <c r="K234" s="23"/>
      <c r="L234" s="15"/>
      <c r="M234" s="25"/>
      <c r="N234" s="23"/>
      <c r="O234" s="15"/>
      <c r="P234" s="14"/>
      <c r="Q234" s="23"/>
      <c r="R234" s="15"/>
      <c r="S234" s="25"/>
      <c r="T234" s="23"/>
      <c r="U234" s="15"/>
      <c r="V234" s="14"/>
      <c r="W234" s="23"/>
      <c r="X234" s="15"/>
      <c r="Y234" s="25"/>
      <c r="Z234" s="23"/>
      <c r="AA234" s="15"/>
      <c r="AB234" s="14"/>
      <c r="AC234" s="23"/>
      <c r="AD234" s="15"/>
      <c r="AE234" s="25"/>
      <c r="AF234" s="23"/>
      <c r="AG234" s="15"/>
      <c r="AH234" s="14"/>
      <c r="AI234" s="23"/>
      <c r="AJ234" s="15"/>
      <c r="AK234" s="25"/>
      <c r="AL234" s="23"/>
      <c r="AM234" s="15"/>
      <c r="AN234" s="14"/>
      <c r="AO234" s="23"/>
      <c r="AP234" s="15"/>
      <c r="AQ234" s="25"/>
      <c r="AR234" s="23"/>
      <c r="AS234" s="15"/>
      <c r="AT234" s="14"/>
      <c r="AU234" s="23"/>
      <c r="AV234" s="15"/>
      <c r="AW234" s="25"/>
      <c r="AX234" s="23"/>
      <c r="AY234" s="15"/>
      <c r="AZ234" s="14"/>
      <c r="BA234" s="23"/>
      <c r="BB234" s="15"/>
      <c r="BC234" s="25"/>
      <c r="BD234" s="23"/>
      <c r="BE234" s="15"/>
      <c r="BF234" s="14"/>
      <c r="BG234" s="23"/>
      <c r="BH234" s="15"/>
      <c r="BI234" s="25"/>
      <c r="BJ234" s="23"/>
      <c r="BK234" s="15"/>
      <c r="BL234" s="14"/>
      <c r="BM234" s="23"/>
      <c r="BN234" s="15"/>
      <c r="BO234" s="25"/>
      <c r="BP234" s="23"/>
      <c r="BQ234" s="15"/>
      <c r="BR234" s="14"/>
      <c r="BS234" s="23"/>
      <c r="BT234" s="15"/>
      <c r="BU234" s="25"/>
      <c r="BV234" s="23"/>
      <c r="BW234" s="15"/>
      <c r="BX234" s="14"/>
      <c r="BY234" s="23"/>
      <c r="BZ234" s="15"/>
    </row>
    <row r="235" customFormat="false" ht="15" hidden="false" customHeight="false" outlineLevel="0" collapsed="false">
      <c r="A235" s="14"/>
      <c r="B235" s="17" t="str">
        <f aca="false">IF($A235="","",IFERROR(INDEX(Policy!$B$2:$B$301,MATCH($A235,Policy!$A$2:$A$301,0)),"MRO không có"))</f>
        <v/>
      </c>
      <c r="C235" s="17" t="str">
        <f aca="false">IF($A235="","",IFERROR(INDEX(Policy!$E$2:$E$301,MATCH($A235,Policy!$A$2:$A$301,0)),"MRO không có"))</f>
        <v/>
      </c>
      <c r="D235" s="14"/>
      <c r="E235" s="15"/>
      <c r="F235" s="15"/>
      <c r="G235" s="25"/>
      <c r="H235" s="23"/>
      <c r="I235" s="15"/>
      <c r="J235" s="14"/>
      <c r="K235" s="23"/>
      <c r="L235" s="15"/>
      <c r="M235" s="25"/>
      <c r="N235" s="23"/>
      <c r="O235" s="15"/>
      <c r="P235" s="14"/>
      <c r="Q235" s="23"/>
      <c r="R235" s="15"/>
      <c r="S235" s="25"/>
      <c r="T235" s="23"/>
      <c r="U235" s="15"/>
      <c r="V235" s="14"/>
      <c r="W235" s="23"/>
      <c r="X235" s="15"/>
      <c r="Y235" s="25"/>
      <c r="Z235" s="23"/>
      <c r="AA235" s="15"/>
      <c r="AB235" s="14"/>
      <c r="AC235" s="23"/>
      <c r="AD235" s="15"/>
      <c r="AE235" s="25"/>
      <c r="AF235" s="23"/>
      <c r="AG235" s="15"/>
      <c r="AH235" s="14"/>
      <c r="AI235" s="23"/>
      <c r="AJ235" s="15"/>
      <c r="AK235" s="25"/>
      <c r="AL235" s="23"/>
      <c r="AM235" s="15"/>
      <c r="AN235" s="14"/>
      <c r="AO235" s="23"/>
      <c r="AP235" s="15"/>
      <c r="AQ235" s="25"/>
      <c r="AR235" s="23"/>
      <c r="AS235" s="15"/>
      <c r="AT235" s="14"/>
      <c r="AU235" s="23"/>
      <c r="AV235" s="15"/>
      <c r="AW235" s="25"/>
      <c r="AX235" s="23"/>
      <c r="AY235" s="15"/>
      <c r="AZ235" s="14"/>
      <c r="BA235" s="23"/>
      <c r="BB235" s="15"/>
      <c r="BC235" s="25"/>
      <c r="BD235" s="23"/>
      <c r="BE235" s="15"/>
      <c r="BF235" s="14"/>
      <c r="BG235" s="23"/>
      <c r="BH235" s="15"/>
      <c r="BI235" s="25"/>
      <c r="BJ235" s="23"/>
      <c r="BK235" s="15"/>
      <c r="BL235" s="14"/>
      <c r="BM235" s="23"/>
      <c r="BN235" s="15"/>
      <c r="BO235" s="25"/>
      <c r="BP235" s="23"/>
      <c r="BQ235" s="15"/>
      <c r="BR235" s="14"/>
      <c r="BS235" s="23"/>
      <c r="BT235" s="15"/>
      <c r="BU235" s="25"/>
      <c r="BV235" s="23"/>
      <c r="BW235" s="15"/>
      <c r="BX235" s="14"/>
      <c r="BY235" s="23"/>
      <c r="BZ235" s="15"/>
    </row>
    <row r="236" customFormat="false" ht="15" hidden="false" customHeight="false" outlineLevel="0" collapsed="false">
      <c r="A236" s="14"/>
      <c r="B236" s="17" t="str">
        <f aca="false">IF($A236="","",IFERROR(INDEX(Policy!$B$2:$B$301,MATCH($A236,Policy!$A$2:$A$301,0)),"MRO không có"))</f>
        <v/>
      </c>
      <c r="C236" s="17" t="str">
        <f aca="false">IF($A236="","",IFERROR(INDEX(Policy!$E$2:$E$301,MATCH($A236,Policy!$A$2:$A$301,0)),"MRO không có"))</f>
        <v/>
      </c>
      <c r="D236" s="14"/>
      <c r="E236" s="15"/>
      <c r="F236" s="15"/>
      <c r="G236" s="25"/>
      <c r="H236" s="23"/>
      <c r="I236" s="15"/>
      <c r="J236" s="14"/>
      <c r="K236" s="23"/>
      <c r="L236" s="15"/>
      <c r="M236" s="25"/>
      <c r="N236" s="23"/>
      <c r="O236" s="15"/>
      <c r="P236" s="14"/>
      <c r="Q236" s="23"/>
      <c r="R236" s="15"/>
      <c r="S236" s="25"/>
      <c r="T236" s="23"/>
      <c r="U236" s="15"/>
      <c r="V236" s="14"/>
      <c r="W236" s="23"/>
      <c r="X236" s="15"/>
      <c r="Y236" s="25"/>
      <c r="Z236" s="23"/>
      <c r="AA236" s="15"/>
      <c r="AB236" s="14"/>
      <c r="AC236" s="23"/>
      <c r="AD236" s="15"/>
      <c r="AE236" s="25"/>
      <c r="AF236" s="23"/>
      <c r="AG236" s="15"/>
      <c r="AH236" s="14"/>
      <c r="AI236" s="23"/>
      <c r="AJ236" s="15"/>
      <c r="AK236" s="25"/>
      <c r="AL236" s="23"/>
      <c r="AM236" s="15"/>
      <c r="AN236" s="14"/>
      <c r="AO236" s="23"/>
      <c r="AP236" s="15"/>
      <c r="AQ236" s="25"/>
      <c r="AR236" s="23"/>
      <c r="AS236" s="15"/>
      <c r="AT236" s="14"/>
      <c r="AU236" s="23"/>
      <c r="AV236" s="15"/>
      <c r="AW236" s="25"/>
      <c r="AX236" s="23"/>
      <c r="AY236" s="15"/>
      <c r="AZ236" s="14"/>
      <c r="BA236" s="23"/>
      <c r="BB236" s="15"/>
      <c r="BC236" s="25"/>
      <c r="BD236" s="23"/>
      <c r="BE236" s="15"/>
      <c r="BF236" s="14"/>
      <c r="BG236" s="23"/>
      <c r="BH236" s="15"/>
      <c r="BI236" s="25"/>
      <c r="BJ236" s="23"/>
      <c r="BK236" s="15"/>
      <c r="BL236" s="14"/>
      <c r="BM236" s="23"/>
      <c r="BN236" s="15"/>
      <c r="BO236" s="25"/>
      <c r="BP236" s="23"/>
      <c r="BQ236" s="15"/>
      <c r="BR236" s="14"/>
      <c r="BS236" s="23"/>
      <c r="BT236" s="15"/>
      <c r="BU236" s="25"/>
      <c r="BV236" s="23"/>
      <c r="BW236" s="15"/>
      <c r="BX236" s="14"/>
      <c r="BY236" s="23"/>
      <c r="BZ236" s="15"/>
    </row>
    <row r="237" customFormat="false" ht="15" hidden="false" customHeight="false" outlineLevel="0" collapsed="false">
      <c r="A237" s="14"/>
      <c r="B237" s="17" t="str">
        <f aca="false">IF($A237="","",IFERROR(INDEX(Policy!$B$2:$B$301,MATCH($A237,Policy!$A$2:$A$301,0)),"MRO không có"))</f>
        <v/>
      </c>
      <c r="C237" s="17" t="str">
        <f aca="false">IF($A237="","",IFERROR(INDEX(Policy!$E$2:$E$301,MATCH($A237,Policy!$A$2:$A$301,0)),"MRO không có"))</f>
        <v/>
      </c>
      <c r="D237" s="14"/>
      <c r="E237" s="15"/>
      <c r="F237" s="15"/>
      <c r="G237" s="25"/>
      <c r="H237" s="23"/>
      <c r="I237" s="15"/>
      <c r="J237" s="14"/>
      <c r="K237" s="23"/>
      <c r="L237" s="15"/>
      <c r="M237" s="25"/>
      <c r="N237" s="23"/>
      <c r="O237" s="15"/>
      <c r="P237" s="14"/>
      <c r="Q237" s="23"/>
      <c r="R237" s="15"/>
      <c r="S237" s="25"/>
      <c r="T237" s="23"/>
      <c r="U237" s="15"/>
      <c r="V237" s="14"/>
      <c r="W237" s="23"/>
      <c r="X237" s="15"/>
      <c r="Y237" s="25"/>
      <c r="Z237" s="23"/>
      <c r="AA237" s="15"/>
      <c r="AB237" s="14"/>
      <c r="AC237" s="23"/>
      <c r="AD237" s="15"/>
      <c r="AE237" s="25"/>
      <c r="AF237" s="23"/>
      <c r="AG237" s="15"/>
      <c r="AH237" s="14"/>
      <c r="AI237" s="23"/>
      <c r="AJ237" s="15"/>
      <c r="AK237" s="25"/>
      <c r="AL237" s="23"/>
      <c r="AM237" s="15"/>
      <c r="AN237" s="14"/>
      <c r="AO237" s="23"/>
      <c r="AP237" s="15"/>
      <c r="AQ237" s="25"/>
      <c r="AR237" s="23"/>
      <c r="AS237" s="15"/>
      <c r="AT237" s="14"/>
      <c r="AU237" s="23"/>
      <c r="AV237" s="15"/>
      <c r="AW237" s="25"/>
      <c r="AX237" s="23"/>
      <c r="AY237" s="15"/>
      <c r="AZ237" s="14"/>
      <c r="BA237" s="23"/>
      <c r="BB237" s="15"/>
      <c r="BC237" s="25"/>
      <c r="BD237" s="23"/>
      <c r="BE237" s="15"/>
      <c r="BF237" s="14"/>
      <c r="BG237" s="23"/>
      <c r="BH237" s="15"/>
      <c r="BI237" s="25"/>
      <c r="BJ237" s="23"/>
      <c r="BK237" s="15"/>
      <c r="BL237" s="14"/>
      <c r="BM237" s="23"/>
      <c r="BN237" s="15"/>
      <c r="BO237" s="25"/>
      <c r="BP237" s="23"/>
      <c r="BQ237" s="15"/>
      <c r="BR237" s="14"/>
      <c r="BS237" s="23"/>
      <c r="BT237" s="15"/>
      <c r="BU237" s="25"/>
      <c r="BV237" s="23"/>
      <c r="BW237" s="15"/>
      <c r="BX237" s="14"/>
      <c r="BY237" s="23"/>
      <c r="BZ237" s="15"/>
    </row>
    <row r="238" customFormat="false" ht="15" hidden="false" customHeight="false" outlineLevel="0" collapsed="false">
      <c r="A238" s="14"/>
      <c r="B238" s="17" t="str">
        <f aca="false">IF($A238="","",IFERROR(INDEX(Policy!$B$2:$B$301,MATCH($A238,Policy!$A$2:$A$301,0)),"MRO không có"))</f>
        <v/>
      </c>
      <c r="C238" s="17" t="str">
        <f aca="false">IF($A238="","",IFERROR(INDEX(Policy!$E$2:$E$301,MATCH($A238,Policy!$A$2:$A$301,0)),"MRO không có"))</f>
        <v/>
      </c>
      <c r="D238" s="14"/>
      <c r="E238" s="15"/>
      <c r="F238" s="15"/>
      <c r="G238" s="25"/>
      <c r="H238" s="23"/>
      <c r="I238" s="15"/>
      <c r="J238" s="14"/>
      <c r="K238" s="23"/>
      <c r="L238" s="15"/>
      <c r="M238" s="25"/>
      <c r="N238" s="23"/>
      <c r="O238" s="15"/>
      <c r="P238" s="14"/>
      <c r="Q238" s="23"/>
      <c r="R238" s="15"/>
      <c r="S238" s="25"/>
      <c r="T238" s="23"/>
      <c r="U238" s="15"/>
      <c r="V238" s="14"/>
      <c r="W238" s="23"/>
      <c r="X238" s="15"/>
      <c r="Y238" s="25"/>
      <c r="Z238" s="23"/>
      <c r="AA238" s="15"/>
      <c r="AB238" s="14"/>
      <c r="AC238" s="23"/>
      <c r="AD238" s="15"/>
      <c r="AE238" s="25"/>
      <c r="AF238" s="23"/>
      <c r="AG238" s="15"/>
      <c r="AH238" s="14"/>
      <c r="AI238" s="23"/>
      <c r="AJ238" s="15"/>
      <c r="AK238" s="25"/>
      <c r="AL238" s="23"/>
      <c r="AM238" s="15"/>
      <c r="AN238" s="14"/>
      <c r="AO238" s="23"/>
      <c r="AP238" s="15"/>
      <c r="AQ238" s="25"/>
      <c r="AR238" s="23"/>
      <c r="AS238" s="15"/>
      <c r="AT238" s="14"/>
      <c r="AU238" s="23"/>
      <c r="AV238" s="15"/>
      <c r="AW238" s="25"/>
      <c r="AX238" s="23"/>
      <c r="AY238" s="15"/>
      <c r="AZ238" s="14"/>
      <c r="BA238" s="23"/>
      <c r="BB238" s="15"/>
      <c r="BC238" s="25"/>
      <c r="BD238" s="23"/>
      <c r="BE238" s="15"/>
      <c r="BF238" s="14"/>
      <c r="BG238" s="23"/>
      <c r="BH238" s="15"/>
      <c r="BI238" s="25"/>
      <c r="BJ238" s="23"/>
      <c r="BK238" s="15"/>
      <c r="BL238" s="14"/>
      <c r="BM238" s="23"/>
      <c r="BN238" s="15"/>
      <c r="BO238" s="25"/>
      <c r="BP238" s="23"/>
      <c r="BQ238" s="15"/>
      <c r="BR238" s="14"/>
      <c r="BS238" s="23"/>
      <c r="BT238" s="15"/>
      <c r="BU238" s="25"/>
      <c r="BV238" s="23"/>
      <c r="BW238" s="15"/>
      <c r="BX238" s="14"/>
      <c r="BY238" s="23"/>
      <c r="BZ238" s="15"/>
    </row>
    <row r="239" customFormat="false" ht="15" hidden="false" customHeight="false" outlineLevel="0" collapsed="false">
      <c r="A239" s="14"/>
      <c r="B239" s="17" t="str">
        <f aca="false">IF($A239="","",IFERROR(INDEX(Policy!$B$2:$B$301,MATCH($A239,Policy!$A$2:$A$301,0)),"MRO không có"))</f>
        <v/>
      </c>
      <c r="C239" s="17" t="str">
        <f aca="false">IF($A239="","",IFERROR(INDEX(Policy!$E$2:$E$301,MATCH($A239,Policy!$A$2:$A$301,0)),"MRO không có"))</f>
        <v/>
      </c>
      <c r="D239" s="14"/>
      <c r="E239" s="15"/>
      <c r="F239" s="15"/>
      <c r="G239" s="25"/>
      <c r="H239" s="23"/>
      <c r="I239" s="15"/>
      <c r="J239" s="14"/>
      <c r="K239" s="23"/>
      <c r="L239" s="15"/>
      <c r="M239" s="25"/>
      <c r="N239" s="23"/>
      <c r="O239" s="15"/>
      <c r="P239" s="14"/>
      <c r="Q239" s="23"/>
      <c r="R239" s="15"/>
      <c r="S239" s="25"/>
      <c r="T239" s="23"/>
      <c r="U239" s="15"/>
      <c r="V239" s="14"/>
      <c r="W239" s="23"/>
      <c r="X239" s="15"/>
      <c r="Y239" s="25"/>
      <c r="Z239" s="23"/>
      <c r="AA239" s="15"/>
      <c r="AB239" s="14"/>
      <c r="AC239" s="23"/>
      <c r="AD239" s="15"/>
      <c r="AE239" s="25"/>
      <c r="AF239" s="23"/>
      <c r="AG239" s="15"/>
      <c r="AH239" s="14"/>
      <c r="AI239" s="23"/>
      <c r="AJ239" s="15"/>
      <c r="AK239" s="25"/>
      <c r="AL239" s="23"/>
      <c r="AM239" s="15"/>
      <c r="AN239" s="14"/>
      <c r="AO239" s="23"/>
      <c r="AP239" s="15"/>
      <c r="AQ239" s="25"/>
      <c r="AR239" s="23"/>
      <c r="AS239" s="15"/>
      <c r="AT239" s="14"/>
      <c r="AU239" s="23"/>
      <c r="AV239" s="15"/>
      <c r="AW239" s="25"/>
      <c r="AX239" s="23"/>
      <c r="AY239" s="15"/>
      <c r="AZ239" s="14"/>
      <c r="BA239" s="23"/>
      <c r="BB239" s="15"/>
      <c r="BC239" s="25"/>
      <c r="BD239" s="23"/>
      <c r="BE239" s="15"/>
      <c r="BF239" s="14"/>
      <c r="BG239" s="23"/>
      <c r="BH239" s="15"/>
      <c r="BI239" s="25"/>
      <c r="BJ239" s="23"/>
      <c r="BK239" s="15"/>
      <c r="BL239" s="14"/>
      <c r="BM239" s="23"/>
      <c r="BN239" s="15"/>
      <c r="BO239" s="25"/>
      <c r="BP239" s="23"/>
      <c r="BQ239" s="15"/>
      <c r="BR239" s="14"/>
      <c r="BS239" s="23"/>
      <c r="BT239" s="15"/>
      <c r="BU239" s="25"/>
      <c r="BV239" s="23"/>
      <c r="BW239" s="15"/>
      <c r="BX239" s="14"/>
      <c r="BY239" s="23"/>
      <c r="BZ239" s="15"/>
    </row>
    <row r="240" customFormat="false" ht="15" hidden="false" customHeight="false" outlineLevel="0" collapsed="false">
      <c r="A240" s="14"/>
      <c r="B240" s="17" t="str">
        <f aca="false">IF($A240="","",IFERROR(INDEX(Policy!$B$2:$B$301,MATCH($A240,Policy!$A$2:$A$301,0)),"MRO không có"))</f>
        <v/>
      </c>
      <c r="C240" s="17" t="str">
        <f aca="false">IF($A240="","",IFERROR(INDEX(Policy!$E$2:$E$301,MATCH($A240,Policy!$A$2:$A$301,0)),"MRO không có"))</f>
        <v/>
      </c>
      <c r="D240" s="14"/>
      <c r="E240" s="15"/>
      <c r="F240" s="15"/>
      <c r="G240" s="25"/>
      <c r="H240" s="23"/>
      <c r="I240" s="15"/>
      <c r="J240" s="14"/>
      <c r="K240" s="23"/>
      <c r="L240" s="15"/>
      <c r="M240" s="25"/>
      <c r="N240" s="23"/>
      <c r="O240" s="15"/>
      <c r="P240" s="14"/>
      <c r="Q240" s="23"/>
      <c r="R240" s="15"/>
      <c r="S240" s="25"/>
      <c r="T240" s="23"/>
      <c r="U240" s="15"/>
      <c r="V240" s="14"/>
      <c r="W240" s="23"/>
      <c r="X240" s="15"/>
      <c r="Y240" s="25"/>
      <c r="Z240" s="23"/>
      <c r="AA240" s="15"/>
      <c r="AB240" s="14"/>
      <c r="AC240" s="23"/>
      <c r="AD240" s="15"/>
      <c r="AE240" s="25"/>
      <c r="AF240" s="23"/>
      <c r="AG240" s="15"/>
      <c r="AH240" s="14"/>
      <c r="AI240" s="23"/>
      <c r="AJ240" s="15"/>
      <c r="AK240" s="25"/>
      <c r="AL240" s="23"/>
      <c r="AM240" s="15"/>
      <c r="AN240" s="14"/>
      <c r="AO240" s="23"/>
      <c r="AP240" s="15"/>
      <c r="AQ240" s="25"/>
      <c r="AR240" s="23"/>
      <c r="AS240" s="15"/>
      <c r="AT240" s="14"/>
      <c r="AU240" s="23"/>
      <c r="AV240" s="15"/>
      <c r="AW240" s="25"/>
      <c r="AX240" s="23"/>
      <c r="AY240" s="15"/>
      <c r="AZ240" s="14"/>
      <c r="BA240" s="23"/>
      <c r="BB240" s="15"/>
      <c r="BC240" s="25"/>
      <c r="BD240" s="23"/>
      <c r="BE240" s="15"/>
      <c r="BF240" s="14"/>
      <c r="BG240" s="23"/>
      <c r="BH240" s="15"/>
      <c r="BI240" s="25"/>
      <c r="BJ240" s="23"/>
      <c r="BK240" s="15"/>
      <c r="BL240" s="14"/>
      <c r="BM240" s="23"/>
      <c r="BN240" s="15"/>
      <c r="BO240" s="25"/>
      <c r="BP240" s="23"/>
      <c r="BQ240" s="15"/>
      <c r="BR240" s="14"/>
      <c r="BS240" s="23"/>
      <c r="BT240" s="15"/>
      <c r="BU240" s="25"/>
      <c r="BV240" s="23"/>
      <c r="BW240" s="15"/>
      <c r="BX240" s="14"/>
      <c r="BY240" s="23"/>
      <c r="BZ240" s="15"/>
    </row>
    <row r="241" customFormat="false" ht="15" hidden="false" customHeight="false" outlineLevel="0" collapsed="false">
      <c r="A241" s="14"/>
      <c r="B241" s="17" t="str">
        <f aca="false">IF($A241="","",IFERROR(INDEX(Policy!$B$2:$B$301,MATCH($A241,Policy!$A$2:$A$301,0)),"MRO không có"))</f>
        <v/>
      </c>
      <c r="C241" s="17" t="str">
        <f aca="false">IF($A241="","",IFERROR(INDEX(Policy!$E$2:$E$301,MATCH($A241,Policy!$A$2:$A$301,0)),"MRO không có"))</f>
        <v/>
      </c>
      <c r="D241" s="14"/>
      <c r="E241" s="15"/>
      <c r="F241" s="15"/>
      <c r="G241" s="25"/>
      <c r="H241" s="23"/>
      <c r="I241" s="15"/>
      <c r="J241" s="14"/>
      <c r="K241" s="23"/>
      <c r="L241" s="15"/>
      <c r="M241" s="25"/>
      <c r="N241" s="23"/>
      <c r="O241" s="15"/>
      <c r="P241" s="14"/>
      <c r="Q241" s="23"/>
      <c r="R241" s="15"/>
      <c r="S241" s="25"/>
      <c r="T241" s="23"/>
      <c r="U241" s="15"/>
      <c r="V241" s="14"/>
      <c r="W241" s="23"/>
      <c r="X241" s="15"/>
      <c r="Y241" s="25"/>
      <c r="Z241" s="23"/>
      <c r="AA241" s="15"/>
      <c r="AB241" s="14"/>
      <c r="AC241" s="23"/>
      <c r="AD241" s="15"/>
      <c r="AE241" s="25"/>
      <c r="AF241" s="23"/>
      <c r="AG241" s="15"/>
      <c r="AH241" s="14"/>
      <c r="AI241" s="23"/>
      <c r="AJ241" s="15"/>
      <c r="AK241" s="25"/>
      <c r="AL241" s="23"/>
      <c r="AM241" s="15"/>
      <c r="AN241" s="14"/>
      <c r="AO241" s="23"/>
      <c r="AP241" s="15"/>
      <c r="AQ241" s="25"/>
      <c r="AR241" s="23"/>
      <c r="AS241" s="15"/>
      <c r="AT241" s="14"/>
      <c r="AU241" s="23"/>
      <c r="AV241" s="15"/>
      <c r="AW241" s="25"/>
      <c r="AX241" s="23"/>
      <c r="AY241" s="15"/>
      <c r="AZ241" s="14"/>
      <c r="BA241" s="23"/>
      <c r="BB241" s="15"/>
      <c r="BC241" s="25"/>
      <c r="BD241" s="23"/>
      <c r="BE241" s="15"/>
      <c r="BF241" s="14"/>
      <c r="BG241" s="23"/>
      <c r="BH241" s="15"/>
      <c r="BI241" s="25"/>
      <c r="BJ241" s="23"/>
      <c r="BK241" s="15"/>
      <c r="BL241" s="14"/>
      <c r="BM241" s="23"/>
      <c r="BN241" s="15"/>
      <c r="BO241" s="25"/>
      <c r="BP241" s="23"/>
      <c r="BQ241" s="15"/>
      <c r="BR241" s="14"/>
      <c r="BS241" s="23"/>
      <c r="BT241" s="15"/>
      <c r="BU241" s="25"/>
      <c r="BV241" s="23"/>
      <c r="BW241" s="15"/>
      <c r="BX241" s="14"/>
      <c r="BY241" s="23"/>
      <c r="BZ241" s="15"/>
    </row>
    <row r="242" customFormat="false" ht="15" hidden="false" customHeight="false" outlineLevel="0" collapsed="false">
      <c r="A242" s="14"/>
      <c r="B242" s="17" t="str">
        <f aca="false">IF($A242="","",IFERROR(INDEX(Policy!$B$2:$B$301,MATCH($A242,Policy!$A$2:$A$301,0)),"MRO không có"))</f>
        <v/>
      </c>
      <c r="C242" s="17" t="str">
        <f aca="false">IF($A242="","",IFERROR(INDEX(Policy!$E$2:$E$301,MATCH($A242,Policy!$A$2:$A$301,0)),"MRO không có"))</f>
        <v/>
      </c>
      <c r="D242" s="14"/>
      <c r="E242" s="15"/>
      <c r="F242" s="15"/>
      <c r="G242" s="25"/>
      <c r="H242" s="23"/>
      <c r="I242" s="15"/>
      <c r="J242" s="14"/>
      <c r="K242" s="23"/>
      <c r="L242" s="15"/>
      <c r="M242" s="25"/>
      <c r="N242" s="23"/>
      <c r="O242" s="15"/>
      <c r="P242" s="14"/>
      <c r="Q242" s="23"/>
      <c r="R242" s="15"/>
      <c r="S242" s="25"/>
      <c r="T242" s="23"/>
      <c r="U242" s="15"/>
      <c r="V242" s="14"/>
      <c r="W242" s="23"/>
      <c r="X242" s="15"/>
      <c r="Y242" s="25"/>
      <c r="Z242" s="23"/>
      <c r="AA242" s="15"/>
      <c r="AB242" s="14"/>
      <c r="AC242" s="23"/>
      <c r="AD242" s="15"/>
      <c r="AE242" s="25"/>
      <c r="AF242" s="23"/>
      <c r="AG242" s="15"/>
      <c r="AH242" s="14"/>
      <c r="AI242" s="23"/>
      <c r="AJ242" s="15"/>
      <c r="AK242" s="25"/>
      <c r="AL242" s="23"/>
      <c r="AM242" s="15"/>
      <c r="AN242" s="14"/>
      <c r="AO242" s="23"/>
      <c r="AP242" s="15"/>
      <c r="AQ242" s="25"/>
      <c r="AR242" s="23"/>
      <c r="AS242" s="15"/>
      <c r="AT242" s="14"/>
      <c r="AU242" s="23"/>
      <c r="AV242" s="15"/>
      <c r="AW242" s="25"/>
      <c r="AX242" s="23"/>
      <c r="AY242" s="15"/>
      <c r="AZ242" s="14"/>
      <c r="BA242" s="23"/>
      <c r="BB242" s="15"/>
      <c r="BC242" s="25"/>
      <c r="BD242" s="23"/>
      <c r="BE242" s="15"/>
      <c r="BF242" s="14"/>
      <c r="BG242" s="23"/>
      <c r="BH242" s="15"/>
      <c r="BI242" s="25"/>
      <c r="BJ242" s="23"/>
      <c r="BK242" s="15"/>
      <c r="BL242" s="14"/>
      <c r="BM242" s="23"/>
      <c r="BN242" s="15"/>
      <c r="BO242" s="25"/>
      <c r="BP242" s="23"/>
      <c r="BQ242" s="15"/>
      <c r="BR242" s="14"/>
      <c r="BS242" s="23"/>
      <c r="BT242" s="15"/>
      <c r="BU242" s="25"/>
      <c r="BV242" s="23"/>
      <c r="BW242" s="15"/>
      <c r="BX242" s="14"/>
      <c r="BY242" s="23"/>
      <c r="BZ242" s="15"/>
    </row>
    <row r="243" customFormat="false" ht="15" hidden="false" customHeight="false" outlineLevel="0" collapsed="false">
      <c r="A243" s="14"/>
      <c r="B243" s="17" t="str">
        <f aca="false">IF($A243="","",IFERROR(INDEX(Policy!$B$2:$B$301,MATCH($A243,Policy!$A$2:$A$301,0)),"MRO không có"))</f>
        <v/>
      </c>
      <c r="C243" s="17" t="str">
        <f aca="false">IF($A243="","",IFERROR(INDEX(Policy!$E$2:$E$301,MATCH($A243,Policy!$A$2:$A$301,0)),"MRO không có"))</f>
        <v/>
      </c>
      <c r="D243" s="14"/>
      <c r="E243" s="15"/>
      <c r="F243" s="15"/>
      <c r="G243" s="25"/>
      <c r="H243" s="23"/>
      <c r="I243" s="15"/>
      <c r="J243" s="14"/>
      <c r="K243" s="23"/>
      <c r="L243" s="15"/>
      <c r="M243" s="25"/>
      <c r="N243" s="23"/>
      <c r="O243" s="15"/>
      <c r="P243" s="14"/>
      <c r="Q243" s="23"/>
      <c r="R243" s="15"/>
      <c r="S243" s="25"/>
      <c r="T243" s="23"/>
      <c r="U243" s="15"/>
      <c r="V243" s="14"/>
      <c r="W243" s="23"/>
      <c r="X243" s="15"/>
      <c r="Y243" s="25"/>
      <c r="Z243" s="23"/>
      <c r="AA243" s="15"/>
      <c r="AB243" s="14"/>
      <c r="AC243" s="23"/>
      <c r="AD243" s="15"/>
      <c r="AE243" s="25"/>
      <c r="AF243" s="23"/>
      <c r="AG243" s="15"/>
      <c r="AH243" s="14"/>
      <c r="AI243" s="23"/>
      <c r="AJ243" s="15"/>
      <c r="AK243" s="25"/>
      <c r="AL243" s="23"/>
      <c r="AM243" s="15"/>
      <c r="AN243" s="14"/>
      <c r="AO243" s="23"/>
      <c r="AP243" s="15"/>
      <c r="AQ243" s="25"/>
      <c r="AR243" s="23"/>
      <c r="AS243" s="15"/>
      <c r="AT243" s="14"/>
      <c r="AU243" s="23"/>
      <c r="AV243" s="15"/>
      <c r="AW243" s="25"/>
      <c r="AX243" s="23"/>
      <c r="AY243" s="15"/>
      <c r="AZ243" s="14"/>
      <c r="BA243" s="23"/>
      <c r="BB243" s="15"/>
      <c r="BC243" s="25"/>
      <c r="BD243" s="23"/>
      <c r="BE243" s="15"/>
      <c r="BF243" s="14"/>
      <c r="BG243" s="23"/>
      <c r="BH243" s="15"/>
      <c r="BI243" s="25"/>
      <c r="BJ243" s="23"/>
      <c r="BK243" s="15"/>
      <c r="BL243" s="14"/>
      <c r="BM243" s="23"/>
      <c r="BN243" s="15"/>
      <c r="BO243" s="25"/>
      <c r="BP243" s="23"/>
      <c r="BQ243" s="15"/>
      <c r="BR243" s="14"/>
      <c r="BS243" s="23"/>
      <c r="BT243" s="15"/>
      <c r="BU243" s="25"/>
      <c r="BV243" s="23"/>
      <c r="BW243" s="15"/>
      <c r="BX243" s="14"/>
      <c r="BY243" s="23"/>
      <c r="BZ243" s="15"/>
    </row>
    <row r="244" customFormat="false" ht="15" hidden="false" customHeight="false" outlineLevel="0" collapsed="false">
      <c r="A244" s="14"/>
      <c r="B244" s="17" t="str">
        <f aca="false">IF($A244="","",IFERROR(INDEX(Policy!$B$2:$B$301,MATCH($A244,Policy!$A$2:$A$301,0)),"MRO không có"))</f>
        <v/>
      </c>
      <c r="C244" s="17" t="str">
        <f aca="false">IF($A244="","",IFERROR(INDEX(Policy!$E$2:$E$301,MATCH($A244,Policy!$A$2:$A$301,0)),"MRO không có"))</f>
        <v/>
      </c>
      <c r="D244" s="14"/>
      <c r="E244" s="15"/>
      <c r="F244" s="15"/>
      <c r="G244" s="25"/>
      <c r="H244" s="23"/>
      <c r="I244" s="15"/>
      <c r="J244" s="14"/>
      <c r="K244" s="23"/>
      <c r="L244" s="15"/>
      <c r="M244" s="25"/>
      <c r="N244" s="23"/>
      <c r="O244" s="15"/>
      <c r="P244" s="14"/>
      <c r="Q244" s="23"/>
      <c r="R244" s="15"/>
      <c r="S244" s="25"/>
      <c r="T244" s="23"/>
      <c r="U244" s="15"/>
      <c r="V244" s="14"/>
      <c r="W244" s="23"/>
      <c r="X244" s="15"/>
      <c r="Y244" s="25"/>
      <c r="Z244" s="23"/>
      <c r="AA244" s="15"/>
      <c r="AB244" s="14"/>
      <c r="AC244" s="23"/>
      <c r="AD244" s="15"/>
      <c r="AE244" s="25"/>
      <c r="AF244" s="23"/>
      <c r="AG244" s="15"/>
      <c r="AH244" s="14"/>
      <c r="AI244" s="23"/>
      <c r="AJ244" s="15"/>
      <c r="AK244" s="25"/>
      <c r="AL244" s="23"/>
      <c r="AM244" s="15"/>
      <c r="AN244" s="14"/>
      <c r="AO244" s="23"/>
      <c r="AP244" s="15"/>
      <c r="AQ244" s="25"/>
      <c r="AR244" s="23"/>
      <c r="AS244" s="15"/>
      <c r="AT244" s="14"/>
      <c r="AU244" s="23"/>
      <c r="AV244" s="15"/>
      <c r="AW244" s="25"/>
      <c r="AX244" s="23"/>
      <c r="AY244" s="15"/>
      <c r="AZ244" s="14"/>
      <c r="BA244" s="23"/>
      <c r="BB244" s="15"/>
      <c r="BC244" s="25"/>
      <c r="BD244" s="23"/>
      <c r="BE244" s="15"/>
      <c r="BF244" s="14"/>
      <c r="BG244" s="23"/>
      <c r="BH244" s="15"/>
      <c r="BI244" s="25"/>
      <c r="BJ244" s="23"/>
      <c r="BK244" s="15"/>
      <c r="BL244" s="14"/>
      <c r="BM244" s="23"/>
      <c r="BN244" s="15"/>
      <c r="BO244" s="25"/>
      <c r="BP244" s="23"/>
      <c r="BQ244" s="15"/>
      <c r="BR244" s="14"/>
      <c r="BS244" s="23"/>
      <c r="BT244" s="15"/>
      <c r="BU244" s="25"/>
      <c r="BV244" s="23"/>
      <c r="BW244" s="15"/>
      <c r="BX244" s="14"/>
      <c r="BY244" s="23"/>
      <c r="BZ244" s="15"/>
    </row>
    <row r="245" customFormat="false" ht="15" hidden="false" customHeight="false" outlineLevel="0" collapsed="false">
      <c r="A245" s="14"/>
      <c r="B245" s="17" t="str">
        <f aca="false">IF($A245="","",IFERROR(INDEX(Policy!$B$2:$B$301,MATCH($A245,Policy!$A$2:$A$301,0)),"MRO không có"))</f>
        <v/>
      </c>
      <c r="C245" s="17" t="str">
        <f aca="false">IF($A245="","",IFERROR(INDEX(Policy!$E$2:$E$301,MATCH($A245,Policy!$A$2:$A$301,0)),"MRO không có"))</f>
        <v/>
      </c>
      <c r="D245" s="14"/>
      <c r="E245" s="15"/>
      <c r="F245" s="15"/>
      <c r="G245" s="25"/>
      <c r="H245" s="23"/>
      <c r="I245" s="15"/>
      <c r="J245" s="14"/>
      <c r="K245" s="23"/>
      <c r="L245" s="15"/>
      <c r="M245" s="25"/>
      <c r="N245" s="23"/>
      <c r="O245" s="15"/>
      <c r="P245" s="14"/>
      <c r="Q245" s="23"/>
      <c r="R245" s="15"/>
      <c r="S245" s="25"/>
      <c r="T245" s="23"/>
      <c r="U245" s="15"/>
      <c r="V245" s="14"/>
      <c r="W245" s="23"/>
      <c r="X245" s="15"/>
      <c r="Y245" s="25"/>
      <c r="Z245" s="23"/>
      <c r="AA245" s="15"/>
      <c r="AB245" s="14"/>
      <c r="AC245" s="23"/>
      <c r="AD245" s="15"/>
      <c r="AE245" s="25"/>
      <c r="AF245" s="23"/>
      <c r="AG245" s="15"/>
      <c r="AH245" s="14"/>
      <c r="AI245" s="23"/>
      <c r="AJ245" s="15"/>
      <c r="AK245" s="25"/>
      <c r="AL245" s="23"/>
      <c r="AM245" s="15"/>
      <c r="AN245" s="14"/>
      <c r="AO245" s="23"/>
      <c r="AP245" s="15"/>
      <c r="AQ245" s="25"/>
      <c r="AR245" s="23"/>
      <c r="AS245" s="15"/>
      <c r="AT245" s="14"/>
      <c r="AU245" s="23"/>
      <c r="AV245" s="15"/>
      <c r="AW245" s="25"/>
      <c r="AX245" s="23"/>
      <c r="AY245" s="15"/>
      <c r="AZ245" s="14"/>
      <c r="BA245" s="23"/>
      <c r="BB245" s="15"/>
      <c r="BC245" s="25"/>
      <c r="BD245" s="23"/>
      <c r="BE245" s="15"/>
      <c r="BF245" s="14"/>
      <c r="BG245" s="23"/>
      <c r="BH245" s="15"/>
      <c r="BI245" s="25"/>
      <c r="BJ245" s="23"/>
      <c r="BK245" s="15"/>
      <c r="BL245" s="14"/>
      <c r="BM245" s="23"/>
      <c r="BN245" s="15"/>
      <c r="BO245" s="25"/>
      <c r="BP245" s="23"/>
      <c r="BQ245" s="15"/>
      <c r="BR245" s="14"/>
      <c r="BS245" s="23"/>
      <c r="BT245" s="15"/>
      <c r="BU245" s="25"/>
      <c r="BV245" s="23"/>
      <c r="BW245" s="15"/>
      <c r="BX245" s="14"/>
      <c r="BY245" s="23"/>
      <c r="BZ245" s="15"/>
    </row>
    <row r="246" customFormat="false" ht="15" hidden="false" customHeight="false" outlineLevel="0" collapsed="false">
      <c r="A246" s="14"/>
      <c r="B246" s="17" t="str">
        <f aca="false">IF($A246="","",IFERROR(INDEX(Policy!$B$2:$B$301,MATCH($A246,Policy!$A$2:$A$301,0)),"MRO không có"))</f>
        <v/>
      </c>
      <c r="C246" s="17" t="str">
        <f aca="false">IF($A246="","",IFERROR(INDEX(Policy!$E$2:$E$301,MATCH($A246,Policy!$A$2:$A$301,0)),"MRO không có"))</f>
        <v/>
      </c>
      <c r="D246" s="14"/>
      <c r="E246" s="15"/>
      <c r="F246" s="15"/>
      <c r="G246" s="25"/>
      <c r="H246" s="23"/>
      <c r="I246" s="15"/>
      <c r="J246" s="14"/>
      <c r="K246" s="23"/>
      <c r="L246" s="15"/>
      <c r="M246" s="25"/>
      <c r="N246" s="23"/>
      <c r="O246" s="15"/>
      <c r="P246" s="14"/>
      <c r="Q246" s="23"/>
      <c r="R246" s="15"/>
      <c r="S246" s="25"/>
      <c r="T246" s="23"/>
      <c r="U246" s="15"/>
      <c r="V246" s="14"/>
      <c r="W246" s="23"/>
      <c r="X246" s="15"/>
      <c r="Y246" s="25"/>
      <c r="Z246" s="23"/>
      <c r="AA246" s="15"/>
      <c r="AB246" s="14"/>
      <c r="AC246" s="23"/>
      <c r="AD246" s="15"/>
      <c r="AE246" s="25"/>
      <c r="AF246" s="23"/>
      <c r="AG246" s="15"/>
      <c r="AH246" s="14"/>
      <c r="AI246" s="23"/>
      <c r="AJ246" s="15"/>
      <c r="AK246" s="25"/>
      <c r="AL246" s="23"/>
      <c r="AM246" s="15"/>
      <c r="AN246" s="14"/>
      <c r="AO246" s="23"/>
      <c r="AP246" s="15"/>
      <c r="AQ246" s="25"/>
      <c r="AR246" s="23"/>
      <c r="AS246" s="15"/>
      <c r="AT246" s="14"/>
      <c r="AU246" s="23"/>
      <c r="AV246" s="15"/>
      <c r="AW246" s="25"/>
      <c r="AX246" s="23"/>
      <c r="AY246" s="15"/>
      <c r="AZ246" s="14"/>
      <c r="BA246" s="23"/>
      <c r="BB246" s="15"/>
      <c r="BC246" s="25"/>
      <c r="BD246" s="23"/>
      <c r="BE246" s="15"/>
      <c r="BF246" s="14"/>
      <c r="BG246" s="23"/>
      <c r="BH246" s="15"/>
      <c r="BI246" s="25"/>
      <c r="BJ246" s="23"/>
      <c r="BK246" s="15"/>
      <c r="BL246" s="14"/>
      <c r="BM246" s="23"/>
      <c r="BN246" s="15"/>
      <c r="BO246" s="25"/>
      <c r="BP246" s="23"/>
      <c r="BQ246" s="15"/>
      <c r="BR246" s="14"/>
      <c r="BS246" s="23"/>
      <c r="BT246" s="15"/>
      <c r="BU246" s="25"/>
      <c r="BV246" s="23"/>
      <c r="BW246" s="15"/>
      <c r="BX246" s="14"/>
      <c r="BY246" s="23"/>
      <c r="BZ246" s="15"/>
    </row>
    <row r="247" customFormat="false" ht="15" hidden="false" customHeight="false" outlineLevel="0" collapsed="false">
      <c r="A247" s="14"/>
      <c r="B247" s="17" t="str">
        <f aca="false">IF($A247="","",IFERROR(INDEX(Policy!$B$2:$B$301,MATCH($A247,Policy!$A$2:$A$301,0)),"MRO không có"))</f>
        <v/>
      </c>
      <c r="C247" s="17" t="str">
        <f aca="false">IF($A247="","",IFERROR(INDEX(Policy!$E$2:$E$301,MATCH($A247,Policy!$A$2:$A$301,0)),"MRO không có"))</f>
        <v/>
      </c>
      <c r="D247" s="14"/>
      <c r="E247" s="15"/>
      <c r="F247" s="15"/>
      <c r="G247" s="25"/>
      <c r="H247" s="23"/>
      <c r="I247" s="15"/>
      <c r="J247" s="14"/>
      <c r="K247" s="23"/>
      <c r="L247" s="15"/>
      <c r="M247" s="25"/>
      <c r="N247" s="23"/>
      <c r="O247" s="15"/>
      <c r="P247" s="14"/>
      <c r="Q247" s="23"/>
      <c r="R247" s="15"/>
      <c r="S247" s="25"/>
      <c r="T247" s="23"/>
      <c r="U247" s="15"/>
      <c r="V247" s="14"/>
      <c r="W247" s="23"/>
      <c r="X247" s="15"/>
      <c r="Y247" s="25"/>
      <c r="Z247" s="23"/>
      <c r="AA247" s="15"/>
      <c r="AB247" s="14"/>
      <c r="AC247" s="23"/>
      <c r="AD247" s="15"/>
      <c r="AE247" s="25"/>
      <c r="AF247" s="23"/>
      <c r="AG247" s="15"/>
      <c r="AH247" s="14"/>
      <c r="AI247" s="23"/>
      <c r="AJ247" s="15"/>
      <c r="AK247" s="25"/>
      <c r="AL247" s="23"/>
      <c r="AM247" s="15"/>
      <c r="AN247" s="14"/>
      <c r="AO247" s="23"/>
      <c r="AP247" s="15"/>
      <c r="AQ247" s="25"/>
      <c r="AR247" s="23"/>
      <c r="AS247" s="15"/>
      <c r="AT247" s="14"/>
      <c r="AU247" s="23"/>
      <c r="AV247" s="15"/>
      <c r="AW247" s="25"/>
      <c r="AX247" s="23"/>
      <c r="AY247" s="15"/>
      <c r="AZ247" s="14"/>
      <c r="BA247" s="23"/>
      <c r="BB247" s="15"/>
      <c r="BC247" s="25"/>
      <c r="BD247" s="23"/>
      <c r="BE247" s="15"/>
      <c r="BF247" s="14"/>
      <c r="BG247" s="23"/>
      <c r="BH247" s="15"/>
      <c r="BI247" s="25"/>
      <c r="BJ247" s="23"/>
      <c r="BK247" s="15"/>
      <c r="BL247" s="14"/>
      <c r="BM247" s="23"/>
      <c r="BN247" s="15"/>
      <c r="BO247" s="25"/>
      <c r="BP247" s="23"/>
      <c r="BQ247" s="15"/>
      <c r="BR247" s="14"/>
      <c r="BS247" s="23"/>
      <c r="BT247" s="15"/>
      <c r="BU247" s="25"/>
      <c r="BV247" s="23"/>
      <c r="BW247" s="15"/>
      <c r="BX247" s="14"/>
      <c r="BY247" s="23"/>
      <c r="BZ247" s="15"/>
    </row>
    <row r="248" customFormat="false" ht="15" hidden="false" customHeight="false" outlineLevel="0" collapsed="false">
      <c r="A248" s="14"/>
      <c r="B248" s="17" t="str">
        <f aca="false">IF($A248="","",IFERROR(INDEX(Policy!$B$2:$B$301,MATCH($A248,Policy!$A$2:$A$301,0)),"MRO không có"))</f>
        <v/>
      </c>
      <c r="C248" s="17" t="str">
        <f aca="false">IF($A248="","",IFERROR(INDEX(Policy!$E$2:$E$301,MATCH($A248,Policy!$A$2:$A$301,0)),"MRO không có"))</f>
        <v/>
      </c>
      <c r="D248" s="14"/>
      <c r="E248" s="15"/>
      <c r="F248" s="15"/>
      <c r="G248" s="25"/>
      <c r="H248" s="23"/>
      <c r="I248" s="15"/>
      <c r="J248" s="14"/>
      <c r="K248" s="23"/>
      <c r="L248" s="15"/>
      <c r="M248" s="25"/>
      <c r="N248" s="23"/>
      <c r="O248" s="15"/>
      <c r="P248" s="14"/>
      <c r="Q248" s="23"/>
      <c r="R248" s="15"/>
      <c r="S248" s="25"/>
      <c r="T248" s="23"/>
      <c r="U248" s="15"/>
      <c r="V248" s="14"/>
      <c r="W248" s="23"/>
      <c r="X248" s="15"/>
      <c r="Y248" s="25"/>
      <c r="Z248" s="23"/>
      <c r="AA248" s="15"/>
      <c r="AB248" s="14"/>
      <c r="AC248" s="23"/>
      <c r="AD248" s="15"/>
      <c r="AE248" s="25"/>
      <c r="AF248" s="23"/>
      <c r="AG248" s="15"/>
      <c r="AH248" s="14"/>
      <c r="AI248" s="23"/>
      <c r="AJ248" s="15"/>
      <c r="AK248" s="25"/>
      <c r="AL248" s="23"/>
      <c r="AM248" s="15"/>
      <c r="AN248" s="14"/>
      <c r="AO248" s="23"/>
      <c r="AP248" s="15"/>
      <c r="AQ248" s="25"/>
      <c r="AR248" s="23"/>
      <c r="AS248" s="15"/>
      <c r="AT248" s="14"/>
      <c r="AU248" s="23"/>
      <c r="AV248" s="15"/>
      <c r="AW248" s="25"/>
      <c r="AX248" s="23"/>
      <c r="AY248" s="15"/>
      <c r="AZ248" s="14"/>
      <c r="BA248" s="23"/>
      <c r="BB248" s="15"/>
      <c r="BC248" s="25"/>
      <c r="BD248" s="23"/>
      <c r="BE248" s="15"/>
      <c r="BF248" s="14"/>
      <c r="BG248" s="23"/>
      <c r="BH248" s="15"/>
      <c r="BI248" s="25"/>
      <c r="BJ248" s="23"/>
      <c r="BK248" s="15"/>
      <c r="BL248" s="14"/>
      <c r="BM248" s="23"/>
      <c r="BN248" s="15"/>
      <c r="BO248" s="25"/>
      <c r="BP248" s="23"/>
      <c r="BQ248" s="15"/>
      <c r="BR248" s="14"/>
      <c r="BS248" s="23"/>
      <c r="BT248" s="15"/>
      <c r="BU248" s="25"/>
      <c r="BV248" s="23"/>
      <c r="BW248" s="15"/>
      <c r="BX248" s="14"/>
      <c r="BY248" s="23"/>
      <c r="BZ248" s="15"/>
    </row>
    <row r="249" customFormat="false" ht="15" hidden="false" customHeight="false" outlineLevel="0" collapsed="false">
      <c r="A249" s="14"/>
      <c r="B249" s="17" t="str">
        <f aca="false">IF($A249="","",IFERROR(INDEX(Policy!$B$2:$B$301,MATCH($A249,Policy!$A$2:$A$301,0)),"MRO không có"))</f>
        <v/>
      </c>
      <c r="C249" s="17" t="str">
        <f aca="false">IF($A249="","",IFERROR(INDEX(Policy!$E$2:$E$301,MATCH($A249,Policy!$A$2:$A$301,0)),"MRO không có"))</f>
        <v/>
      </c>
      <c r="D249" s="14"/>
      <c r="E249" s="15"/>
      <c r="F249" s="15"/>
      <c r="G249" s="25"/>
      <c r="H249" s="23"/>
      <c r="I249" s="15"/>
      <c r="J249" s="14"/>
      <c r="K249" s="23"/>
      <c r="L249" s="15"/>
      <c r="M249" s="25"/>
      <c r="N249" s="23"/>
      <c r="O249" s="15"/>
      <c r="P249" s="14"/>
      <c r="Q249" s="23"/>
      <c r="R249" s="15"/>
      <c r="S249" s="25"/>
      <c r="T249" s="23"/>
      <c r="U249" s="15"/>
      <c r="V249" s="14"/>
      <c r="W249" s="23"/>
      <c r="X249" s="15"/>
      <c r="Y249" s="25"/>
      <c r="Z249" s="23"/>
      <c r="AA249" s="15"/>
      <c r="AB249" s="14"/>
      <c r="AC249" s="23"/>
      <c r="AD249" s="15"/>
      <c r="AE249" s="25"/>
      <c r="AF249" s="23"/>
      <c r="AG249" s="15"/>
      <c r="AH249" s="14"/>
      <c r="AI249" s="23"/>
      <c r="AJ249" s="15"/>
      <c r="AK249" s="25"/>
      <c r="AL249" s="23"/>
      <c r="AM249" s="15"/>
      <c r="AN249" s="14"/>
      <c r="AO249" s="23"/>
      <c r="AP249" s="15"/>
      <c r="AQ249" s="25"/>
      <c r="AR249" s="23"/>
      <c r="AS249" s="15"/>
      <c r="AT249" s="14"/>
      <c r="AU249" s="23"/>
      <c r="AV249" s="15"/>
      <c r="AW249" s="25"/>
      <c r="AX249" s="23"/>
      <c r="AY249" s="15"/>
      <c r="AZ249" s="14"/>
      <c r="BA249" s="23"/>
      <c r="BB249" s="15"/>
      <c r="BC249" s="25"/>
      <c r="BD249" s="23"/>
      <c r="BE249" s="15"/>
      <c r="BF249" s="14"/>
      <c r="BG249" s="23"/>
      <c r="BH249" s="15"/>
      <c r="BI249" s="25"/>
      <c r="BJ249" s="23"/>
      <c r="BK249" s="15"/>
      <c r="BL249" s="14"/>
      <c r="BM249" s="23"/>
      <c r="BN249" s="15"/>
      <c r="BO249" s="25"/>
      <c r="BP249" s="23"/>
      <c r="BQ249" s="15"/>
      <c r="BR249" s="14"/>
      <c r="BS249" s="23"/>
      <c r="BT249" s="15"/>
      <c r="BU249" s="25"/>
      <c r="BV249" s="23"/>
      <c r="BW249" s="15"/>
      <c r="BX249" s="14"/>
      <c r="BY249" s="23"/>
      <c r="BZ249" s="15"/>
    </row>
    <row r="250" customFormat="false" ht="15" hidden="false" customHeight="false" outlineLevel="0" collapsed="false">
      <c r="A250" s="14"/>
      <c r="B250" s="17" t="str">
        <f aca="false">IF($A250="","",IFERROR(INDEX(Policy!$B$2:$B$301,MATCH($A250,Policy!$A$2:$A$301,0)),"MRO không có"))</f>
        <v/>
      </c>
      <c r="C250" s="17" t="str">
        <f aca="false">IF($A250="","",IFERROR(INDEX(Policy!$E$2:$E$301,MATCH($A250,Policy!$A$2:$A$301,0)),"MRO không có"))</f>
        <v/>
      </c>
      <c r="D250" s="14"/>
      <c r="E250" s="15"/>
      <c r="F250" s="15"/>
      <c r="G250" s="25"/>
      <c r="H250" s="23"/>
      <c r="I250" s="15"/>
      <c r="J250" s="14"/>
      <c r="K250" s="23"/>
      <c r="L250" s="15"/>
      <c r="M250" s="25"/>
      <c r="N250" s="23"/>
      <c r="O250" s="15"/>
      <c r="P250" s="14"/>
      <c r="Q250" s="23"/>
      <c r="R250" s="15"/>
      <c r="S250" s="25"/>
      <c r="T250" s="23"/>
      <c r="U250" s="15"/>
      <c r="V250" s="14"/>
      <c r="W250" s="23"/>
      <c r="X250" s="15"/>
      <c r="Y250" s="25"/>
      <c r="Z250" s="23"/>
      <c r="AA250" s="15"/>
      <c r="AB250" s="14"/>
      <c r="AC250" s="23"/>
      <c r="AD250" s="15"/>
      <c r="AE250" s="25"/>
      <c r="AF250" s="23"/>
      <c r="AG250" s="15"/>
      <c r="AH250" s="14"/>
      <c r="AI250" s="23"/>
      <c r="AJ250" s="15"/>
      <c r="AK250" s="25"/>
      <c r="AL250" s="23"/>
      <c r="AM250" s="15"/>
      <c r="AN250" s="14"/>
      <c r="AO250" s="23"/>
      <c r="AP250" s="15"/>
      <c r="AQ250" s="25"/>
      <c r="AR250" s="23"/>
      <c r="AS250" s="15"/>
      <c r="AT250" s="14"/>
      <c r="AU250" s="23"/>
      <c r="AV250" s="15"/>
      <c r="AW250" s="25"/>
      <c r="AX250" s="23"/>
      <c r="AY250" s="15"/>
      <c r="AZ250" s="14"/>
      <c r="BA250" s="23"/>
      <c r="BB250" s="15"/>
      <c r="BC250" s="25"/>
      <c r="BD250" s="23"/>
      <c r="BE250" s="15"/>
      <c r="BF250" s="14"/>
      <c r="BG250" s="23"/>
      <c r="BH250" s="15"/>
      <c r="BI250" s="25"/>
      <c r="BJ250" s="23"/>
      <c r="BK250" s="15"/>
      <c r="BL250" s="14"/>
      <c r="BM250" s="23"/>
      <c r="BN250" s="15"/>
      <c r="BO250" s="25"/>
      <c r="BP250" s="23"/>
      <c r="BQ250" s="15"/>
      <c r="BR250" s="14"/>
      <c r="BS250" s="23"/>
      <c r="BT250" s="15"/>
      <c r="BU250" s="25"/>
      <c r="BV250" s="23"/>
      <c r="BW250" s="15"/>
      <c r="BX250" s="14"/>
      <c r="BY250" s="23"/>
      <c r="BZ250" s="15"/>
    </row>
    <row r="251" customFormat="false" ht="15" hidden="false" customHeight="false" outlineLevel="0" collapsed="false">
      <c r="A251" s="14"/>
      <c r="B251" s="17" t="str">
        <f aca="false">IF($A251="","",IFERROR(INDEX(Policy!$B$2:$B$301,MATCH($A251,Policy!$A$2:$A$301,0)),"MRO không có"))</f>
        <v/>
      </c>
      <c r="C251" s="17" t="str">
        <f aca="false">IF($A251="","",IFERROR(INDEX(Policy!$E$2:$E$301,MATCH($A251,Policy!$A$2:$A$301,0)),"MRO không có"))</f>
        <v/>
      </c>
      <c r="D251" s="14"/>
      <c r="E251" s="15"/>
      <c r="F251" s="15"/>
      <c r="G251" s="25"/>
      <c r="H251" s="23"/>
      <c r="I251" s="15"/>
      <c r="J251" s="14"/>
      <c r="K251" s="23"/>
      <c r="L251" s="15"/>
      <c r="M251" s="25"/>
      <c r="N251" s="23"/>
      <c r="O251" s="15"/>
      <c r="P251" s="14"/>
      <c r="Q251" s="23"/>
      <c r="R251" s="15"/>
      <c r="S251" s="25"/>
      <c r="T251" s="23"/>
      <c r="U251" s="15"/>
      <c r="V251" s="14"/>
      <c r="W251" s="23"/>
      <c r="X251" s="15"/>
      <c r="Y251" s="25"/>
      <c r="Z251" s="23"/>
      <c r="AA251" s="15"/>
      <c r="AB251" s="14"/>
      <c r="AC251" s="23"/>
      <c r="AD251" s="15"/>
      <c r="AE251" s="25"/>
      <c r="AF251" s="23"/>
      <c r="AG251" s="15"/>
      <c r="AH251" s="14"/>
      <c r="AI251" s="23"/>
      <c r="AJ251" s="15"/>
      <c r="AK251" s="25"/>
      <c r="AL251" s="23"/>
      <c r="AM251" s="15"/>
      <c r="AN251" s="14"/>
      <c r="AO251" s="23"/>
      <c r="AP251" s="15"/>
      <c r="AQ251" s="25"/>
      <c r="AR251" s="23"/>
      <c r="AS251" s="15"/>
      <c r="AT251" s="14"/>
      <c r="AU251" s="23"/>
      <c r="AV251" s="15"/>
      <c r="AW251" s="25"/>
      <c r="AX251" s="23"/>
      <c r="AY251" s="15"/>
      <c r="AZ251" s="14"/>
      <c r="BA251" s="23"/>
      <c r="BB251" s="15"/>
      <c r="BC251" s="25"/>
      <c r="BD251" s="23"/>
      <c r="BE251" s="15"/>
      <c r="BF251" s="14"/>
      <c r="BG251" s="23"/>
      <c r="BH251" s="15"/>
      <c r="BI251" s="25"/>
      <c r="BJ251" s="23"/>
      <c r="BK251" s="15"/>
      <c r="BL251" s="14"/>
      <c r="BM251" s="23"/>
      <c r="BN251" s="15"/>
      <c r="BO251" s="25"/>
      <c r="BP251" s="23"/>
      <c r="BQ251" s="15"/>
      <c r="BR251" s="14"/>
      <c r="BS251" s="23"/>
      <c r="BT251" s="15"/>
      <c r="BU251" s="25"/>
      <c r="BV251" s="23"/>
      <c r="BW251" s="15"/>
      <c r="BX251" s="14"/>
      <c r="BY251" s="23"/>
      <c r="BZ251" s="15"/>
    </row>
    <row r="252" customFormat="false" ht="15" hidden="false" customHeight="false" outlineLevel="0" collapsed="false">
      <c r="A252" s="14"/>
      <c r="B252" s="17" t="str">
        <f aca="false">IF($A252="","",IFERROR(INDEX(Policy!$B$2:$B$301,MATCH($A252,Policy!$A$2:$A$301,0)),"MRO không có"))</f>
        <v/>
      </c>
      <c r="C252" s="17" t="str">
        <f aca="false">IF($A252="","",IFERROR(INDEX(Policy!$E$2:$E$301,MATCH($A252,Policy!$A$2:$A$301,0)),"MRO không có"))</f>
        <v/>
      </c>
      <c r="D252" s="14"/>
      <c r="E252" s="15"/>
      <c r="F252" s="15"/>
      <c r="G252" s="25"/>
      <c r="H252" s="23"/>
      <c r="I252" s="15"/>
      <c r="J252" s="14"/>
      <c r="K252" s="23"/>
      <c r="L252" s="15"/>
      <c r="M252" s="25"/>
      <c r="N252" s="23"/>
      <c r="O252" s="15"/>
      <c r="P252" s="14"/>
      <c r="Q252" s="23"/>
      <c r="R252" s="15"/>
      <c r="S252" s="25"/>
      <c r="T252" s="23"/>
      <c r="U252" s="15"/>
      <c r="V252" s="14"/>
      <c r="W252" s="23"/>
      <c r="X252" s="15"/>
      <c r="Y252" s="25"/>
      <c r="Z252" s="23"/>
      <c r="AA252" s="15"/>
      <c r="AB252" s="14"/>
      <c r="AC252" s="23"/>
      <c r="AD252" s="15"/>
      <c r="AE252" s="25"/>
      <c r="AF252" s="23"/>
      <c r="AG252" s="15"/>
      <c r="AH252" s="14"/>
      <c r="AI252" s="23"/>
      <c r="AJ252" s="15"/>
      <c r="AK252" s="25"/>
      <c r="AL252" s="23"/>
      <c r="AM252" s="15"/>
      <c r="AN252" s="14"/>
      <c r="AO252" s="23"/>
      <c r="AP252" s="15"/>
      <c r="AQ252" s="25"/>
      <c r="AR252" s="23"/>
      <c r="AS252" s="15"/>
      <c r="AT252" s="14"/>
      <c r="AU252" s="23"/>
      <c r="AV252" s="15"/>
      <c r="AW252" s="25"/>
      <c r="AX252" s="23"/>
      <c r="AY252" s="15"/>
      <c r="AZ252" s="14"/>
      <c r="BA252" s="23"/>
      <c r="BB252" s="15"/>
      <c r="BC252" s="25"/>
      <c r="BD252" s="23"/>
      <c r="BE252" s="15"/>
      <c r="BF252" s="14"/>
      <c r="BG252" s="23"/>
      <c r="BH252" s="15"/>
      <c r="BI252" s="25"/>
      <c r="BJ252" s="23"/>
      <c r="BK252" s="15"/>
      <c r="BL252" s="14"/>
      <c r="BM252" s="23"/>
      <c r="BN252" s="15"/>
      <c r="BO252" s="25"/>
      <c r="BP252" s="23"/>
      <c r="BQ252" s="15"/>
      <c r="BR252" s="14"/>
      <c r="BS252" s="23"/>
      <c r="BT252" s="15"/>
      <c r="BU252" s="25"/>
      <c r="BV252" s="23"/>
      <c r="BW252" s="15"/>
      <c r="BX252" s="14"/>
      <c r="BY252" s="23"/>
      <c r="BZ252" s="15"/>
    </row>
    <row r="253" customFormat="false" ht="15" hidden="false" customHeight="false" outlineLevel="0" collapsed="false">
      <c r="A253" s="14"/>
      <c r="B253" s="17" t="str">
        <f aca="false">IF($A253="","",IFERROR(INDEX(Policy!$B$2:$B$301,MATCH($A253,Policy!$A$2:$A$301,0)),"MRO không có"))</f>
        <v/>
      </c>
      <c r="C253" s="17" t="str">
        <f aca="false">IF($A253="","",IFERROR(INDEX(Policy!$E$2:$E$301,MATCH($A253,Policy!$A$2:$A$301,0)),"MRO không có"))</f>
        <v/>
      </c>
      <c r="D253" s="14"/>
      <c r="E253" s="15"/>
      <c r="F253" s="15"/>
      <c r="G253" s="25"/>
      <c r="H253" s="23"/>
      <c r="I253" s="15"/>
      <c r="J253" s="14"/>
      <c r="K253" s="23"/>
      <c r="L253" s="15"/>
      <c r="M253" s="25"/>
      <c r="N253" s="23"/>
      <c r="O253" s="15"/>
      <c r="P253" s="14"/>
      <c r="Q253" s="23"/>
      <c r="R253" s="15"/>
      <c r="S253" s="25"/>
      <c r="T253" s="23"/>
      <c r="U253" s="15"/>
      <c r="V253" s="14"/>
      <c r="W253" s="23"/>
      <c r="X253" s="15"/>
      <c r="Y253" s="25"/>
      <c r="Z253" s="23"/>
      <c r="AA253" s="15"/>
      <c r="AB253" s="14"/>
      <c r="AC253" s="23"/>
      <c r="AD253" s="15"/>
      <c r="AE253" s="25"/>
      <c r="AF253" s="23"/>
      <c r="AG253" s="15"/>
      <c r="AH253" s="14"/>
      <c r="AI253" s="23"/>
      <c r="AJ253" s="15"/>
      <c r="AK253" s="25"/>
      <c r="AL253" s="23"/>
      <c r="AM253" s="15"/>
      <c r="AN253" s="14"/>
      <c r="AO253" s="23"/>
      <c r="AP253" s="15"/>
      <c r="AQ253" s="25"/>
      <c r="AR253" s="23"/>
      <c r="AS253" s="15"/>
      <c r="AT253" s="14"/>
      <c r="AU253" s="23"/>
      <c r="AV253" s="15"/>
      <c r="AW253" s="25"/>
      <c r="AX253" s="23"/>
      <c r="AY253" s="15"/>
      <c r="AZ253" s="14"/>
      <c r="BA253" s="23"/>
      <c r="BB253" s="15"/>
      <c r="BC253" s="25"/>
      <c r="BD253" s="23"/>
      <c r="BE253" s="15"/>
      <c r="BF253" s="14"/>
      <c r="BG253" s="23"/>
      <c r="BH253" s="15"/>
      <c r="BI253" s="25"/>
      <c r="BJ253" s="23"/>
      <c r="BK253" s="15"/>
      <c r="BL253" s="14"/>
      <c r="BM253" s="23"/>
      <c r="BN253" s="15"/>
      <c r="BO253" s="25"/>
      <c r="BP253" s="23"/>
      <c r="BQ253" s="15"/>
      <c r="BR253" s="14"/>
      <c r="BS253" s="23"/>
      <c r="BT253" s="15"/>
      <c r="BU253" s="25"/>
      <c r="BV253" s="23"/>
      <c r="BW253" s="15"/>
      <c r="BX253" s="14"/>
      <c r="BY253" s="23"/>
      <c r="BZ253" s="15"/>
    </row>
    <row r="254" customFormat="false" ht="15" hidden="false" customHeight="false" outlineLevel="0" collapsed="false">
      <c r="A254" s="14"/>
      <c r="B254" s="17" t="str">
        <f aca="false">IF($A254="","",IFERROR(INDEX(Policy!$B$2:$B$301,MATCH($A254,Policy!$A$2:$A$301,0)),"MRO không có"))</f>
        <v/>
      </c>
      <c r="C254" s="17" t="str">
        <f aca="false">IF($A254="","",IFERROR(INDEX(Policy!$E$2:$E$301,MATCH($A254,Policy!$A$2:$A$301,0)),"MRO không có"))</f>
        <v/>
      </c>
      <c r="D254" s="14"/>
      <c r="E254" s="15"/>
      <c r="F254" s="15"/>
      <c r="G254" s="25"/>
      <c r="H254" s="23"/>
      <c r="I254" s="15"/>
      <c r="J254" s="14"/>
      <c r="K254" s="23"/>
      <c r="L254" s="15"/>
      <c r="M254" s="25"/>
      <c r="N254" s="23"/>
      <c r="O254" s="15"/>
      <c r="P254" s="14"/>
      <c r="Q254" s="23"/>
      <c r="R254" s="15"/>
      <c r="S254" s="25"/>
      <c r="T254" s="23"/>
      <c r="U254" s="15"/>
      <c r="V254" s="14"/>
      <c r="W254" s="23"/>
      <c r="X254" s="15"/>
      <c r="Y254" s="25"/>
      <c r="Z254" s="23"/>
      <c r="AA254" s="15"/>
      <c r="AB254" s="14"/>
      <c r="AC254" s="23"/>
      <c r="AD254" s="15"/>
      <c r="AE254" s="25"/>
      <c r="AF254" s="23"/>
      <c r="AG254" s="15"/>
      <c r="AH254" s="14"/>
      <c r="AI254" s="23"/>
      <c r="AJ254" s="15"/>
      <c r="AK254" s="25"/>
      <c r="AL254" s="23"/>
      <c r="AM254" s="15"/>
      <c r="AN254" s="14"/>
      <c r="AO254" s="23"/>
      <c r="AP254" s="15"/>
      <c r="AQ254" s="25"/>
      <c r="AR254" s="23"/>
      <c r="AS254" s="15"/>
      <c r="AT254" s="14"/>
      <c r="AU254" s="23"/>
      <c r="AV254" s="15"/>
      <c r="AW254" s="25"/>
      <c r="AX254" s="23"/>
      <c r="AY254" s="15"/>
      <c r="AZ254" s="14"/>
      <c r="BA254" s="23"/>
      <c r="BB254" s="15"/>
      <c r="BC254" s="25"/>
      <c r="BD254" s="23"/>
      <c r="BE254" s="15"/>
      <c r="BF254" s="14"/>
      <c r="BG254" s="23"/>
      <c r="BH254" s="15"/>
      <c r="BI254" s="25"/>
      <c r="BJ254" s="23"/>
      <c r="BK254" s="15"/>
      <c r="BL254" s="14"/>
      <c r="BM254" s="23"/>
      <c r="BN254" s="15"/>
      <c r="BO254" s="25"/>
      <c r="BP254" s="23"/>
      <c r="BQ254" s="15"/>
      <c r="BR254" s="14"/>
      <c r="BS254" s="23"/>
      <c r="BT254" s="15"/>
      <c r="BU254" s="25"/>
      <c r="BV254" s="23"/>
      <c r="BW254" s="15"/>
      <c r="BX254" s="14"/>
      <c r="BY254" s="23"/>
      <c r="BZ254" s="15"/>
    </row>
    <row r="255" customFormat="false" ht="15" hidden="false" customHeight="false" outlineLevel="0" collapsed="false">
      <c r="A255" s="14"/>
      <c r="B255" s="17" t="str">
        <f aca="false">IF($A255="","",IFERROR(INDEX(Policy!$B$2:$B$301,MATCH($A255,Policy!$A$2:$A$301,0)),"MRO không có"))</f>
        <v/>
      </c>
      <c r="C255" s="17" t="str">
        <f aca="false">IF($A255="","",IFERROR(INDEX(Policy!$E$2:$E$301,MATCH($A255,Policy!$A$2:$A$301,0)),"MRO không có"))</f>
        <v/>
      </c>
      <c r="D255" s="14"/>
      <c r="E255" s="15"/>
      <c r="F255" s="15"/>
      <c r="G255" s="25"/>
      <c r="H255" s="23"/>
      <c r="I255" s="15"/>
      <c r="J255" s="14"/>
      <c r="K255" s="23"/>
      <c r="L255" s="15"/>
      <c r="M255" s="25"/>
      <c r="N255" s="23"/>
      <c r="O255" s="15"/>
      <c r="P255" s="14"/>
      <c r="Q255" s="23"/>
      <c r="R255" s="15"/>
      <c r="S255" s="25"/>
      <c r="T255" s="23"/>
      <c r="U255" s="15"/>
      <c r="V255" s="14"/>
      <c r="W255" s="23"/>
      <c r="X255" s="15"/>
      <c r="Y255" s="25"/>
      <c r="Z255" s="23"/>
      <c r="AA255" s="15"/>
      <c r="AB255" s="14"/>
      <c r="AC255" s="23"/>
      <c r="AD255" s="15"/>
      <c r="AE255" s="25"/>
      <c r="AF255" s="23"/>
      <c r="AG255" s="15"/>
      <c r="AH255" s="14"/>
      <c r="AI255" s="23"/>
      <c r="AJ255" s="15"/>
      <c r="AK255" s="25"/>
      <c r="AL255" s="23"/>
      <c r="AM255" s="15"/>
      <c r="AN255" s="14"/>
      <c r="AO255" s="23"/>
      <c r="AP255" s="15"/>
      <c r="AQ255" s="25"/>
      <c r="AR255" s="23"/>
      <c r="AS255" s="15"/>
      <c r="AT255" s="14"/>
      <c r="AU255" s="23"/>
      <c r="AV255" s="15"/>
      <c r="AW255" s="25"/>
      <c r="AX255" s="23"/>
      <c r="AY255" s="15"/>
      <c r="AZ255" s="14"/>
      <c r="BA255" s="23"/>
      <c r="BB255" s="15"/>
      <c r="BC255" s="25"/>
      <c r="BD255" s="23"/>
      <c r="BE255" s="15"/>
      <c r="BF255" s="14"/>
      <c r="BG255" s="23"/>
      <c r="BH255" s="15"/>
      <c r="BI255" s="25"/>
      <c r="BJ255" s="23"/>
      <c r="BK255" s="15"/>
      <c r="BL255" s="14"/>
      <c r="BM255" s="23"/>
      <c r="BN255" s="15"/>
      <c r="BO255" s="25"/>
      <c r="BP255" s="23"/>
      <c r="BQ255" s="15"/>
      <c r="BR255" s="14"/>
      <c r="BS255" s="23"/>
      <c r="BT255" s="15"/>
      <c r="BU255" s="25"/>
      <c r="BV255" s="23"/>
      <c r="BW255" s="15"/>
      <c r="BX255" s="14"/>
      <c r="BY255" s="23"/>
      <c r="BZ255" s="15"/>
    </row>
    <row r="256" customFormat="false" ht="15" hidden="false" customHeight="false" outlineLevel="0" collapsed="false">
      <c r="A256" s="14"/>
      <c r="B256" s="17" t="str">
        <f aca="false">IF($A256="","",IFERROR(INDEX(Policy!$B$2:$B$301,MATCH($A256,Policy!$A$2:$A$301,0)),"MRO không có"))</f>
        <v/>
      </c>
      <c r="C256" s="17" t="str">
        <f aca="false">IF($A256="","",IFERROR(INDEX(Policy!$E$2:$E$301,MATCH($A256,Policy!$A$2:$A$301,0)),"MRO không có"))</f>
        <v/>
      </c>
      <c r="D256" s="14"/>
      <c r="E256" s="15"/>
      <c r="F256" s="15"/>
      <c r="G256" s="25"/>
      <c r="H256" s="23"/>
      <c r="I256" s="15"/>
      <c r="J256" s="14"/>
      <c r="K256" s="23"/>
      <c r="L256" s="15"/>
      <c r="M256" s="25"/>
      <c r="N256" s="23"/>
      <c r="O256" s="15"/>
      <c r="P256" s="14"/>
      <c r="Q256" s="23"/>
      <c r="R256" s="15"/>
      <c r="S256" s="25"/>
      <c r="T256" s="23"/>
      <c r="U256" s="15"/>
      <c r="V256" s="14"/>
      <c r="W256" s="23"/>
      <c r="X256" s="15"/>
      <c r="Y256" s="25"/>
      <c r="Z256" s="23"/>
      <c r="AA256" s="15"/>
      <c r="AB256" s="14"/>
      <c r="AC256" s="23"/>
      <c r="AD256" s="15"/>
      <c r="AE256" s="25"/>
      <c r="AF256" s="23"/>
      <c r="AG256" s="15"/>
      <c r="AH256" s="14"/>
      <c r="AI256" s="23"/>
      <c r="AJ256" s="15"/>
      <c r="AK256" s="25"/>
      <c r="AL256" s="23"/>
      <c r="AM256" s="15"/>
      <c r="AN256" s="14"/>
      <c r="AO256" s="23"/>
      <c r="AP256" s="15"/>
      <c r="AQ256" s="25"/>
      <c r="AR256" s="23"/>
      <c r="AS256" s="15"/>
      <c r="AT256" s="14"/>
      <c r="AU256" s="23"/>
      <c r="AV256" s="15"/>
      <c r="AW256" s="25"/>
      <c r="AX256" s="23"/>
      <c r="AY256" s="15"/>
      <c r="AZ256" s="14"/>
      <c r="BA256" s="23"/>
      <c r="BB256" s="15"/>
      <c r="BC256" s="25"/>
      <c r="BD256" s="23"/>
      <c r="BE256" s="15"/>
      <c r="BF256" s="14"/>
      <c r="BG256" s="23"/>
      <c r="BH256" s="15"/>
      <c r="BI256" s="25"/>
      <c r="BJ256" s="23"/>
      <c r="BK256" s="15"/>
      <c r="BL256" s="14"/>
      <c r="BM256" s="23"/>
      <c r="BN256" s="15"/>
      <c r="BO256" s="25"/>
      <c r="BP256" s="23"/>
      <c r="BQ256" s="15"/>
      <c r="BR256" s="14"/>
      <c r="BS256" s="23"/>
      <c r="BT256" s="15"/>
      <c r="BU256" s="25"/>
      <c r="BV256" s="23"/>
      <c r="BW256" s="15"/>
      <c r="BX256" s="14"/>
      <c r="BY256" s="23"/>
      <c r="BZ256" s="15"/>
    </row>
    <row r="257" customFormat="false" ht="15" hidden="false" customHeight="false" outlineLevel="0" collapsed="false">
      <c r="A257" s="14"/>
      <c r="B257" s="17" t="str">
        <f aca="false">IF($A257="","",IFERROR(INDEX(Policy!$B$2:$B$301,MATCH($A257,Policy!$A$2:$A$301,0)),"MRO không có"))</f>
        <v/>
      </c>
      <c r="C257" s="17" t="str">
        <f aca="false">IF($A257="","",IFERROR(INDEX(Policy!$E$2:$E$301,MATCH($A257,Policy!$A$2:$A$301,0)),"MRO không có"))</f>
        <v/>
      </c>
      <c r="D257" s="14"/>
      <c r="E257" s="15"/>
      <c r="F257" s="15"/>
      <c r="G257" s="25"/>
      <c r="H257" s="23"/>
      <c r="I257" s="15"/>
      <c r="J257" s="14"/>
      <c r="K257" s="23"/>
      <c r="L257" s="15"/>
      <c r="M257" s="25"/>
      <c r="N257" s="23"/>
      <c r="O257" s="15"/>
      <c r="P257" s="14"/>
      <c r="Q257" s="23"/>
      <c r="R257" s="15"/>
      <c r="S257" s="25"/>
      <c r="T257" s="23"/>
      <c r="U257" s="15"/>
      <c r="V257" s="14"/>
      <c r="W257" s="23"/>
      <c r="X257" s="15"/>
      <c r="Y257" s="25"/>
      <c r="Z257" s="23"/>
      <c r="AA257" s="15"/>
      <c r="AB257" s="14"/>
      <c r="AC257" s="23"/>
      <c r="AD257" s="15"/>
      <c r="AE257" s="25"/>
      <c r="AF257" s="23"/>
      <c r="AG257" s="15"/>
      <c r="AH257" s="14"/>
      <c r="AI257" s="23"/>
      <c r="AJ257" s="15"/>
      <c r="AK257" s="25"/>
      <c r="AL257" s="23"/>
      <c r="AM257" s="15"/>
      <c r="AN257" s="14"/>
      <c r="AO257" s="23"/>
      <c r="AP257" s="15"/>
      <c r="AQ257" s="25"/>
      <c r="AR257" s="23"/>
      <c r="AS257" s="15"/>
      <c r="AT257" s="14"/>
      <c r="AU257" s="23"/>
      <c r="AV257" s="15"/>
      <c r="AW257" s="25"/>
      <c r="AX257" s="23"/>
      <c r="AY257" s="15"/>
      <c r="AZ257" s="14"/>
      <c r="BA257" s="23"/>
      <c r="BB257" s="15"/>
      <c r="BC257" s="25"/>
      <c r="BD257" s="23"/>
      <c r="BE257" s="15"/>
      <c r="BF257" s="14"/>
      <c r="BG257" s="23"/>
      <c r="BH257" s="15"/>
      <c r="BI257" s="25"/>
      <c r="BJ257" s="23"/>
      <c r="BK257" s="15"/>
      <c r="BL257" s="14"/>
      <c r="BM257" s="23"/>
      <c r="BN257" s="15"/>
      <c r="BO257" s="25"/>
      <c r="BP257" s="23"/>
      <c r="BQ257" s="15"/>
      <c r="BR257" s="14"/>
      <c r="BS257" s="23"/>
      <c r="BT257" s="15"/>
      <c r="BU257" s="25"/>
      <c r="BV257" s="23"/>
      <c r="BW257" s="15"/>
      <c r="BX257" s="14"/>
      <c r="BY257" s="23"/>
      <c r="BZ257" s="15"/>
    </row>
    <row r="258" customFormat="false" ht="15" hidden="false" customHeight="false" outlineLevel="0" collapsed="false">
      <c r="A258" s="14"/>
      <c r="B258" s="17" t="str">
        <f aca="false">IF($A258="","",IFERROR(INDEX(Policy!$B$2:$B$301,MATCH($A258,Policy!$A$2:$A$301,0)),"MRO không có"))</f>
        <v/>
      </c>
      <c r="C258" s="17" t="str">
        <f aca="false">IF($A258="","",IFERROR(INDEX(Policy!$E$2:$E$301,MATCH($A258,Policy!$A$2:$A$301,0)),"MRO không có"))</f>
        <v/>
      </c>
      <c r="D258" s="14"/>
      <c r="E258" s="15"/>
      <c r="F258" s="15"/>
      <c r="G258" s="25"/>
      <c r="H258" s="23"/>
      <c r="I258" s="15"/>
      <c r="J258" s="14"/>
      <c r="K258" s="23"/>
      <c r="L258" s="15"/>
      <c r="M258" s="25"/>
      <c r="N258" s="23"/>
      <c r="O258" s="15"/>
      <c r="P258" s="14"/>
      <c r="Q258" s="23"/>
      <c r="R258" s="15"/>
      <c r="S258" s="25"/>
      <c r="T258" s="23"/>
      <c r="U258" s="15"/>
      <c r="V258" s="14"/>
      <c r="W258" s="23"/>
      <c r="X258" s="15"/>
      <c r="Y258" s="25"/>
      <c r="Z258" s="23"/>
      <c r="AA258" s="15"/>
      <c r="AB258" s="14"/>
      <c r="AC258" s="23"/>
      <c r="AD258" s="15"/>
      <c r="AE258" s="25"/>
      <c r="AF258" s="23"/>
      <c r="AG258" s="15"/>
      <c r="AH258" s="14"/>
      <c r="AI258" s="23"/>
      <c r="AJ258" s="15"/>
      <c r="AK258" s="25"/>
      <c r="AL258" s="23"/>
      <c r="AM258" s="15"/>
      <c r="AN258" s="14"/>
      <c r="AO258" s="23"/>
      <c r="AP258" s="15"/>
      <c r="AQ258" s="25"/>
      <c r="AR258" s="23"/>
      <c r="AS258" s="15"/>
      <c r="AT258" s="14"/>
      <c r="AU258" s="23"/>
      <c r="AV258" s="15"/>
      <c r="AW258" s="25"/>
      <c r="AX258" s="23"/>
      <c r="AY258" s="15"/>
      <c r="AZ258" s="14"/>
      <c r="BA258" s="23"/>
      <c r="BB258" s="15"/>
      <c r="BC258" s="25"/>
      <c r="BD258" s="23"/>
      <c r="BE258" s="15"/>
      <c r="BF258" s="14"/>
      <c r="BG258" s="23"/>
      <c r="BH258" s="15"/>
      <c r="BI258" s="25"/>
      <c r="BJ258" s="23"/>
      <c r="BK258" s="15"/>
      <c r="BL258" s="14"/>
      <c r="BM258" s="23"/>
      <c r="BN258" s="15"/>
      <c r="BO258" s="25"/>
      <c r="BP258" s="23"/>
      <c r="BQ258" s="15"/>
      <c r="BR258" s="14"/>
      <c r="BS258" s="23"/>
      <c r="BT258" s="15"/>
      <c r="BU258" s="25"/>
      <c r="BV258" s="23"/>
      <c r="BW258" s="15"/>
      <c r="BX258" s="14"/>
      <c r="BY258" s="23"/>
      <c r="BZ258" s="15"/>
    </row>
    <row r="259" customFormat="false" ht="15" hidden="false" customHeight="false" outlineLevel="0" collapsed="false">
      <c r="A259" s="14"/>
      <c r="B259" s="17" t="str">
        <f aca="false">IF($A259="","",IFERROR(INDEX(Policy!$B$2:$B$301,MATCH($A259,Policy!$A$2:$A$301,0)),"MRO không có"))</f>
        <v/>
      </c>
      <c r="C259" s="17" t="str">
        <f aca="false">IF($A259="","",IFERROR(INDEX(Policy!$E$2:$E$301,MATCH($A259,Policy!$A$2:$A$301,0)),"MRO không có"))</f>
        <v/>
      </c>
      <c r="D259" s="14"/>
      <c r="E259" s="15"/>
      <c r="F259" s="15"/>
      <c r="G259" s="25"/>
      <c r="H259" s="23"/>
      <c r="I259" s="15"/>
      <c r="J259" s="14"/>
      <c r="K259" s="23"/>
      <c r="L259" s="15"/>
      <c r="M259" s="25"/>
      <c r="N259" s="23"/>
      <c r="O259" s="15"/>
      <c r="P259" s="14"/>
      <c r="Q259" s="23"/>
      <c r="R259" s="15"/>
      <c r="S259" s="25"/>
      <c r="T259" s="23"/>
      <c r="U259" s="15"/>
      <c r="V259" s="14"/>
      <c r="W259" s="23"/>
      <c r="X259" s="15"/>
      <c r="Y259" s="25"/>
      <c r="Z259" s="23"/>
      <c r="AA259" s="15"/>
      <c r="AB259" s="14"/>
      <c r="AC259" s="23"/>
      <c r="AD259" s="15"/>
      <c r="AE259" s="25"/>
      <c r="AF259" s="23"/>
      <c r="AG259" s="15"/>
      <c r="AH259" s="14"/>
      <c r="AI259" s="23"/>
      <c r="AJ259" s="15"/>
      <c r="AK259" s="25"/>
      <c r="AL259" s="23"/>
      <c r="AM259" s="15"/>
      <c r="AN259" s="14"/>
      <c r="AO259" s="23"/>
      <c r="AP259" s="15"/>
      <c r="AQ259" s="25"/>
      <c r="AR259" s="23"/>
      <c r="AS259" s="15"/>
      <c r="AT259" s="14"/>
      <c r="AU259" s="23"/>
      <c r="AV259" s="15"/>
      <c r="AW259" s="25"/>
      <c r="AX259" s="23"/>
      <c r="AY259" s="15"/>
      <c r="AZ259" s="14"/>
      <c r="BA259" s="23"/>
      <c r="BB259" s="15"/>
      <c r="BC259" s="25"/>
      <c r="BD259" s="23"/>
      <c r="BE259" s="15"/>
      <c r="BF259" s="14"/>
      <c r="BG259" s="23"/>
      <c r="BH259" s="15"/>
      <c r="BI259" s="25"/>
      <c r="BJ259" s="23"/>
      <c r="BK259" s="15"/>
      <c r="BL259" s="14"/>
      <c r="BM259" s="23"/>
      <c r="BN259" s="15"/>
      <c r="BO259" s="25"/>
      <c r="BP259" s="23"/>
      <c r="BQ259" s="15"/>
      <c r="BR259" s="14"/>
      <c r="BS259" s="23"/>
      <c r="BT259" s="15"/>
      <c r="BU259" s="25"/>
      <c r="BV259" s="23"/>
      <c r="BW259" s="15"/>
      <c r="BX259" s="14"/>
      <c r="BY259" s="23"/>
      <c r="BZ259" s="15"/>
    </row>
    <row r="260" customFormat="false" ht="15" hidden="false" customHeight="false" outlineLevel="0" collapsed="false">
      <c r="A260" s="14"/>
      <c r="B260" s="17" t="str">
        <f aca="false">IF($A260="","",IFERROR(INDEX(Policy!$B$2:$B$301,MATCH($A260,Policy!$A$2:$A$301,0)),"MRO không có"))</f>
        <v/>
      </c>
      <c r="C260" s="17" t="str">
        <f aca="false">IF($A260="","",IFERROR(INDEX(Policy!$E$2:$E$301,MATCH($A260,Policy!$A$2:$A$301,0)),"MRO không có"))</f>
        <v/>
      </c>
      <c r="D260" s="14"/>
      <c r="E260" s="15"/>
      <c r="F260" s="15"/>
      <c r="G260" s="25"/>
      <c r="H260" s="23"/>
      <c r="I260" s="15"/>
      <c r="J260" s="14"/>
      <c r="K260" s="23"/>
      <c r="L260" s="15"/>
      <c r="M260" s="25"/>
      <c r="N260" s="23"/>
      <c r="O260" s="15"/>
      <c r="P260" s="14"/>
      <c r="Q260" s="23"/>
      <c r="R260" s="15"/>
      <c r="S260" s="25"/>
      <c r="T260" s="23"/>
      <c r="U260" s="15"/>
      <c r="V260" s="14"/>
      <c r="W260" s="23"/>
      <c r="X260" s="15"/>
      <c r="Y260" s="25"/>
      <c r="Z260" s="23"/>
      <c r="AA260" s="15"/>
      <c r="AB260" s="14"/>
      <c r="AC260" s="23"/>
      <c r="AD260" s="15"/>
      <c r="AE260" s="25"/>
      <c r="AF260" s="23"/>
      <c r="AG260" s="15"/>
      <c r="AH260" s="14"/>
      <c r="AI260" s="23"/>
      <c r="AJ260" s="15"/>
      <c r="AK260" s="25"/>
      <c r="AL260" s="23"/>
      <c r="AM260" s="15"/>
      <c r="AN260" s="14"/>
      <c r="AO260" s="23"/>
      <c r="AP260" s="15"/>
      <c r="AQ260" s="25"/>
      <c r="AR260" s="23"/>
      <c r="AS260" s="15"/>
      <c r="AT260" s="14"/>
      <c r="AU260" s="23"/>
      <c r="AV260" s="15"/>
      <c r="AW260" s="25"/>
      <c r="AX260" s="23"/>
      <c r="AY260" s="15"/>
      <c r="AZ260" s="14"/>
      <c r="BA260" s="23"/>
      <c r="BB260" s="15"/>
      <c r="BC260" s="25"/>
      <c r="BD260" s="23"/>
      <c r="BE260" s="15"/>
      <c r="BF260" s="14"/>
      <c r="BG260" s="23"/>
      <c r="BH260" s="15"/>
      <c r="BI260" s="25"/>
      <c r="BJ260" s="23"/>
      <c r="BK260" s="15"/>
      <c r="BL260" s="14"/>
      <c r="BM260" s="23"/>
      <c r="BN260" s="15"/>
      <c r="BO260" s="25"/>
      <c r="BP260" s="23"/>
      <c r="BQ260" s="15"/>
      <c r="BR260" s="14"/>
      <c r="BS260" s="23"/>
      <c r="BT260" s="15"/>
      <c r="BU260" s="25"/>
      <c r="BV260" s="23"/>
      <c r="BW260" s="15"/>
      <c r="BX260" s="14"/>
      <c r="BY260" s="23"/>
      <c r="BZ260" s="15"/>
    </row>
    <row r="261" customFormat="false" ht="15" hidden="false" customHeight="false" outlineLevel="0" collapsed="false">
      <c r="A261" s="14"/>
      <c r="B261" s="17" t="str">
        <f aca="false">IF($A261="","",IFERROR(INDEX(Policy!$B$2:$B$301,MATCH($A261,Policy!$A$2:$A$301,0)),"MRO không có"))</f>
        <v/>
      </c>
      <c r="C261" s="17" t="str">
        <f aca="false">IF($A261="","",IFERROR(INDEX(Policy!$E$2:$E$301,MATCH($A261,Policy!$A$2:$A$301,0)),"MRO không có"))</f>
        <v/>
      </c>
      <c r="D261" s="14"/>
      <c r="E261" s="15"/>
      <c r="F261" s="15"/>
      <c r="G261" s="25"/>
      <c r="H261" s="23"/>
      <c r="I261" s="15"/>
      <c r="J261" s="14"/>
      <c r="K261" s="23"/>
      <c r="L261" s="15"/>
      <c r="M261" s="25"/>
      <c r="N261" s="23"/>
      <c r="O261" s="15"/>
      <c r="P261" s="14"/>
      <c r="Q261" s="23"/>
      <c r="R261" s="15"/>
      <c r="S261" s="25"/>
      <c r="T261" s="23"/>
      <c r="U261" s="15"/>
      <c r="V261" s="14"/>
      <c r="W261" s="23"/>
      <c r="X261" s="15"/>
      <c r="Y261" s="25"/>
      <c r="Z261" s="23"/>
      <c r="AA261" s="15"/>
      <c r="AB261" s="14"/>
      <c r="AC261" s="23"/>
      <c r="AD261" s="15"/>
      <c r="AE261" s="25"/>
      <c r="AF261" s="23"/>
      <c r="AG261" s="15"/>
      <c r="AH261" s="14"/>
      <c r="AI261" s="23"/>
      <c r="AJ261" s="15"/>
      <c r="AK261" s="25"/>
      <c r="AL261" s="23"/>
      <c r="AM261" s="15"/>
      <c r="AN261" s="14"/>
      <c r="AO261" s="23"/>
      <c r="AP261" s="15"/>
      <c r="AQ261" s="25"/>
      <c r="AR261" s="23"/>
      <c r="AS261" s="15"/>
      <c r="AT261" s="14"/>
      <c r="AU261" s="23"/>
      <c r="AV261" s="15"/>
      <c r="AW261" s="25"/>
      <c r="AX261" s="23"/>
      <c r="AY261" s="15"/>
      <c r="AZ261" s="14"/>
      <c r="BA261" s="23"/>
      <c r="BB261" s="15"/>
      <c r="BC261" s="25"/>
      <c r="BD261" s="23"/>
      <c r="BE261" s="15"/>
      <c r="BF261" s="14"/>
      <c r="BG261" s="23"/>
      <c r="BH261" s="15"/>
      <c r="BI261" s="25"/>
      <c r="BJ261" s="23"/>
      <c r="BK261" s="15"/>
      <c r="BL261" s="14"/>
      <c r="BM261" s="23"/>
      <c r="BN261" s="15"/>
      <c r="BO261" s="25"/>
      <c r="BP261" s="23"/>
      <c r="BQ261" s="15"/>
      <c r="BR261" s="14"/>
      <c r="BS261" s="23"/>
      <c r="BT261" s="15"/>
      <c r="BU261" s="25"/>
      <c r="BV261" s="23"/>
      <c r="BW261" s="15"/>
      <c r="BX261" s="14"/>
      <c r="BY261" s="23"/>
      <c r="BZ261" s="15"/>
    </row>
    <row r="262" customFormat="false" ht="15" hidden="false" customHeight="false" outlineLevel="0" collapsed="false">
      <c r="A262" s="14"/>
      <c r="B262" s="17" t="str">
        <f aca="false">IF($A262="","",IFERROR(INDEX(Policy!$B$2:$B$301,MATCH($A262,Policy!$A$2:$A$301,0)),"MRO không có"))</f>
        <v/>
      </c>
      <c r="C262" s="17" t="str">
        <f aca="false">IF($A262="","",IFERROR(INDEX(Policy!$E$2:$E$301,MATCH($A262,Policy!$A$2:$A$301,0)),"MRO không có"))</f>
        <v/>
      </c>
      <c r="D262" s="14"/>
      <c r="E262" s="15"/>
      <c r="F262" s="15"/>
      <c r="G262" s="25"/>
      <c r="H262" s="23"/>
      <c r="I262" s="15"/>
      <c r="J262" s="14"/>
      <c r="K262" s="23"/>
      <c r="L262" s="15"/>
      <c r="M262" s="25"/>
      <c r="N262" s="23"/>
      <c r="O262" s="15"/>
      <c r="P262" s="14"/>
      <c r="Q262" s="23"/>
      <c r="R262" s="15"/>
      <c r="S262" s="25"/>
      <c r="T262" s="23"/>
      <c r="U262" s="15"/>
      <c r="V262" s="14"/>
      <c r="W262" s="23"/>
      <c r="X262" s="15"/>
      <c r="Y262" s="25"/>
      <c r="Z262" s="23"/>
      <c r="AA262" s="15"/>
      <c r="AB262" s="14"/>
      <c r="AC262" s="23"/>
      <c r="AD262" s="15"/>
      <c r="AE262" s="25"/>
      <c r="AF262" s="23"/>
      <c r="AG262" s="15"/>
      <c r="AH262" s="14"/>
      <c r="AI262" s="23"/>
      <c r="AJ262" s="15"/>
      <c r="AK262" s="25"/>
      <c r="AL262" s="23"/>
      <c r="AM262" s="15"/>
      <c r="AN262" s="14"/>
      <c r="AO262" s="23"/>
      <c r="AP262" s="15"/>
      <c r="AQ262" s="25"/>
      <c r="AR262" s="23"/>
      <c r="AS262" s="15"/>
      <c r="AT262" s="14"/>
      <c r="AU262" s="23"/>
      <c r="AV262" s="15"/>
      <c r="AW262" s="25"/>
      <c r="AX262" s="23"/>
      <c r="AY262" s="15"/>
      <c r="AZ262" s="14"/>
      <c r="BA262" s="23"/>
      <c r="BB262" s="15"/>
      <c r="BC262" s="25"/>
      <c r="BD262" s="23"/>
      <c r="BE262" s="15"/>
      <c r="BF262" s="14"/>
      <c r="BG262" s="23"/>
      <c r="BH262" s="15"/>
      <c r="BI262" s="25"/>
      <c r="BJ262" s="23"/>
      <c r="BK262" s="15"/>
      <c r="BL262" s="14"/>
      <c r="BM262" s="23"/>
      <c r="BN262" s="15"/>
      <c r="BO262" s="25"/>
      <c r="BP262" s="23"/>
      <c r="BQ262" s="15"/>
      <c r="BR262" s="14"/>
      <c r="BS262" s="23"/>
      <c r="BT262" s="15"/>
      <c r="BU262" s="25"/>
      <c r="BV262" s="23"/>
      <c r="BW262" s="15"/>
      <c r="BX262" s="14"/>
      <c r="BY262" s="23"/>
      <c r="BZ262" s="15"/>
    </row>
    <row r="263" customFormat="false" ht="15" hidden="false" customHeight="false" outlineLevel="0" collapsed="false">
      <c r="A263" s="14"/>
      <c r="B263" s="17" t="str">
        <f aca="false">IF($A263="","",IFERROR(INDEX(Policy!$B$2:$B$301,MATCH($A263,Policy!$A$2:$A$301,0)),"MRO không có"))</f>
        <v/>
      </c>
      <c r="C263" s="17" t="str">
        <f aca="false">IF($A263="","",IFERROR(INDEX(Policy!$E$2:$E$301,MATCH($A263,Policy!$A$2:$A$301,0)),"MRO không có"))</f>
        <v/>
      </c>
      <c r="D263" s="14"/>
      <c r="E263" s="15"/>
      <c r="F263" s="15"/>
      <c r="G263" s="25"/>
      <c r="H263" s="23"/>
      <c r="I263" s="15"/>
      <c r="J263" s="14"/>
      <c r="K263" s="23"/>
      <c r="L263" s="15"/>
      <c r="M263" s="25"/>
      <c r="N263" s="23"/>
      <c r="O263" s="15"/>
      <c r="P263" s="14"/>
      <c r="Q263" s="23"/>
      <c r="R263" s="15"/>
      <c r="S263" s="25"/>
      <c r="T263" s="23"/>
      <c r="U263" s="15"/>
      <c r="V263" s="14"/>
      <c r="W263" s="23"/>
      <c r="X263" s="15"/>
      <c r="Y263" s="25"/>
      <c r="Z263" s="23"/>
      <c r="AA263" s="15"/>
      <c r="AB263" s="14"/>
      <c r="AC263" s="23"/>
      <c r="AD263" s="15"/>
      <c r="AE263" s="25"/>
      <c r="AF263" s="23"/>
      <c r="AG263" s="15"/>
      <c r="AH263" s="14"/>
      <c r="AI263" s="23"/>
      <c r="AJ263" s="15"/>
      <c r="AK263" s="25"/>
      <c r="AL263" s="23"/>
      <c r="AM263" s="15"/>
      <c r="AN263" s="14"/>
      <c r="AO263" s="23"/>
      <c r="AP263" s="15"/>
      <c r="AQ263" s="25"/>
      <c r="AR263" s="23"/>
      <c r="AS263" s="15"/>
      <c r="AT263" s="14"/>
      <c r="AU263" s="23"/>
      <c r="AV263" s="15"/>
      <c r="AW263" s="25"/>
      <c r="AX263" s="23"/>
      <c r="AY263" s="15"/>
      <c r="AZ263" s="14"/>
      <c r="BA263" s="23"/>
      <c r="BB263" s="15"/>
      <c r="BC263" s="25"/>
      <c r="BD263" s="23"/>
      <c r="BE263" s="15"/>
      <c r="BF263" s="14"/>
      <c r="BG263" s="23"/>
      <c r="BH263" s="15"/>
      <c r="BI263" s="25"/>
      <c r="BJ263" s="23"/>
      <c r="BK263" s="15"/>
      <c r="BL263" s="14"/>
      <c r="BM263" s="23"/>
      <c r="BN263" s="15"/>
      <c r="BO263" s="25"/>
      <c r="BP263" s="23"/>
      <c r="BQ263" s="15"/>
      <c r="BR263" s="14"/>
      <c r="BS263" s="23"/>
      <c r="BT263" s="15"/>
      <c r="BU263" s="25"/>
      <c r="BV263" s="23"/>
      <c r="BW263" s="15"/>
      <c r="BX263" s="14"/>
      <c r="BY263" s="23"/>
      <c r="BZ263" s="15"/>
    </row>
    <row r="264" customFormat="false" ht="15" hidden="false" customHeight="false" outlineLevel="0" collapsed="false">
      <c r="A264" s="14"/>
      <c r="B264" s="17" t="str">
        <f aca="false">IF($A264="","",IFERROR(INDEX(Policy!$B$2:$B$301,MATCH($A264,Policy!$A$2:$A$301,0)),"MRO không có"))</f>
        <v/>
      </c>
      <c r="C264" s="17" t="str">
        <f aca="false">IF($A264="","",IFERROR(INDEX(Policy!$E$2:$E$301,MATCH($A264,Policy!$A$2:$A$301,0)),"MRO không có"))</f>
        <v/>
      </c>
      <c r="D264" s="14"/>
      <c r="E264" s="15"/>
      <c r="F264" s="15"/>
      <c r="G264" s="25"/>
      <c r="H264" s="23"/>
      <c r="I264" s="15"/>
      <c r="J264" s="14"/>
      <c r="K264" s="23"/>
      <c r="L264" s="15"/>
      <c r="M264" s="25"/>
      <c r="N264" s="23"/>
      <c r="O264" s="15"/>
      <c r="P264" s="14"/>
      <c r="Q264" s="23"/>
      <c r="R264" s="15"/>
      <c r="S264" s="25"/>
      <c r="T264" s="23"/>
      <c r="U264" s="15"/>
      <c r="V264" s="14"/>
      <c r="W264" s="23"/>
      <c r="X264" s="15"/>
      <c r="Y264" s="25"/>
      <c r="Z264" s="23"/>
      <c r="AA264" s="15"/>
      <c r="AB264" s="14"/>
      <c r="AC264" s="23"/>
      <c r="AD264" s="15"/>
      <c r="AE264" s="25"/>
      <c r="AF264" s="23"/>
      <c r="AG264" s="15"/>
      <c r="AH264" s="14"/>
      <c r="AI264" s="23"/>
      <c r="AJ264" s="15"/>
      <c r="AK264" s="25"/>
      <c r="AL264" s="23"/>
      <c r="AM264" s="15"/>
      <c r="AN264" s="14"/>
      <c r="AO264" s="23"/>
      <c r="AP264" s="15"/>
      <c r="AQ264" s="25"/>
      <c r="AR264" s="23"/>
      <c r="AS264" s="15"/>
      <c r="AT264" s="14"/>
      <c r="AU264" s="23"/>
      <c r="AV264" s="15"/>
      <c r="AW264" s="25"/>
      <c r="AX264" s="23"/>
      <c r="AY264" s="15"/>
      <c r="AZ264" s="14"/>
      <c r="BA264" s="23"/>
      <c r="BB264" s="15"/>
      <c r="BC264" s="25"/>
      <c r="BD264" s="23"/>
      <c r="BE264" s="15"/>
      <c r="BF264" s="14"/>
      <c r="BG264" s="23"/>
      <c r="BH264" s="15"/>
      <c r="BI264" s="25"/>
      <c r="BJ264" s="23"/>
      <c r="BK264" s="15"/>
      <c r="BL264" s="14"/>
      <c r="BM264" s="23"/>
      <c r="BN264" s="15"/>
      <c r="BO264" s="25"/>
      <c r="BP264" s="23"/>
      <c r="BQ264" s="15"/>
      <c r="BR264" s="14"/>
      <c r="BS264" s="23"/>
      <c r="BT264" s="15"/>
      <c r="BU264" s="25"/>
      <c r="BV264" s="23"/>
      <c r="BW264" s="15"/>
      <c r="BX264" s="14"/>
      <c r="BY264" s="23"/>
      <c r="BZ264" s="15"/>
    </row>
    <row r="265" customFormat="false" ht="15" hidden="false" customHeight="false" outlineLevel="0" collapsed="false">
      <c r="A265" s="14"/>
      <c r="B265" s="17" t="str">
        <f aca="false">IF($A265="","",IFERROR(INDEX(Policy!$B$2:$B$301,MATCH($A265,Policy!$A$2:$A$301,0)),"MRO không có"))</f>
        <v/>
      </c>
      <c r="C265" s="17" t="str">
        <f aca="false">IF($A265="","",IFERROR(INDEX(Policy!$E$2:$E$301,MATCH($A265,Policy!$A$2:$A$301,0)),"MRO không có"))</f>
        <v/>
      </c>
      <c r="D265" s="14"/>
      <c r="E265" s="15"/>
      <c r="F265" s="15"/>
      <c r="G265" s="25"/>
      <c r="H265" s="23"/>
      <c r="I265" s="15"/>
      <c r="J265" s="14"/>
      <c r="K265" s="23"/>
      <c r="L265" s="15"/>
      <c r="M265" s="25"/>
      <c r="N265" s="23"/>
      <c r="O265" s="15"/>
      <c r="P265" s="14"/>
      <c r="Q265" s="23"/>
      <c r="R265" s="15"/>
      <c r="S265" s="25"/>
      <c r="T265" s="23"/>
      <c r="U265" s="15"/>
      <c r="V265" s="14"/>
      <c r="W265" s="23"/>
      <c r="X265" s="15"/>
      <c r="Y265" s="25"/>
      <c r="Z265" s="23"/>
      <c r="AA265" s="15"/>
      <c r="AB265" s="14"/>
      <c r="AC265" s="23"/>
      <c r="AD265" s="15"/>
      <c r="AE265" s="25"/>
      <c r="AF265" s="23"/>
      <c r="AG265" s="15"/>
      <c r="AH265" s="14"/>
      <c r="AI265" s="23"/>
      <c r="AJ265" s="15"/>
      <c r="AK265" s="25"/>
      <c r="AL265" s="23"/>
      <c r="AM265" s="15"/>
      <c r="AN265" s="14"/>
      <c r="AO265" s="23"/>
      <c r="AP265" s="15"/>
      <c r="AQ265" s="25"/>
      <c r="AR265" s="23"/>
      <c r="AS265" s="15"/>
      <c r="AT265" s="14"/>
      <c r="AU265" s="23"/>
      <c r="AV265" s="15"/>
      <c r="AW265" s="25"/>
      <c r="AX265" s="23"/>
      <c r="AY265" s="15"/>
      <c r="AZ265" s="14"/>
      <c r="BA265" s="23"/>
      <c r="BB265" s="15"/>
      <c r="BC265" s="25"/>
      <c r="BD265" s="23"/>
      <c r="BE265" s="15"/>
      <c r="BF265" s="14"/>
      <c r="BG265" s="23"/>
      <c r="BH265" s="15"/>
      <c r="BI265" s="25"/>
      <c r="BJ265" s="23"/>
      <c r="BK265" s="15"/>
      <c r="BL265" s="14"/>
      <c r="BM265" s="23"/>
      <c r="BN265" s="15"/>
      <c r="BO265" s="25"/>
      <c r="BP265" s="23"/>
      <c r="BQ265" s="15"/>
      <c r="BR265" s="14"/>
      <c r="BS265" s="23"/>
      <c r="BT265" s="15"/>
      <c r="BU265" s="25"/>
      <c r="BV265" s="23"/>
      <c r="BW265" s="15"/>
      <c r="BX265" s="14"/>
      <c r="BY265" s="23"/>
      <c r="BZ265" s="15"/>
    </row>
    <row r="266" customFormat="false" ht="15" hidden="false" customHeight="false" outlineLevel="0" collapsed="false">
      <c r="A266" s="14"/>
      <c r="B266" s="17" t="str">
        <f aca="false">IF($A266="","",IFERROR(INDEX(Policy!$B$2:$B$301,MATCH($A266,Policy!$A$2:$A$301,0)),"MRO không có"))</f>
        <v/>
      </c>
      <c r="C266" s="17" t="str">
        <f aca="false">IF($A266="","",IFERROR(INDEX(Policy!$E$2:$E$301,MATCH($A266,Policy!$A$2:$A$301,0)),"MRO không có"))</f>
        <v/>
      </c>
      <c r="D266" s="14"/>
      <c r="E266" s="15"/>
      <c r="F266" s="15"/>
      <c r="G266" s="25"/>
      <c r="H266" s="23"/>
      <c r="I266" s="15"/>
      <c r="J266" s="14"/>
      <c r="K266" s="23"/>
      <c r="L266" s="15"/>
      <c r="M266" s="25"/>
      <c r="N266" s="23"/>
      <c r="O266" s="15"/>
      <c r="P266" s="14"/>
      <c r="Q266" s="23"/>
      <c r="R266" s="15"/>
      <c r="S266" s="25"/>
      <c r="T266" s="23"/>
      <c r="U266" s="15"/>
      <c r="V266" s="14"/>
      <c r="W266" s="23"/>
      <c r="X266" s="15"/>
      <c r="Y266" s="25"/>
      <c r="Z266" s="23"/>
      <c r="AA266" s="15"/>
      <c r="AB266" s="14"/>
      <c r="AC266" s="23"/>
      <c r="AD266" s="15"/>
      <c r="AE266" s="25"/>
      <c r="AF266" s="23"/>
      <c r="AG266" s="15"/>
      <c r="AH266" s="14"/>
      <c r="AI266" s="23"/>
      <c r="AJ266" s="15"/>
      <c r="AK266" s="25"/>
      <c r="AL266" s="23"/>
      <c r="AM266" s="15"/>
      <c r="AN266" s="14"/>
      <c r="AO266" s="23"/>
      <c r="AP266" s="15"/>
      <c r="AQ266" s="25"/>
      <c r="AR266" s="23"/>
      <c r="AS266" s="15"/>
      <c r="AT266" s="14"/>
      <c r="AU266" s="23"/>
      <c r="AV266" s="15"/>
      <c r="AW266" s="25"/>
      <c r="AX266" s="23"/>
      <c r="AY266" s="15"/>
      <c r="AZ266" s="14"/>
      <c r="BA266" s="23"/>
      <c r="BB266" s="15"/>
      <c r="BC266" s="25"/>
      <c r="BD266" s="23"/>
      <c r="BE266" s="15"/>
      <c r="BF266" s="14"/>
      <c r="BG266" s="23"/>
      <c r="BH266" s="15"/>
      <c r="BI266" s="25"/>
      <c r="BJ266" s="23"/>
      <c r="BK266" s="15"/>
      <c r="BL266" s="14"/>
      <c r="BM266" s="23"/>
      <c r="BN266" s="15"/>
      <c r="BO266" s="25"/>
      <c r="BP266" s="23"/>
      <c r="BQ266" s="15"/>
      <c r="BR266" s="14"/>
      <c r="BS266" s="23"/>
      <c r="BT266" s="15"/>
      <c r="BU266" s="25"/>
      <c r="BV266" s="23"/>
      <c r="BW266" s="15"/>
      <c r="BX266" s="14"/>
      <c r="BY266" s="23"/>
      <c r="BZ266" s="15"/>
    </row>
    <row r="267" customFormat="false" ht="15" hidden="false" customHeight="false" outlineLevel="0" collapsed="false">
      <c r="A267" s="14"/>
      <c r="B267" s="17" t="str">
        <f aca="false">IF($A267="","",IFERROR(INDEX(Policy!$B$2:$B$301,MATCH($A267,Policy!$A$2:$A$301,0)),"MRO không có"))</f>
        <v/>
      </c>
      <c r="C267" s="17" t="str">
        <f aca="false">IF($A267="","",IFERROR(INDEX(Policy!$E$2:$E$301,MATCH($A267,Policy!$A$2:$A$301,0)),"MRO không có"))</f>
        <v/>
      </c>
      <c r="D267" s="14"/>
      <c r="E267" s="15"/>
      <c r="F267" s="15"/>
      <c r="G267" s="25"/>
      <c r="H267" s="23"/>
      <c r="I267" s="15"/>
      <c r="J267" s="14"/>
      <c r="K267" s="23"/>
      <c r="L267" s="15"/>
      <c r="M267" s="25"/>
      <c r="N267" s="23"/>
      <c r="O267" s="15"/>
      <c r="P267" s="14"/>
      <c r="Q267" s="23"/>
      <c r="R267" s="15"/>
      <c r="S267" s="25"/>
      <c r="T267" s="23"/>
      <c r="U267" s="15"/>
      <c r="V267" s="14"/>
      <c r="W267" s="23"/>
      <c r="X267" s="15"/>
      <c r="Y267" s="25"/>
      <c r="Z267" s="23"/>
      <c r="AA267" s="15"/>
      <c r="AB267" s="14"/>
      <c r="AC267" s="23"/>
      <c r="AD267" s="15"/>
      <c r="AE267" s="25"/>
      <c r="AF267" s="23"/>
      <c r="AG267" s="15"/>
      <c r="AH267" s="14"/>
      <c r="AI267" s="23"/>
      <c r="AJ267" s="15"/>
      <c r="AK267" s="25"/>
      <c r="AL267" s="23"/>
      <c r="AM267" s="15"/>
      <c r="AN267" s="14"/>
      <c r="AO267" s="23"/>
      <c r="AP267" s="15"/>
      <c r="AQ267" s="25"/>
      <c r="AR267" s="23"/>
      <c r="AS267" s="15"/>
      <c r="AT267" s="14"/>
      <c r="AU267" s="23"/>
      <c r="AV267" s="15"/>
      <c r="AW267" s="25"/>
      <c r="AX267" s="23"/>
      <c r="AY267" s="15"/>
      <c r="AZ267" s="14"/>
      <c r="BA267" s="23"/>
      <c r="BB267" s="15"/>
      <c r="BC267" s="25"/>
      <c r="BD267" s="23"/>
      <c r="BE267" s="15"/>
      <c r="BF267" s="14"/>
      <c r="BG267" s="23"/>
      <c r="BH267" s="15"/>
      <c r="BI267" s="25"/>
      <c r="BJ267" s="23"/>
      <c r="BK267" s="15"/>
      <c r="BL267" s="14"/>
      <c r="BM267" s="23"/>
      <c r="BN267" s="15"/>
      <c r="BO267" s="25"/>
      <c r="BP267" s="23"/>
      <c r="BQ267" s="15"/>
      <c r="BR267" s="14"/>
      <c r="BS267" s="23"/>
      <c r="BT267" s="15"/>
      <c r="BU267" s="25"/>
      <c r="BV267" s="23"/>
      <c r="BW267" s="15"/>
      <c r="BX267" s="14"/>
      <c r="BY267" s="23"/>
      <c r="BZ267" s="15"/>
    </row>
    <row r="268" customFormat="false" ht="15" hidden="false" customHeight="false" outlineLevel="0" collapsed="false">
      <c r="A268" s="14"/>
      <c r="B268" s="17" t="str">
        <f aca="false">IF($A268="","",IFERROR(INDEX(Policy!$B$2:$B$301,MATCH($A268,Policy!$A$2:$A$301,0)),"MRO không có"))</f>
        <v/>
      </c>
      <c r="C268" s="17" t="str">
        <f aca="false">IF($A268="","",IFERROR(INDEX(Policy!$E$2:$E$301,MATCH($A268,Policy!$A$2:$A$301,0)),"MRO không có"))</f>
        <v/>
      </c>
      <c r="D268" s="14"/>
      <c r="E268" s="15"/>
      <c r="F268" s="15"/>
      <c r="G268" s="25"/>
      <c r="H268" s="23"/>
      <c r="I268" s="15"/>
      <c r="J268" s="14"/>
      <c r="K268" s="23"/>
      <c r="L268" s="15"/>
      <c r="M268" s="25"/>
      <c r="N268" s="23"/>
      <c r="O268" s="15"/>
      <c r="P268" s="14"/>
      <c r="Q268" s="23"/>
      <c r="R268" s="15"/>
      <c r="S268" s="25"/>
      <c r="T268" s="23"/>
      <c r="U268" s="15"/>
      <c r="V268" s="14"/>
      <c r="W268" s="23"/>
      <c r="X268" s="15"/>
      <c r="Y268" s="25"/>
      <c r="Z268" s="23"/>
      <c r="AA268" s="15"/>
      <c r="AB268" s="14"/>
      <c r="AC268" s="23"/>
      <c r="AD268" s="15"/>
      <c r="AE268" s="25"/>
      <c r="AF268" s="23"/>
      <c r="AG268" s="15"/>
      <c r="AH268" s="14"/>
      <c r="AI268" s="23"/>
      <c r="AJ268" s="15"/>
      <c r="AK268" s="25"/>
      <c r="AL268" s="23"/>
      <c r="AM268" s="15"/>
      <c r="AN268" s="14"/>
      <c r="AO268" s="23"/>
      <c r="AP268" s="15"/>
      <c r="AQ268" s="25"/>
      <c r="AR268" s="23"/>
      <c r="AS268" s="15"/>
      <c r="AT268" s="14"/>
      <c r="AU268" s="23"/>
      <c r="AV268" s="15"/>
      <c r="AW268" s="25"/>
      <c r="AX268" s="23"/>
      <c r="AY268" s="15"/>
      <c r="AZ268" s="14"/>
      <c r="BA268" s="23"/>
      <c r="BB268" s="15"/>
      <c r="BC268" s="25"/>
      <c r="BD268" s="23"/>
      <c r="BE268" s="15"/>
      <c r="BF268" s="14"/>
      <c r="BG268" s="23"/>
      <c r="BH268" s="15"/>
      <c r="BI268" s="25"/>
      <c r="BJ268" s="23"/>
      <c r="BK268" s="15"/>
      <c r="BL268" s="14"/>
      <c r="BM268" s="23"/>
      <c r="BN268" s="15"/>
      <c r="BO268" s="25"/>
      <c r="BP268" s="23"/>
      <c r="BQ268" s="15"/>
      <c r="BR268" s="14"/>
      <c r="BS268" s="23"/>
      <c r="BT268" s="15"/>
      <c r="BU268" s="25"/>
      <c r="BV268" s="23"/>
      <c r="BW268" s="15"/>
      <c r="BX268" s="14"/>
      <c r="BY268" s="23"/>
      <c r="BZ268" s="15"/>
    </row>
    <row r="269" customFormat="false" ht="15" hidden="false" customHeight="false" outlineLevel="0" collapsed="false">
      <c r="A269" s="14"/>
      <c r="B269" s="17" t="str">
        <f aca="false">IF($A269="","",IFERROR(INDEX(Policy!$B$2:$B$301,MATCH($A269,Policy!$A$2:$A$301,0)),"MRO không có"))</f>
        <v/>
      </c>
      <c r="C269" s="17" t="str">
        <f aca="false">IF($A269="","",IFERROR(INDEX(Policy!$E$2:$E$301,MATCH($A269,Policy!$A$2:$A$301,0)),"MRO không có"))</f>
        <v/>
      </c>
      <c r="D269" s="14"/>
      <c r="E269" s="15"/>
      <c r="F269" s="15"/>
      <c r="G269" s="25"/>
      <c r="H269" s="23"/>
      <c r="I269" s="15"/>
      <c r="J269" s="14"/>
      <c r="K269" s="23"/>
      <c r="L269" s="15"/>
      <c r="M269" s="25"/>
      <c r="N269" s="23"/>
      <c r="O269" s="15"/>
      <c r="P269" s="14"/>
      <c r="Q269" s="23"/>
      <c r="R269" s="15"/>
      <c r="S269" s="25"/>
      <c r="T269" s="23"/>
      <c r="U269" s="15"/>
      <c r="V269" s="14"/>
      <c r="W269" s="23"/>
      <c r="X269" s="15"/>
      <c r="Y269" s="25"/>
      <c r="Z269" s="23"/>
      <c r="AA269" s="15"/>
      <c r="AB269" s="14"/>
      <c r="AC269" s="23"/>
      <c r="AD269" s="15"/>
      <c r="AE269" s="25"/>
      <c r="AF269" s="23"/>
      <c r="AG269" s="15"/>
      <c r="AH269" s="14"/>
      <c r="AI269" s="23"/>
      <c r="AJ269" s="15"/>
      <c r="AK269" s="25"/>
      <c r="AL269" s="23"/>
      <c r="AM269" s="15"/>
      <c r="AN269" s="14"/>
      <c r="AO269" s="23"/>
      <c r="AP269" s="15"/>
      <c r="AQ269" s="25"/>
      <c r="AR269" s="23"/>
      <c r="AS269" s="15"/>
      <c r="AT269" s="14"/>
      <c r="AU269" s="23"/>
      <c r="AV269" s="15"/>
      <c r="AW269" s="25"/>
      <c r="AX269" s="23"/>
      <c r="AY269" s="15"/>
      <c r="AZ269" s="14"/>
      <c r="BA269" s="23"/>
      <c r="BB269" s="15"/>
      <c r="BC269" s="25"/>
      <c r="BD269" s="23"/>
      <c r="BE269" s="15"/>
      <c r="BF269" s="14"/>
      <c r="BG269" s="23"/>
      <c r="BH269" s="15"/>
      <c r="BI269" s="25"/>
      <c r="BJ269" s="23"/>
      <c r="BK269" s="15"/>
      <c r="BL269" s="14"/>
      <c r="BM269" s="23"/>
      <c r="BN269" s="15"/>
      <c r="BO269" s="25"/>
      <c r="BP269" s="23"/>
      <c r="BQ269" s="15"/>
      <c r="BR269" s="14"/>
      <c r="BS269" s="23"/>
      <c r="BT269" s="15"/>
      <c r="BU269" s="25"/>
      <c r="BV269" s="23"/>
      <c r="BW269" s="15"/>
      <c r="BX269" s="14"/>
      <c r="BY269" s="23"/>
      <c r="BZ269" s="15"/>
    </row>
    <row r="270" customFormat="false" ht="15" hidden="false" customHeight="false" outlineLevel="0" collapsed="false">
      <c r="A270" s="14"/>
      <c r="B270" s="17" t="str">
        <f aca="false">IF($A270="","",IFERROR(INDEX(Policy!$B$2:$B$301,MATCH($A270,Policy!$A$2:$A$301,0)),"MRO không có"))</f>
        <v/>
      </c>
      <c r="C270" s="17" t="str">
        <f aca="false">IF($A270="","",IFERROR(INDEX(Policy!$E$2:$E$301,MATCH($A270,Policy!$A$2:$A$301,0)),"MRO không có"))</f>
        <v/>
      </c>
      <c r="D270" s="14"/>
      <c r="E270" s="15"/>
      <c r="F270" s="15"/>
      <c r="G270" s="25"/>
      <c r="H270" s="23"/>
      <c r="I270" s="15"/>
      <c r="J270" s="14"/>
      <c r="K270" s="23"/>
      <c r="L270" s="15"/>
      <c r="M270" s="25"/>
      <c r="N270" s="23"/>
      <c r="O270" s="15"/>
      <c r="P270" s="14"/>
      <c r="Q270" s="23"/>
      <c r="R270" s="15"/>
      <c r="S270" s="25"/>
      <c r="T270" s="23"/>
      <c r="U270" s="15"/>
      <c r="V270" s="14"/>
      <c r="W270" s="23"/>
      <c r="X270" s="15"/>
      <c r="Y270" s="25"/>
      <c r="Z270" s="23"/>
      <c r="AA270" s="15"/>
      <c r="AB270" s="14"/>
      <c r="AC270" s="23"/>
      <c r="AD270" s="15"/>
      <c r="AE270" s="25"/>
      <c r="AF270" s="23"/>
      <c r="AG270" s="15"/>
      <c r="AH270" s="14"/>
      <c r="AI270" s="23"/>
      <c r="AJ270" s="15"/>
      <c r="AK270" s="25"/>
      <c r="AL270" s="23"/>
      <c r="AM270" s="15"/>
      <c r="AN270" s="14"/>
      <c r="AO270" s="23"/>
      <c r="AP270" s="15"/>
      <c r="AQ270" s="25"/>
      <c r="AR270" s="23"/>
      <c r="AS270" s="15"/>
      <c r="AT270" s="14"/>
      <c r="AU270" s="23"/>
      <c r="AV270" s="15"/>
      <c r="AW270" s="25"/>
      <c r="AX270" s="23"/>
      <c r="AY270" s="15"/>
      <c r="AZ270" s="14"/>
      <c r="BA270" s="23"/>
      <c r="BB270" s="15"/>
      <c r="BC270" s="25"/>
      <c r="BD270" s="23"/>
      <c r="BE270" s="15"/>
      <c r="BF270" s="14"/>
      <c r="BG270" s="23"/>
      <c r="BH270" s="15"/>
      <c r="BI270" s="25"/>
      <c r="BJ270" s="23"/>
      <c r="BK270" s="15"/>
      <c r="BL270" s="14"/>
      <c r="BM270" s="23"/>
      <c r="BN270" s="15"/>
      <c r="BO270" s="25"/>
      <c r="BP270" s="23"/>
      <c r="BQ270" s="15"/>
      <c r="BR270" s="14"/>
      <c r="BS270" s="23"/>
      <c r="BT270" s="15"/>
      <c r="BU270" s="25"/>
      <c r="BV270" s="23"/>
      <c r="BW270" s="15"/>
      <c r="BX270" s="14"/>
      <c r="BY270" s="23"/>
      <c r="BZ270" s="15"/>
    </row>
    <row r="271" customFormat="false" ht="15" hidden="false" customHeight="false" outlineLevel="0" collapsed="false">
      <c r="A271" s="14"/>
      <c r="B271" s="17" t="str">
        <f aca="false">IF($A271="","",IFERROR(INDEX(Policy!$B$2:$B$301,MATCH($A271,Policy!$A$2:$A$301,0)),"MRO không có"))</f>
        <v/>
      </c>
      <c r="C271" s="17" t="str">
        <f aca="false">IF($A271="","",IFERROR(INDEX(Policy!$E$2:$E$301,MATCH($A271,Policy!$A$2:$A$301,0)),"MRO không có"))</f>
        <v/>
      </c>
      <c r="D271" s="14"/>
      <c r="E271" s="15"/>
      <c r="F271" s="15"/>
      <c r="G271" s="25"/>
      <c r="H271" s="23"/>
      <c r="I271" s="15"/>
      <c r="J271" s="14"/>
      <c r="K271" s="23"/>
      <c r="L271" s="15"/>
      <c r="M271" s="25"/>
      <c r="N271" s="23"/>
      <c r="O271" s="15"/>
      <c r="P271" s="14"/>
      <c r="Q271" s="23"/>
      <c r="R271" s="15"/>
      <c r="S271" s="25"/>
      <c r="T271" s="23"/>
      <c r="U271" s="15"/>
      <c r="V271" s="14"/>
      <c r="W271" s="23"/>
      <c r="X271" s="15"/>
      <c r="Y271" s="25"/>
      <c r="Z271" s="23"/>
      <c r="AA271" s="15"/>
      <c r="AB271" s="14"/>
      <c r="AC271" s="23"/>
      <c r="AD271" s="15"/>
      <c r="AE271" s="25"/>
      <c r="AF271" s="23"/>
      <c r="AG271" s="15"/>
      <c r="AH271" s="14"/>
      <c r="AI271" s="23"/>
      <c r="AJ271" s="15"/>
      <c r="AK271" s="25"/>
      <c r="AL271" s="23"/>
      <c r="AM271" s="15"/>
      <c r="AN271" s="14"/>
      <c r="AO271" s="23"/>
      <c r="AP271" s="15"/>
      <c r="AQ271" s="25"/>
      <c r="AR271" s="23"/>
      <c r="AS271" s="15"/>
      <c r="AT271" s="14"/>
      <c r="AU271" s="23"/>
      <c r="AV271" s="15"/>
      <c r="AW271" s="25"/>
      <c r="AX271" s="23"/>
      <c r="AY271" s="15"/>
      <c r="AZ271" s="14"/>
      <c r="BA271" s="23"/>
      <c r="BB271" s="15"/>
      <c r="BC271" s="25"/>
      <c r="BD271" s="23"/>
      <c r="BE271" s="15"/>
      <c r="BF271" s="14"/>
      <c r="BG271" s="23"/>
      <c r="BH271" s="15"/>
      <c r="BI271" s="25"/>
      <c r="BJ271" s="23"/>
      <c r="BK271" s="15"/>
      <c r="BL271" s="14"/>
      <c r="BM271" s="23"/>
      <c r="BN271" s="15"/>
      <c r="BO271" s="25"/>
      <c r="BP271" s="23"/>
      <c r="BQ271" s="15"/>
      <c r="BR271" s="14"/>
      <c r="BS271" s="23"/>
      <c r="BT271" s="15"/>
      <c r="BU271" s="25"/>
      <c r="BV271" s="23"/>
      <c r="BW271" s="15"/>
      <c r="BX271" s="14"/>
      <c r="BY271" s="23"/>
      <c r="BZ271" s="15"/>
    </row>
    <row r="272" customFormat="false" ht="15" hidden="false" customHeight="false" outlineLevel="0" collapsed="false">
      <c r="A272" s="14"/>
      <c r="B272" s="17" t="str">
        <f aca="false">IF($A272="","",IFERROR(INDEX(Policy!$B$2:$B$301,MATCH($A272,Policy!$A$2:$A$301,0)),"MRO không có"))</f>
        <v/>
      </c>
      <c r="C272" s="17" t="str">
        <f aca="false">IF($A272="","",IFERROR(INDEX(Policy!$E$2:$E$301,MATCH($A272,Policy!$A$2:$A$301,0)),"MRO không có"))</f>
        <v/>
      </c>
      <c r="D272" s="14"/>
      <c r="E272" s="15"/>
      <c r="F272" s="15"/>
      <c r="G272" s="25"/>
      <c r="H272" s="23"/>
      <c r="I272" s="15"/>
      <c r="J272" s="14"/>
      <c r="K272" s="23"/>
      <c r="L272" s="15"/>
      <c r="M272" s="25"/>
      <c r="N272" s="23"/>
      <c r="O272" s="15"/>
      <c r="P272" s="14"/>
      <c r="Q272" s="23"/>
      <c r="R272" s="15"/>
      <c r="S272" s="25"/>
      <c r="T272" s="23"/>
      <c r="U272" s="15"/>
      <c r="V272" s="14"/>
      <c r="W272" s="23"/>
      <c r="X272" s="15"/>
      <c r="Y272" s="25"/>
      <c r="Z272" s="23"/>
      <c r="AA272" s="15"/>
      <c r="AB272" s="14"/>
      <c r="AC272" s="23"/>
      <c r="AD272" s="15"/>
      <c r="AE272" s="25"/>
      <c r="AF272" s="23"/>
      <c r="AG272" s="15"/>
      <c r="AH272" s="14"/>
      <c r="AI272" s="23"/>
      <c r="AJ272" s="15"/>
      <c r="AK272" s="25"/>
      <c r="AL272" s="23"/>
      <c r="AM272" s="15"/>
      <c r="AN272" s="14"/>
      <c r="AO272" s="23"/>
      <c r="AP272" s="15"/>
      <c r="AQ272" s="25"/>
      <c r="AR272" s="23"/>
      <c r="AS272" s="15"/>
      <c r="AT272" s="14"/>
      <c r="AU272" s="23"/>
      <c r="AV272" s="15"/>
      <c r="AW272" s="25"/>
      <c r="AX272" s="23"/>
      <c r="AY272" s="15"/>
      <c r="AZ272" s="14"/>
      <c r="BA272" s="23"/>
      <c r="BB272" s="15"/>
      <c r="BC272" s="25"/>
      <c r="BD272" s="23"/>
      <c r="BE272" s="15"/>
      <c r="BF272" s="14"/>
      <c r="BG272" s="23"/>
      <c r="BH272" s="15"/>
      <c r="BI272" s="25"/>
      <c r="BJ272" s="23"/>
      <c r="BK272" s="15"/>
      <c r="BL272" s="14"/>
      <c r="BM272" s="23"/>
      <c r="BN272" s="15"/>
      <c r="BO272" s="25"/>
      <c r="BP272" s="23"/>
      <c r="BQ272" s="15"/>
      <c r="BR272" s="14"/>
      <c r="BS272" s="23"/>
      <c r="BT272" s="15"/>
      <c r="BU272" s="25"/>
      <c r="BV272" s="23"/>
      <c r="BW272" s="15"/>
      <c r="BX272" s="14"/>
      <c r="BY272" s="23"/>
      <c r="BZ272" s="15"/>
    </row>
    <row r="273" customFormat="false" ht="15" hidden="false" customHeight="false" outlineLevel="0" collapsed="false">
      <c r="A273" s="14"/>
      <c r="B273" s="17" t="str">
        <f aca="false">IF($A273="","",IFERROR(INDEX(Policy!$B$2:$B$301,MATCH($A273,Policy!$A$2:$A$301,0)),"MRO không có"))</f>
        <v/>
      </c>
      <c r="C273" s="17" t="str">
        <f aca="false">IF($A273="","",IFERROR(INDEX(Policy!$E$2:$E$301,MATCH($A273,Policy!$A$2:$A$301,0)),"MRO không có"))</f>
        <v/>
      </c>
      <c r="D273" s="14"/>
      <c r="E273" s="15"/>
      <c r="F273" s="15"/>
      <c r="G273" s="25"/>
      <c r="H273" s="23"/>
      <c r="I273" s="15"/>
      <c r="J273" s="14"/>
      <c r="K273" s="23"/>
      <c r="L273" s="15"/>
      <c r="M273" s="25"/>
      <c r="N273" s="23"/>
      <c r="O273" s="15"/>
      <c r="P273" s="14"/>
      <c r="Q273" s="23"/>
      <c r="R273" s="15"/>
      <c r="S273" s="25"/>
      <c r="T273" s="23"/>
      <c r="U273" s="15"/>
      <c r="V273" s="14"/>
      <c r="W273" s="23"/>
      <c r="X273" s="15"/>
      <c r="Y273" s="25"/>
      <c r="Z273" s="23"/>
      <c r="AA273" s="15"/>
      <c r="AB273" s="14"/>
      <c r="AC273" s="23"/>
      <c r="AD273" s="15"/>
      <c r="AE273" s="25"/>
      <c r="AF273" s="23"/>
      <c r="AG273" s="15"/>
      <c r="AH273" s="14"/>
      <c r="AI273" s="23"/>
      <c r="AJ273" s="15"/>
      <c r="AK273" s="25"/>
      <c r="AL273" s="23"/>
      <c r="AM273" s="15"/>
      <c r="AN273" s="14"/>
      <c r="AO273" s="23"/>
      <c r="AP273" s="15"/>
      <c r="AQ273" s="25"/>
      <c r="AR273" s="23"/>
      <c r="AS273" s="15"/>
      <c r="AT273" s="14"/>
      <c r="AU273" s="23"/>
      <c r="AV273" s="15"/>
      <c r="AW273" s="25"/>
      <c r="AX273" s="23"/>
      <c r="AY273" s="15"/>
      <c r="AZ273" s="14"/>
      <c r="BA273" s="23"/>
      <c r="BB273" s="15"/>
      <c r="BC273" s="25"/>
      <c r="BD273" s="23"/>
      <c r="BE273" s="15"/>
      <c r="BF273" s="14"/>
      <c r="BG273" s="23"/>
      <c r="BH273" s="15"/>
      <c r="BI273" s="25"/>
      <c r="BJ273" s="23"/>
      <c r="BK273" s="15"/>
      <c r="BL273" s="14"/>
      <c r="BM273" s="23"/>
      <c r="BN273" s="15"/>
      <c r="BO273" s="25"/>
      <c r="BP273" s="23"/>
      <c r="BQ273" s="15"/>
      <c r="BR273" s="14"/>
      <c r="BS273" s="23"/>
      <c r="BT273" s="15"/>
      <c r="BU273" s="25"/>
      <c r="BV273" s="23"/>
      <c r="BW273" s="15"/>
      <c r="BX273" s="14"/>
      <c r="BY273" s="23"/>
      <c r="BZ273" s="15"/>
    </row>
    <row r="274" customFormat="false" ht="15" hidden="false" customHeight="false" outlineLevel="0" collapsed="false">
      <c r="A274" s="14"/>
      <c r="B274" s="17" t="str">
        <f aca="false">IF($A274="","",IFERROR(INDEX(Policy!$B$2:$B$301,MATCH($A274,Policy!$A$2:$A$301,0)),"MRO không có"))</f>
        <v/>
      </c>
      <c r="C274" s="17" t="str">
        <f aca="false">IF($A274="","",IFERROR(INDEX(Policy!$E$2:$E$301,MATCH($A274,Policy!$A$2:$A$301,0)),"MRO không có"))</f>
        <v/>
      </c>
      <c r="D274" s="14"/>
      <c r="E274" s="15"/>
      <c r="F274" s="15"/>
      <c r="G274" s="25"/>
      <c r="H274" s="23"/>
      <c r="I274" s="15"/>
      <c r="J274" s="14"/>
      <c r="K274" s="23"/>
      <c r="L274" s="15"/>
      <c r="M274" s="25"/>
      <c r="N274" s="23"/>
      <c r="O274" s="15"/>
      <c r="P274" s="14"/>
      <c r="Q274" s="23"/>
      <c r="R274" s="15"/>
      <c r="S274" s="25"/>
      <c r="T274" s="23"/>
      <c r="U274" s="15"/>
      <c r="V274" s="14"/>
      <c r="W274" s="23"/>
      <c r="X274" s="15"/>
      <c r="Y274" s="25"/>
      <c r="Z274" s="23"/>
      <c r="AA274" s="15"/>
      <c r="AB274" s="14"/>
      <c r="AC274" s="23"/>
      <c r="AD274" s="15"/>
      <c r="AE274" s="25"/>
      <c r="AF274" s="23"/>
      <c r="AG274" s="15"/>
      <c r="AH274" s="14"/>
      <c r="AI274" s="23"/>
      <c r="AJ274" s="15"/>
      <c r="AK274" s="25"/>
      <c r="AL274" s="23"/>
      <c r="AM274" s="15"/>
      <c r="AN274" s="14"/>
      <c r="AO274" s="23"/>
      <c r="AP274" s="15"/>
      <c r="AQ274" s="25"/>
      <c r="AR274" s="23"/>
      <c r="AS274" s="15"/>
      <c r="AT274" s="14"/>
      <c r="AU274" s="23"/>
      <c r="AV274" s="15"/>
      <c r="AW274" s="25"/>
      <c r="AX274" s="23"/>
      <c r="AY274" s="15"/>
      <c r="AZ274" s="14"/>
      <c r="BA274" s="23"/>
      <c r="BB274" s="15"/>
      <c r="BC274" s="25"/>
      <c r="BD274" s="23"/>
      <c r="BE274" s="15"/>
      <c r="BF274" s="14"/>
      <c r="BG274" s="23"/>
      <c r="BH274" s="15"/>
      <c r="BI274" s="25"/>
      <c r="BJ274" s="23"/>
      <c r="BK274" s="15"/>
      <c r="BL274" s="14"/>
      <c r="BM274" s="23"/>
      <c r="BN274" s="15"/>
      <c r="BO274" s="25"/>
      <c r="BP274" s="23"/>
      <c r="BQ274" s="15"/>
      <c r="BR274" s="14"/>
      <c r="BS274" s="23"/>
      <c r="BT274" s="15"/>
      <c r="BU274" s="25"/>
      <c r="BV274" s="23"/>
      <c r="BW274" s="15"/>
      <c r="BX274" s="14"/>
      <c r="BY274" s="23"/>
      <c r="BZ274" s="15"/>
    </row>
    <row r="275" customFormat="false" ht="15" hidden="false" customHeight="false" outlineLevel="0" collapsed="false">
      <c r="A275" s="14"/>
      <c r="B275" s="17" t="str">
        <f aca="false">IF($A275="","",IFERROR(INDEX(Policy!$B$2:$B$301,MATCH($A275,Policy!$A$2:$A$301,0)),"MRO không có"))</f>
        <v/>
      </c>
      <c r="C275" s="17" t="str">
        <f aca="false">IF($A275="","",IFERROR(INDEX(Policy!$E$2:$E$301,MATCH($A275,Policy!$A$2:$A$301,0)),"MRO không có"))</f>
        <v/>
      </c>
      <c r="D275" s="14"/>
      <c r="E275" s="15"/>
      <c r="F275" s="15"/>
      <c r="G275" s="25"/>
      <c r="H275" s="23"/>
      <c r="I275" s="15"/>
      <c r="J275" s="14"/>
      <c r="K275" s="23"/>
      <c r="L275" s="15"/>
      <c r="M275" s="25"/>
      <c r="N275" s="23"/>
      <c r="O275" s="15"/>
      <c r="P275" s="14"/>
      <c r="Q275" s="23"/>
      <c r="R275" s="15"/>
      <c r="S275" s="25"/>
      <c r="T275" s="23"/>
      <c r="U275" s="15"/>
      <c r="V275" s="14"/>
      <c r="W275" s="23"/>
      <c r="X275" s="15"/>
      <c r="Y275" s="25"/>
      <c r="Z275" s="23"/>
      <c r="AA275" s="15"/>
      <c r="AB275" s="14"/>
      <c r="AC275" s="23"/>
      <c r="AD275" s="15"/>
      <c r="AE275" s="25"/>
      <c r="AF275" s="23"/>
      <c r="AG275" s="15"/>
      <c r="AH275" s="14"/>
      <c r="AI275" s="23"/>
      <c r="AJ275" s="15"/>
      <c r="AK275" s="25"/>
      <c r="AL275" s="23"/>
      <c r="AM275" s="15"/>
      <c r="AN275" s="14"/>
      <c r="AO275" s="23"/>
      <c r="AP275" s="15"/>
      <c r="AQ275" s="25"/>
      <c r="AR275" s="23"/>
      <c r="AS275" s="15"/>
      <c r="AT275" s="14"/>
      <c r="AU275" s="23"/>
      <c r="AV275" s="15"/>
      <c r="AW275" s="25"/>
      <c r="AX275" s="23"/>
      <c r="AY275" s="15"/>
      <c r="AZ275" s="14"/>
      <c r="BA275" s="23"/>
      <c r="BB275" s="15"/>
      <c r="BC275" s="25"/>
      <c r="BD275" s="23"/>
      <c r="BE275" s="15"/>
      <c r="BF275" s="14"/>
      <c r="BG275" s="23"/>
      <c r="BH275" s="15"/>
      <c r="BI275" s="25"/>
      <c r="BJ275" s="23"/>
      <c r="BK275" s="15"/>
      <c r="BL275" s="14"/>
      <c r="BM275" s="23"/>
      <c r="BN275" s="15"/>
      <c r="BO275" s="25"/>
      <c r="BP275" s="23"/>
      <c r="BQ275" s="15"/>
      <c r="BR275" s="14"/>
      <c r="BS275" s="23"/>
      <c r="BT275" s="15"/>
      <c r="BU275" s="25"/>
      <c r="BV275" s="23"/>
      <c r="BW275" s="15"/>
      <c r="BX275" s="14"/>
      <c r="BY275" s="23"/>
      <c r="BZ275" s="15"/>
    </row>
    <row r="276" customFormat="false" ht="15" hidden="false" customHeight="false" outlineLevel="0" collapsed="false">
      <c r="A276" s="14"/>
      <c r="B276" s="17" t="str">
        <f aca="false">IF($A276="","",IFERROR(INDEX(Policy!$B$2:$B$301,MATCH($A276,Policy!$A$2:$A$301,0)),"MRO không có"))</f>
        <v/>
      </c>
      <c r="C276" s="17" t="str">
        <f aca="false">IF($A276="","",IFERROR(INDEX(Policy!$E$2:$E$301,MATCH($A276,Policy!$A$2:$A$301,0)),"MRO không có"))</f>
        <v/>
      </c>
      <c r="D276" s="14"/>
      <c r="E276" s="15"/>
      <c r="F276" s="15"/>
      <c r="G276" s="25"/>
      <c r="H276" s="23"/>
      <c r="I276" s="15"/>
      <c r="J276" s="14"/>
      <c r="K276" s="23"/>
      <c r="L276" s="15"/>
      <c r="M276" s="25"/>
      <c r="N276" s="23"/>
      <c r="O276" s="15"/>
      <c r="P276" s="14"/>
      <c r="Q276" s="23"/>
      <c r="R276" s="15"/>
      <c r="S276" s="25"/>
      <c r="T276" s="23"/>
      <c r="U276" s="15"/>
      <c r="V276" s="14"/>
      <c r="W276" s="23"/>
      <c r="X276" s="15"/>
      <c r="Y276" s="25"/>
      <c r="Z276" s="23"/>
      <c r="AA276" s="15"/>
      <c r="AB276" s="14"/>
      <c r="AC276" s="23"/>
      <c r="AD276" s="15"/>
      <c r="AE276" s="25"/>
      <c r="AF276" s="23"/>
      <c r="AG276" s="15"/>
      <c r="AH276" s="14"/>
      <c r="AI276" s="23"/>
      <c r="AJ276" s="15"/>
      <c r="AK276" s="25"/>
      <c r="AL276" s="23"/>
      <c r="AM276" s="15"/>
      <c r="AN276" s="14"/>
      <c r="AO276" s="23"/>
      <c r="AP276" s="15"/>
      <c r="AQ276" s="25"/>
      <c r="AR276" s="23"/>
      <c r="AS276" s="15"/>
      <c r="AT276" s="14"/>
      <c r="AU276" s="23"/>
      <c r="AV276" s="15"/>
      <c r="AW276" s="25"/>
      <c r="AX276" s="23"/>
      <c r="AY276" s="15"/>
      <c r="AZ276" s="14"/>
      <c r="BA276" s="23"/>
      <c r="BB276" s="15"/>
      <c r="BC276" s="25"/>
      <c r="BD276" s="23"/>
      <c r="BE276" s="15"/>
      <c r="BF276" s="14"/>
      <c r="BG276" s="23"/>
      <c r="BH276" s="15"/>
      <c r="BI276" s="25"/>
      <c r="BJ276" s="23"/>
      <c r="BK276" s="15"/>
      <c r="BL276" s="14"/>
      <c r="BM276" s="23"/>
      <c r="BN276" s="15"/>
      <c r="BO276" s="25"/>
      <c r="BP276" s="23"/>
      <c r="BQ276" s="15"/>
      <c r="BR276" s="14"/>
      <c r="BS276" s="23"/>
      <c r="BT276" s="15"/>
      <c r="BU276" s="25"/>
      <c r="BV276" s="23"/>
      <c r="BW276" s="15"/>
      <c r="BX276" s="14"/>
      <c r="BY276" s="23"/>
      <c r="BZ276" s="15"/>
    </row>
    <row r="277" customFormat="false" ht="15" hidden="false" customHeight="false" outlineLevel="0" collapsed="false">
      <c r="A277" s="14"/>
      <c r="B277" s="17" t="str">
        <f aca="false">IF($A277="","",IFERROR(INDEX(Policy!$B$2:$B$301,MATCH($A277,Policy!$A$2:$A$301,0)),"MRO không có"))</f>
        <v/>
      </c>
      <c r="C277" s="17" t="str">
        <f aca="false">IF($A277="","",IFERROR(INDEX(Policy!$E$2:$E$301,MATCH($A277,Policy!$A$2:$A$301,0)),"MRO không có"))</f>
        <v/>
      </c>
      <c r="D277" s="14"/>
      <c r="E277" s="15"/>
      <c r="F277" s="15"/>
      <c r="G277" s="25"/>
      <c r="H277" s="23"/>
      <c r="I277" s="15"/>
      <c r="J277" s="14"/>
      <c r="K277" s="23"/>
      <c r="L277" s="15"/>
      <c r="M277" s="25"/>
      <c r="N277" s="23"/>
      <c r="O277" s="15"/>
      <c r="P277" s="14"/>
      <c r="Q277" s="23"/>
      <c r="R277" s="15"/>
      <c r="S277" s="25"/>
      <c r="T277" s="23"/>
      <c r="U277" s="15"/>
      <c r="V277" s="14"/>
      <c r="W277" s="23"/>
      <c r="X277" s="15"/>
      <c r="Y277" s="25"/>
      <c r="Z277" s="23"/>
      <c r="AA277" s="15"/>
      <c r="AB277" s="14"/>
      <c r="AC277" s="23"/>
      <c r="AD277" s="15"/>
      <c r="AE277" s="25"/>
      <c r="AF277" s="23"/>
      <c r="AG277" s="15"/>
      <c r="AH277" s="14"/>
      <c r="AI277" s="23"/>
      <c r="AJ277" s="15"/>
      <c r="AK277" s="25"/>
      <c r="AL277" s="23"/>
      <c r="AM277" s="15"/>
      <c r="AN277" s="14"/>
      <c r="AO277" s="23"/>
      <c r="AP277" s="15"/>
      <c r="AQ277" s="25"/>
      <c r="AR277" s="23"/>
      <c r="AS277" s="15"/>
      <c r="AT277" s="14"/>
      <c r="AU277" s="23"/>
      <c r="AV277" s="15"/>
      <c r="AW277" s="25"/>
      <c r="AX277" s="23"/>
      <c r="AY277" s="15"/>
      <c r="AZ277" s="14"/>
      <c r="BA277" s="23"/>
      <c r="BB277" s="15"/>
      <c r="BC277" s="25"/>
      <c r="BD277" s="23"/>
      <c r="BE277" s="15"/>
      <c r="BF277" s="14"/>
      <c r="BG277" s="23"/>
      <c r="BH277" s="15"/>
      <c r="BI277" s="25"/>
      <c r="BJ277" s="23"/>
      <c r="BK277" s="15"/>
      <c r="BL277" s="14"/>
      <c r="BM277" s="23"/>
      <c r="BN277" s="15"/>
      <c r="BO277" s="25"/>
      <c r="BP277" s="23"/>
      <c r="BQ277" s="15"/>
      <c r="BR277" s="14"/>
      <c r="BS277" s="23"/>
      <c r="BT277" s="15"/>
      <c r="BU277" s="25"/>
      <c r="BV277" s="23"/>
      <c r="BW277" s="15"/>
      <c r="BX277" s="14"/>
      <c r="BY277" s="23"/>
      <c r="BZ277" s="15"/>
    </row>
    <row r="278" customFormat="false" ht="15" hidden="false" customHeight="false" outlineLevel="0" collapsed="false">
      <c r="A278" s="14"/>
      <c r="B278" s="17" t="str">
        <f aca="false">IF($A278="","",IFERROR(INDEX(Policy!$B$2:$B$301,MATCH($A278,Policy!$A$2:$A$301,0)),"MRO không có"))</f>
        <v/>
      </c>
      <c r="C278" s="17" t="str">
        <f aca="false">IF($A278="","",IFERROR(INDEX(Policy!$E$2:$E$301,MATCH($A278,Policy!$A$2:$A$301,0)),"MRO không có"))</f>
        <v/>
      </c>
      <c r="D278" s="14"/>
      <c r="E278" s="15"/>
      <c r="F278" s="15"/>
      <c r="G278" s="25"/>
      <c r="H278" s="23"/>
      <c r="I278" s="15"/>
      <c r="J278" s="14"/>
      <c r="K278" s="23"/>
      <c r="L278" s="15"/>
      <c r="M278" s="25"/>
      <c r="N278" s="23"/>
      <c r="O278" s="15"/>
      <c r="P278" s="14"/>
      <c r="Q278" s="23"/>
      <c r="R278" s="15"/>
      <c r="S278" s="25"/>
      <c r="T278" s="23"/>
      <c r="U278" s="15"/>
      <c r="V278" s="14"/>
      <c r="W278" s="23"/>
      <c r="X278" s="15"/>
      <c r="Y278" s="25"/>
      <c r="Z278" s="23"/>
      <c r="AA278" s="15"/>
      <c r="AB278" s="14"/>
      <c r="AC278" s="23"/>
      <c r="AD278" s="15"/>
      <c r="AE278" s="25"/>
      <c r="AF278" s="23"/>
      <c r="AG278" s="15"/>
      <c r="AH278" s="14"/>
      <c r="AI278" s="23"/>
      <c r="AJ278" s="15"/>
      <c r="AK278" s="25"/>
      <c r="AL278" s="23"/>
      <c r="AM278" s="15"/>
      <c r="AN278" s="14"/>
      <c r="AO278" s="23"/>
      <c r="AP278" s="15"/>
      <c r="AQ278" s="25"/>
      <c r="AR278" s="23"/>
      <c r="AS278" s="15"/>
      <c r="AT278" s="14"/>
      <c r="AU278" s="23"/>
      <c r="AV278" s="15"/>
      <c r="AW278" s="25"/>
      <c r="AX278" s="23"/>
      <c r="AY278" s="15"/>
      <c r="AZ278" s="14"/>
      <c r="BA278" s="23"/>
      <c r="BB278" s="15"/>
      <c r="BC278" s="25"/>
      <c r="BD278" s="23"/>
      <c r="BE278" s="15"/>
      <c r="BF278" s="14"/>
      <c r="BG278" s="23"/>
      <c r="BH278" s="15"/>
      <c r="BI278" s="25"/>
      <c r="BJ278" s="23"/>
      <c r="BK278" s="15"/>
      <c r="BL278" s="14"/>
      <c r="BM278" s="23"/>
      <c r="BN278" s="15"/>
      <c r="BO278" s="25"/>
      <c r="BP278" s="23"/>
      <c r="BQ278" s="15"/>
      <c r="BR278" s="14"/>
      <c r="BS278" s="23"/>
      <c r="BT278" s="15"/>
      <c r="BU278" s="25"/>
      <c r="BV278" s="23"/>
      <c r="BW278" s="15"/>
      <c r="BX278" s="14"/>
      <c r="BY278" s="23"/>
      <c r="BZ278" s="15"/>
    </row>
    <row r="279" customFormat="false" ht="15" hidden="false" customHeight="false" outlineLevel="0" collapsed="false">
      <c r="A279" s="14"/>
      <c r="B279" s="17" t="str">
        <f aca="false">IF($A279="","",IFERROR(INDEX(Policy!$B$2:$B$301,MATCH($A279,Policy!$A$2:$A$301,0)),"MRO không có"))</f>
        <v/>
      </c>
      <c r="C279" s="17" t="str">
        <f aca="false">IF($A279="","",IFERROR(INDEX(Policy!$E$2:$E$301,MATCH($A279,Policy!$A$2:$A$301,0)),"MRO không có"))</f>
        <v/>
      </c>
      <c r="D279" s="14"/>
      <c r="E279" s="15"/>
      <c r="F279" s="15"/>
      <c r="G279" s="25"/>
      <c r="H279" s="23"/>
      <c r="I279" s="15"/>
      <c r="J279" s="14"/>
      <c r="K279" s="23"/>
      <c r="L279" s="15"/>
      <c r="M279" s="25"/>
      <c r="N279" s="23"/>
      <c r="O279" s="15"/>
      <c r="P279" s="14"/>
      <c r="Q279" s="23"/>
      <c r="R279" s="15"/>
      <c r="S279" s="25"/>
      <c r="T279" s="23"/>
      <c r="U279" s="15"/>
      <c r="V279" s="14"/>
      <c r="W279" s="23"/>
      <c r="X279" s="15"/>
      <c r="Y279" s="25"/>
      <c r="Z279" s="23"/>
      <c r="AA279" s="15"/>
      <c r="AB279" s="14"/>
      <c r="AC279" s="23"/>
      <c r="AD279" s="15"/>
      <c r="AE279" s="25"/>
      <c r="AF279" s="23"/>
      <c r="AG279" s="15"/>
      <c r="AH279" s="14"/>
      <c r="AI279" s="23"/>
      <c r="AJ279" s="15"/>
      <c r="AK279" s="25"/>
      <c r="AL279" s="23"/>
      <c r="AM279" s="15"/>
      <c r="AN279" s="14"/>
      <c r="AO279" s="23"/>
      <c r="AP279" s="15"/>
      <c r="AQ279" s="25"/>
      <c r="AR279" s="23"/>
      <c r="AS279" s="15"/>
      <c r="AT279" s="14"/>
      <c r="AU279" s="23"/>
      <c r="AV279" s="15"/>
      <c r="AW279" s="25"/>
      <c r="AX279" s="23"/>
      <c r="AY279" s="15"/>
      <c r="AZ279" s="14"/>
      <c r="BA279" s="23"/>
      <c r="BB279" s="15"/>
      <c r="BC279" s="25"/>
      <c r="BD279" s="23"/>
      <c r="BE279" s="15"/>
      <c r="BF279" s="14"/>
      <c r="BG279" s="23"/>
      <c r="BH279" s="15"/>
      <c r="BI279" s="25"/>
      <c r="BJ279" s="23"/>
      <c r="BK279" s="15"/>
      <c r="BL279" s="14"/>
      <c r="BM279" s="23"/>
      <c r="BN279" s="15"/>
      <c r="BO279" s="25"/>
      <c r="BP279" s="23"/>
      <c r="BQ279" s="15"/>
      <c r="BR279" s="14"/>
      <c r="BS279" s="23"/>
      <c r="BT279" s="15"/>
      <c r="BU279" s="25"/>
      <c r="BV279" s="23"/>
      <c r="BW279" s="15"/>
      <c r="BX279" s="14"/>
      <c r="BY279" s="23"/>
      <c r="BZ279" s="15"/>
    </row>
    <row r="280" customFormat="false" ht="15" hidden="false" customHeight="false" outlineLevel="0" collapsed="false">
      <c r="A280" s="14"/>
      <c r="B280" s="17" t="str">
        <f aca="false">IF($A280="","",IFERROR(INDEX(Policy!$B$2:$B$301,MATCH($A280,Policy!$A$2:$A$301,0)),"MRO không có"))</f>
        <v/>
      </c>
      <c r="C280" s="17" t="str">
        <f aca="false">IF($A280="","",IFERROR(INDEX(Policy!$E$2:$E$301,MATCH($A280,Policy!$A$2:$A$301,0)),"MRO không có"))</f>
        <v/>
      </c>
      <c r="D280" s="14"/>
      <c r="E280" s="15"/>
      <c r="F280" s="15"/>
      <c r="G280" s="25"/>
      <c r="H280" s="23"/>
      <c r="I280" s="15"/>
      <c r="J280" s="14"/>
      <c r="K280" s="23"/>
      <c r="L280" s="15"/>
      <c r="M280" s="25"/>
      <c r="N280" s="23"/>
      <c r="O280" s="15"/>
      <c r="P280" s="14"/>
      <c r="Q280" s="23"/>
      <c r="R280" s="15"/>
      <c r="S280" s="25"/>
      <c r="T280" s="23"/>
      <c r="U280" s="15"/>
      <c r="V280" s="14"/>
      <c r="W280" s="23"/>
      <c r="X280" s="15"/>
      <c r="Y280" s="25"/>
      <c r="Z280" s="23"/>
      <c r="AA280" s="15"/>
      <c r="AB280" s="14"/>
      <c r="AC280" s="23"/>
      <c r="AD280" s="15"/>
      <c r="AE280" s="25"/>
      <c r="AF280" s="23"/>
      <c r="AG280" s="15"/>
      <c r="AH280" s="14"/>
      <c r="AI280" s="23"/>
      <c r="AJ280" s="15"/>
      <c r="AK280" s="25"/>
      <c r="AL280" s="23"/>
      <c r="AM280" s="15"/>
      <c r="AN280" s="14"/>
      <c r="AO280" s="23"/>
      <c r="AP280" s="15"/>
      <c r="AQ280" s="25"/>
      <c r="AR280" s="23"/>
      <c r="AS280" s="15"/>
      <c r="AT280" s="14"/>
      <c r="AU280" s="23"/>
      <c r="AV280" s="15"/>
      <c r="AW280" s="25"/>
      <c r="AX280" s="23"/>
      <c r="AY280" s="15"/>
      <c r="AZ280" s="14"/>
      <c r="BA280" s="23"/>
      <c r="BB280" s="15"/>
      <c r="BC280" s="25"/>
      <c r="BD280" s="23"/>
      <c r="BE280" s="15"/>
      <c r="BF280" s="14"/>
      <c r="BG280" s="23"/>
      <c r="BH280" s="15"/>
      <c r="BI280" s="25"/>
      <c r="BJ280" s="23"/>
      <c r="BK280" s="15"/>
      <c r="BL280" s="14"/>
      <c r="BM280" s="23"/>
      <c r="BN280" s="15"/>
      <c r="BO280" s="25"/>
      <c r="BP280" s="23"/>
      <c r="BQ280" s="15"/>
      <c r="BR280" s="14"/>
      <c r="BS280" s="23"/>
      <c r="BT280" s="15"/>
      <c r="BU280" s="25"/>
      <c r="BV280" s="23"/>
      <c r="BW280" s="15"/>
      <c r="BX280" s="14"/>
      <c r="BY280" s="23"/>
      <c r="BZ280" s="15"/>
    </row>
    <row r="281" customFormat="false" ht="15" hidden="false" customHeight="false" outlineLevel="0" collapsed="false">
      <c r="A281" s="14"/>
      <c r="B281" s="17" t="str">
        <f aca="false">IF($A281="","",IFERROR(INDEX(Policy!$B$2:$B$301,MATCH($A281,Policy!$A$2:$A$301,0)),"MRO không có"))</f>
        <v/>
      </c>
      <c r="C281" s="17" t="str">
        <f aca="false">IF($A281="","",IFERROR(INDEX(Policy!$E$2:$E$301,MATCH($A281,Policy!$A$2:$A$301,0)),"MRO không có"))</f>
        <v/>
      </c>
      <c r="D281" s="14"/>
      <c r="E281" s="15"/>
      <c r="F281" s="15"/>
      <c r="G281" s="25"/>
      <c r="H281" s="23"/>
      <c r="I281" s="15"/>
      <c r="J281" s="14"/>
      <c r="K281" s="23"/>
      <c r="L281" s="15"/>
      <c r="M281" s="25"/>
      <c r="N281" s="23"/>
      <c r="O281" s="15"/>
      <c r="P281" s="14"/>
      <c r="Q281" s="23"/>
      <c r="R281" s="15"/>
      <c r="S281" s="25"/>
      <c r="T281" s="23"/>
      <c r="U281" s="15"/>
      <c r="V281" s="14"/>
      <c r="W281" s="23"/>
      <c r="X281" s="15"/>
      <c r="Y281" s="25"/>
      <c r="Z281" s="23"/>
      <c r="AA281" s="15"/>
      <c r="AB281" s="14"/>
      <c r="AC281" s="23"/>
      <c r="AD281" s="15"/>
      <c r="AE281" s="25"/>
      <c r="AF281" s="23"/>
      <c r="AG281" s="15"/>
      <c r="AH281" s="14"/>
      <c r="AI281" s="23"/>
      <c r="AJ281" s="15"/>
      <c r="AK281" s="25"/>
      <c r="AL281" s="23"/>
      <c r="AM281" s="15"/>
      <c r="AN281" s="14"/>
      <c r="AO281" s="23"/>
      <c r="AP281" s="15"/>
      <c r="AQ281" s="25"/>
      <c r="AR281" s="23"/>
      <c r="AS281" s="15"/>
      <c r="AT281" s="14"/>
      <c r="AU281" s="23"/>
      <c r="AV281" s="15"/>
      <c r="AW281" s="25"/>
      <c r="AX281" s="23"/>
      <c r="AY281" s="15"/>
      <c r="AZ281" s="14"/>
      <c r="BA281" s="23"/>
      <c r="BB281" s="15"/>
      <c r="BC281" s="25"/>
      <c r="BD281" s="23"/>
      <c r="BE281" s="15"/>
      <c r="BF281" s="14"/>
      <c r="BG281" s="23"/>
      <c r="BH281" s="15"/>
      <c r="BI281" s="25"/>
      <c r="BJ281" s="23"/>
      <c r="BK281" s="15"/>
      <c r="BL281" s="14"/>
      <c r="BM281" s="23"/>
      <c r="BN281" s="15"/>
      <c r="BO281" s="25"/>
      <c r="BP281" s="23"/>
      <c r="BQ281" s="15"/>
      <c r="BR281" s="14"/>
      <c r="BS281" s="23"/>
      <c r="BT281" s="15"/>
      <c r="BU281" s="25"/>
      <c r="BV281" s="23"/>
      <c r="BW281" s="15"/>
      <c r="BX281" s="14"/>
      <c r="BY281" s="23"/>
      <c r="BZ281" s="15"/>
    </row>
    <row r="282" customFormat="false" ht="15" hidden="false" customHeight="false" outlineLevel="0" collapsed="false">
      <c r="A282" s="14"/>
      <c r="B282" s="17" t="str">
        <f aca="false">IF($A282="","",IFERROR(INDEX(Policy!$B$2:$B$301,MATCH($A282,Policy!$A$2:$A$301,0)),"MRO không có"))</f>
        <v/>
      </c>
      <c r="C282" s="17" t="str">
        <f aca="false">IF($A282="","",IFERROR(INDEX(Policy!$E$2:$E$301,MATCH($A282,Policy!$A$2:$A$301,0)),"MRO không có"))</f>
        <v/>
      </c>
      <c r="D282" s="14"/>
      <c r="E282" s="15"/>
      <c r="F282" s="15"/>
      <c r="G282" s="25"/>
      <c r="H282" s="23"/>
      <c r="I282" s="15"/>
      <c r="J282" s="14"/>
      <c r="K282" s="23"/>
      <c r="L282" s="15"/>
      <c r="M282" s="25"/>
      <c r="N282" s="23"/>
      <c r="O282" s="15"/>
      <c r="P282" s="14"/>
      <c r="Q282" s="23"/>
      <c r="R282" s="15"/>
      <c r="S282" s="25"/>
      <c r="T282" s="23"/>
      <c r="U282" s="15"/>
      <c r="V282" s="14"/>
      <c r="W282" s="23"/>
      <c r="X282" s="15"/>
      <c r="Y282" s="25"/>
      <c r="Z282" s="23"/>
      <c r="AA282" s="15"/>
      <c r="AB282" s="14"/>
      <c r="AC282" s="23"/>
      <c r="AD282" s="15"/>
      <c r="AE282" s="25"/>
      <c r="AF282" s="23"/>
      <c r="AG282" s="15"/>
      <c r="AH282" s="14"/>
      <c r="AI282" s="23"/>
      <c r="AJ282" s="15"/>
      <c r="AK282" s="25"/>
      <c r="AL282" s="23"/>
      <c r="AM282" s="15"/>
      <c r="AN282" s="14"/>
      <c r="AO282" s="23"/>
      <c r="AP282" s="15"/>
      <c r="AQ282" s="25"/>
      <c r="AR282" s="23"/>
      <c r="AS282" s="15"/>
      <c r="AT282" s="14"/>
      <c r="AU282" s="23"/>
      <c r="AV282" s="15"/>
      <c r="AW282" s="25"/>
      <c r="AX282" s="23"/>
      <c r="AY282" s="15"/>
      <c r="AZ282" s="14"/>
      <c r="BA282" s="23"/>
      <c r="BB282" s="15"/>
      <c r="BC282" s="25"/>
      <c r="BD282" s="23"/>
      <c r="BE282" s="15"/>
      <c r="BF282" s="14"/>
      <c r="BG282" s="23"/>
      <c r="BH282" s="15"/>
      <c r="BI282" s="25"/>
      <c r="BJ282" s="23"/>
      <c r="BK282" s="15"/>
      <c r="BL282" s="14"/>
      <c r="BM282" s="23"/>
      <c r="BN282" s="15"/>
      <c r="BO282" s="25"/>
      <c r="BP282" s="23"/>
      <c r="BQ282" s="15"/>
      <c r="BR282" s="14"/>
      <c r="BS282" s="23"/>
      <c r="BT282" s="15"/>
      <c r="BU282" s="25"/>
      <c r="BV282" s="23"/>
      <c r="BW282" s="15"/>
      <c r="BX282" s="14"/>
      <c r="BY282" s="23"/>
      <c r="BZ282" s="15"/>
    </row>
    <row r="283" customFormat="false" ht="15" hidden="false" customHeight="false" outlineLevel="0" collapsed="false">
      <c r="A283" s="14"/>
      <c r="B283" s="17" t="str">
        <f aca="false">IF($A283="","",IFERROR(INDEX(Policy!$B$2:$B$301,MATCH($A283,Policy!$A$2:$A$301,0)),"MRO không có"))</f>
        <v/>
      </c>
      <c r="C283" s="17" t="str">
        <f aca="false">IF($A283="","",IFERROR(INDEX(Policy!$E$2:$E$301,MATCH($A283,Policy!$A$2:$A$301,0)),"MRO không có"))</f>
        <v/>
      </c>
      <c r="D283" s="14"/>
      <c r="E283" s="15"/>
      <c r="F283" s="15"/>
      <c r="G283" s="25"/>
      <c r="H283" s="23"/>
      <c r="I283" s="15"/>
      <c r="J283" s="14"/>
      <c r="K283" s="23"/>
      <c r="L283" s="15"/>
      <c r="M283" s="25"/>
      <c r="N283" s="23"/>
      <c r="O283" s="15"/>
      <c r="P283" s="14"/>
      <c r="Q283" s="23"/>
      <c r="R283" s="15"/>
      <c r="S283" s="25"/>
      <c r="T283" s="23"/>
      <c r="U283" s="15"/>
      <c r="V283" s="14"/>
      <c r="W283" s="23"/>
      <c r="X283" s="15"/>
      <c r="Y283" s="25"/>
      <c r="Z283" s="23"/>
      <c r="AA283" s="15"/>
      <c r="AB283" s="14"/>
      <c r="AC283" s="23"/>
      <c r="AD283" s="15"/>
      <c r="AE283" s="25"/>
      <c r="AF283" s="23"/>
      <c r="AG283" s="15"/>
      <c r="AH283" s="14"/>
      <c r="AI283" s="23"/>
      <c r="AJ283" s="15"/>
      <c r="AK283" s="25"/>
      <c r="AL283" s="23"/>
      <c r="AM283" s="15"/>
      <c r="AN283" s="14"/>
      <c r="AO283" s="23"/>
      <c r="AP283" s="15"/>
      <c r="AQ283" s="25"/>
      <c r="AR283" s="23"/>
      <c r="AS283" s="15"/>
      <c r="AT283" s="14"/>
      <c r="AU283" s="23"/>
      <c r="AV283" s="15"/>
      <c r="AW283" s="25"/>
      <c r="AX283" s="23"/>
      <c r="AY283" s="15"/>
      <c r="AZ283" s="14"/>
      <c r="BA283" s="23"/>
      <c r="BB283" s="15"/>
      <c r="BC283" s="25"/>
      <c r="BD283" s="23"/>
      <c r="BE283" s="15"/>
      <c r="BF283" s="14"/>
      <c r="BG283" s="23"/>
      <c r="BH283" s="15"/>
      <c r="BI283" s="25"/>
      <c r="BJ283" s="23"/>
      <c r="BK283" s="15"/>
      <c r="BL283" s="14"/>
      <c r="BM283" s="23"/>
      <c r="BN283" s="15"/>
      <c r="BO283" s="25"/>
      <c r="BP283" s="23"/>
      <c r="BQ283" s="15"/>
      <c r="BR283" s="14"/>
      <c r="BS283" s="23"/>
      <c r="BT283" s="15"/>
      <c r="BU283" s="25"/>
      <c r="BV283" s="23"/>
      <c r="BW283" s="15"/>
      <c r="BX283" s="14"/>
      <c r="BY283" s="23"/>
      <c r="BZ283" s="15"/>
    </row>
    <row r="284" customFormat="false" ht="15" hidden="false" customHeight="false" outlineLevel="0" collapsed="false">
      <c r="A284" s="14"/>
      <c r="B284" s="17" t="str">
        <f aca="false">IF($A284="","",IFERROR(INDEX(Policy!$B$2:$B$301,MATCH($A284,Policy!$A$2:$A$301,0)),"MRO không có"))</f>
        <v/>
      </c>
      <c r="C284" s="17" t="str">
        <f aca="false">IF($A284="","",IFERROR(INDEX(Policy!$E$2:$E$301,MATCH($A284,Policy!$A$2:$A$301,0)),"MRO không có"))</f>
        <v/>
      </c>
      <c r="D284" s="14"/>
      <c r="E284" s="15"/>
      <c r="F284" s="15"/>
      <c r="G284" s="25"/>
      <c r="H284" s="23"/>
      <c r="I284" s="15"/>
      <c r="J284" s="14"/>
      <c r="K284" s="23"/>
      <c r="L284" s="15"/>
      <c r="M284" s="25"/>
      <c r="N284" s="23"/>
      <c r="O284" s="15"/>
      <c r="P284" s="14"/>
      <c r="Q284" s="23"/>
      <c r="R284" s="15"/>
      <c r="S284" s="25"/>
      <c r="T284" s="23"/>
      <c r="U284" s="15"/>
      <c r="V284" s="14"/>
      <c r="W284" s="23"/>
      <c r="X284" s="15"/>
      <c r="Y284" s="25"/>
      <c r="Z284" s="23"/>
      <c r="AA284" s="15"/>
      <c r="AB284" s="14"/>
      <c r="AC284" s="23"/>
      <c r="AD284" s="15"/>
      <c r="AE284" s="25"/>
      <c r="AF284" s="23"/>
      <c r="AG284" s="15"/>
      <c r="AH284" s="14"/>
      <c r="AI284" s="23"/>
      <c r="AJ284" s="15"/>
      <c r="AK284" s="25"/>
      <c r="AL284" s="23"/>
      <c r="AM284" s="15"/>
      <c r="AN284" s="14"/>
      <c r="AO284" s="23"/>
      <c r="AP284" s="15"/>
      <c r="AQ284" s="25"/>
      <c r="AR284" s="23"/>
      <c r="AS284" s="15"/>
      <c r="AT284" s="14"/>
      <c r="AU284" s="23"/>
      <c r="AV284" s="15"/>
      <c r="AW284" s="25"/>
      <c r="AX284" s="23"/>
      <c r="AY284" s="15"/>
      <c r="AZ284" s="14"/>
      <c r="BA284" s="23"/>
      <c r="BB284" s="15"/>
      <c r="BC284" s="25"/>
      <c r="BD284" s="23"/>
      <c r="BE284" s="15"/>
      <c r="BF284" s="14"/>
      <c r="BG284" s="23"/>
      <c r="BH284" s="15"/>
      <c r="BI284" s="25"/>
      <c r="BJ284" s="23"/>
      <c r="BK284" s="15"/>
      <c r="BL284" s="14"/>
      <c r="BM284" s="23"/>
      <c r="BN284" s="15"/>
      <c r="BO284" s="25"/>
      <c r="BP284" s="23"/>
      <c r="BQ284" s="15"/>
      <c r="BR284" s="14"/>
      <c r="BS284" s="23"/>
      <c r="BT284" s="15"/>
      <c r="BU284" s="25"/>
      <c r="BV284" s="23"/>
      <c r="BW284" s="15"/>
      <c r="BX284" s="14"/>
      <c r="BY284" s="23"/>
      <c r="BZ284" s="15"/>
    </row>
    <row r="285" customFormat="false" ht="15" hidden="false" customHeight="false" outlineLevel="0" collapsed="false">
      <c r="A285" s="14"/>
      <c r="B285" s="17" t="str">
        <f aca="false">IF($A285="","",IFERROR(INDEX(Policy!$B$2:$B$301,MATCH($A285,Policy!$A$2:$A$301,0)),"MRO không có"))</f>
        <v/>
      </c>
      <c r="C285" s="17" t="str">
        <f aca="false">IF($A285="","",IFERROR(INDEX(Policy!$E$2:$E$301,MATCH($A285,Policy!$A$2:$A$301,0)),"MRO không có"))</f>
        <v/>
      </c>
      <c r="D285" s="14"/>
      <c r="E285" s="15"/>
      <c r="F285" s="15"/>
      <c r="G285" s="25"/>
      <c r="H285" s="23"/>
      <c r="I285" s="15"/>
      <c r="J285" s="14"/>
      <c r="K285" s="23"/>
      <c r="L285" s="15"/>
      <c r="M285" s="25"/>
      <c r="N285" s="23"/>
      <c r="O285" s="15"/>
      <c r="P285" s="14"/>
      <c r="Q285" s="23"/>
      <c r="R285" s="15"/>
      <c r="S285" s="25"/>
      <c r="T285" s="23"/>
      <c r="U285" s="15"/>
      <c r="V285" s="14"/>
      <c r="W285" s="23"/>
      <c r="X285" s="15"/>
      <c r="Y285" s="25"/>
      <c r="Z285" s="23"/>
      <c r="AA285" s="15"/>
      <c r="AB285" s="14"/>
      <c r="AC285" s="23"/>
      <c r="AD285" s="15"/>
      <c r="AE285" s="25"/>
      <c r="AF285" s="23"/>
      <c r="AG285" s="15"/>
      <c r="AH285" s="14"/>
      <c r="AI285" s="23"/>
      <c r="AJ285" s="15"/>
      <c r="AK285" s="25"/>
      <c r="AL285" s="23"/>
      <c r="AM285" s="15"/>
      <c r="AN285" s="14"/>
      <c r="AO285" s="23"/>
      <c r="AP285" s="15"/>
      <c r="AQ285" s="25"/>
      <c r="AR285" s="23"/>
      <c r="AS285" s="15"/>
      <c r="AT285" s="14"/>
      <c r="AU285" s="23"/>
      <c r="AV285" s="15"/>
      <c r="AW285" s="25"/>
      <c r="AX285" s="23"/>
      <c r="AY285" s="15"/>
      <c r="AZ285" s="14"/>
      <c r="BA285" s="23"/>
      <c r="BB285" s="15"/>
      <c r="BC285" s="25"/>
      <c r="BD285" s="23"/>
      <c r="BE285" s="15"/>
      <c r="BF285" s="14"/>
      <c r="BG285" s="23"/>
      <c r="BH285" s="15"/>
      <c r="BI285" s="25"/>
      <c r="BJ285" s="23"/>
      <c r="BK285" s="15"/>
      <c r="BL285" s="14"/>
      <c r="BM285" s="23"/>
      <c r="BN285" s="15"/>
      <c r="BO285" s="25"/>
      <c r="BP285" s="23"/>
      <c r="BQ285" s="15"/>
      <c r="BR285" s="14"/>
      <c r="BS285" s="23"/>
      <c r="BT285" s="15"/>
      <c r="BU285" s="25"/>
      <c r="BV285" s="23"/>
      <c r="BW285" s="15"/>
      <c r="BX285" s="14"/>
      <c r="BY285" s="23"/>
      <c r="BZ285" s="15"/>
    </row>
    <row r="286" customFormat="false" ht="15" hidden="false" customHeight="false" outlineLevel="0" collapsed="false">
      <c r="A286" s="14"/>
      <c r="B286" s="17" t="str">
        <f aca="false">IF($A286="","",IFERROR(INDEX(Policy!$B$2:$B$301,MATCH($A286,Policy!$A$2:$A$301,0)),"MRO không có"))</f>
        <v/>
      </c>
      <c r="C286" s="17" t="str">
        <f aca="false">IF($A286="","",IFERROR(INDEX(Policy!$E$2:$E$301,MATCH($A286,Policy!$A$2:$A$301,0)),"MRO không có"))</f>
        <v/>
      </c>
      <c r="D286" s="14"/>
      <c r="E286" s="15"/>
      <c r="F286" s="15"/>
      <c r="G286" s="25"/>
      <c r="H286" s="23"/>
      <c r="I286" s="15"/>
      <c r="J286" s="14"/>
      <c r="K286" s="23"/>
      <c r="L286" s="15"/>
      <c r="M286" s="25"/>
      <c r="N286" s="23"/>
      <c r="O286" s="15"/>
      <c r="P286" s="14"/>
      <c r="Q286" s="23"/>
      <c r="R286" s="15"/>
      <c r="S286" s="25"/>
      <c r="T286" s="23"/>
      <c r="U286" s="15"/>
      <c r="V286" s="14"/>
      <c r="W286" s="23"/>
      <c r="X286" s="15"/>
      <c r="Y286" s="25"/>
      <c r="Z286" s="23"/>
      <c r="AA286" s="15"/>
      <c r="AB286" s="14"/>
      <c r="AC286" s="23"/>
      <c r="AD286" s="15"/>
      <c r="AE286" s="25"/>
      <c r="AF286" s="23"/>
      <c r="AG286" s="15"/>
      <c r="AH286" s="14"/>
      <c r="AI286" s="23"/>
      <c r="AJ286" s="15"/>
      <c r="AK286" s="25"/>
      <c r="AL286" s="23"/>
      <c r="AM286" s="15"/>
      <c r="AN286" s="14"/>
      <c r="AO286" s="23"/>
      <c r="AP286" s="15"/>
      <c r="AQ286" s="25"/>
      <c r="AR286" s="23"/>
      <c r="AS286" s="15"/>
      <c r="AT286" s="14"/>
      <c r="AU286" s="23"/>
      <c r="AV286" s="15"/>
      <c r="AW286" s="25"/>
      <c r="AX286" s="23"/>
      <c r="AY286" s="15"/>
      <c r="AZ286" s="14"/>
      <c r="BA286" s="23"/>
      <c r="BB286" s="15"/>
      <c r="BC286" s="25"/>
      <c r="BD286" s="23"/>
      <c r="BE286" s="15"/>
      <c r="BF286" s="14"/>
      <c r="BG286" s="23"/>
      <c r="BH286" s="15"/>
      <c r="BI286" s="25"/>
      <c r="BJ286" s="23"/>
      <c r="BK286" s="15"/>
      <c r="BL286" s="14"/>
      <c r="BM286" s="23"/>
      <c r="BN286" s="15"/>
      <c r="BO286" s="25"/>
      <c r="BP286" s="23"/>
      <c r="BQ286" s="15"/>
      <c r="BR286" s="14"/>
      <c r="BS286" s="23"/>
      <c r="BT286" s="15"/>
      <c r="BU286" s="25"/>
      <c r="BV286" s="23"/>
      <c r="BW286" s="15"/>
      <c r="BX286" s="14"/>
      <c r="BY286" s="23"/>
      <c r="BZ286" s="15"/>
    </row>
    <row r="287" customFormat="false" ht="15" hidden="false" customHeight="false" outlineLevel="0" collapsed="false">
      <c r="A287" s="14"/>
      <c r="B287" s="17" t="str">
        <f aca="false">IF($A287="","",IFERROR(INDEX(Policy!$B$2:$B$301,MATCH($A287,Policy!$A$2:$A$301,0)),"MRO không có"))</f>
        <v/>
      </c>
      <c r="C287" s="17" t="str">
        <f aca="false">IF($A287="","",IFERROR(INDEX(Policy!$E$2:$E$301,MATCH($A287,Policy!$A$2:$A$301,0)),"MRO không có"))</f>
        <v/>
      </c>
      <c r="D287" s="14"/>
      <c r="E287" s="15"/>
      <c r="F287" s="15"/>
      <c r="G287" s="25"/>
      <c r="H287" s="23"/>
      <c r="I287" s="15"/>
      <c r="J287" s="14"/>
      <c r="K287" s="23"/>
      <c r="L287" s="15"/>
      <c r="M287" s="25"/>
      <c r="N287" s="23"/>
      <c r="O287" s="15"/>
      <c r="P287" s="14"/>
      <c r="Q287" s="23"/>
      <c r="R287" s="15"/>
      <c r="S287" s="25"/>
      <c r="T287" s="23"/>
      <c r="U287" s="15"/>
      <c r="V287" s="14"/>
      <c r="W287" s="23"/>
      <c r="X287" s="15"/>
      <c r="Y287" s="25"/>
      <c r="Z287" s="23"/>
      <c r="AA287" s="15"/>
      <c r="AB287" s="14"/>
      <c r="AC287" s="23"/>
      <c r="AD287" s="15"/>
      <c r="AE287" s="25"/>
      <c r="AF287" s="23"/>
      <c r="AG287" s="15"/>
      <c r="AH287" s="14"/>
      <c r="AI287" s="23"/>
      <c r="AJ287" s="15"/>
      <c r="AK287" s="25"/>
      <c r="AL287" s="23"/>
      <c r="AM287" s="15"/>
      <c r="AN287" s="14"/>
      <c r="AO287" s="23"/>
      <c r="AP287" s="15"/>
      <c r="AQ287" s="25"/>
      <c r="AR287" s="23"/>
      <c r="AS287" s="15"/>
      <c r="AT287" s="14"/>
      <c r="AU287" s="23"/>
      <c r="AV287" s="15"/>
      <c r="AW287" s="25"/>
      <c r="AX287" s="23"/>
      <c r="AY287" s="15"/>
      <c r="AZ287" s="14"/>
      <c r="BA287" s="23"/>
      <c r="BB287" s="15"/>
      <c r="BC287" s="25"/>
      <c r="BD287" s="23"/>
      <c r="BE287" s="15"/>
      <c r="BF287" s="14"/>
      <c r="BG287" s="23"/>
      <c r="BH287" s="15"/>
      <c r="BI287" s="25"/>
      <c r="BJ287" s="23"/>
      <c r="BK287" s="15"/>
      <c r="BL287" s="14"/>
      <c r="BM287" s="23"/>
      <c r="BN287" s="15"/>
      <c r="BO287" s="25"/>
      <c r="BP287" s="23"/>
      <c r="BQ287" s="15"/>
      <c r="BR287" s="14"/>
      <c r="BS287" s="23"/>
      <c r="BT287" s="15"/>
      <c r="BU287" s="25"/>
      <c r="BV287" s="23"/>
      <c r="BW287" s="15"/>
      <c r="BX287" s="14"/>
      <c r="BY287" s="23"/>
      <c r="BZ287" s="15"/>
    </row>
    <row r="288" customFormat="false" ht="15" hidden="false" customHeight="false" outlineLevel="0" collapsed="false">
      <c r="A288" s="14"/>
      <c r="B288" s="17" t="str">
        <f aca="false">IF($A288="","",IFERROR(INDEX(Policy!$B$2:$B$301,MATCH($A288,Policy!$A$2:$A$301,0)),"MRO không có"))</f>
        <v/>
      </c>
      <c r="C288" s="17" t="str">
        <f aca="false">IF($A288="","",IFERROR(INDEX(Policy!$E$2:$E$301,MATCH($A288,Policy!$A$2:$A$301,0)),"MRO không có"))</f>
        <v/>
      </c>
      <c r="D288" s="14"/>
      <c r="E288" s="15"/>
      <c r="F288" s="15"/>
      <c r="G288" s="25"/>
      <c r="H288" s="23"/>
      <c r="I288" s="15"/>
      <c r="J288" s="14"/>
      <c r="K288" s="23"/>
      <c r="L288" s="15"/>
      <c r="M288" s="25"/>
      <c r="N288" s="23"/>
      <c r="O288" s="15"/>
      <c r="P288" s="14"/>
      <c r="Q288" s="23"/>
      <c r="R288" s="15"/>
      <c r="S288" s="25"/>
      <c r="T288" s="23"/>
      <c r="U288" s="15"/>
      <c r="V288" s="14"/>
      <c r="W288" s="23"/>
      <c r="X288" s="15"/>
      <c r="Y288" s="25"/>
      <c r="Z288" s="23"/>
      <c r="AA288" s="15"/>
      <c r="AB288" s="14"/>
      <c r="AC288" s="23"/>
      <c r="AD288" s="15"/>
      <c r="AE288" s="25"/>
      <c r="AF288" s="23"/>
      <c r="AG288" s="15"/>
      <c r="AH288" s="14"/>
      <c r="AI288" s="23"/>
      <c r="AJ288" s="15"/>
      <c r="AK288" s="25"/>
      <c r="AL288" s="23"/>
      <c r="AM288" s="15"/>
      <c r="AN288" s="14"/>
      <c r="AO288" s="23"/>
      <c r="AP288" s="15"/>
      <c r="AQ288" s="25"/>
      <c r="AR288" s="23"/>
      <c r="AS288" s="15"/>
      <c r="AT288" s="14"/>
      <c r="AU288" s="23"/>
      <c r="AV288" s="15"/>
      <c r="AW288" s="25"/>
      <c r="AX288" s="23"/>
      <c r="AY288" s="15"/>
      <c r="AZ288" s="14"/>
      <c r="BA288" s="23"/>
      <c r="BB288" s="15"/>
      <c r="BC288" s="25"/>
      <c r="BD288" s="23"/>
      <c r="BE288" s="15"/>
      <c r="BF288" s="14"/>
      <c r="BG288" s="23"/>
      <c r="BH288" s="15"/>
      <c r="BI288" s="25"/>
      <c r="BJ288" s="23"/>
      <c r="BK288" s="15"/>
      <c r="BL288" s="14"/>
      <c r="BM288" s="23"/>
      <c r="BN288" s="15"/>
      <c r="BO288" s="25"/>
      <c r="BP288" s="23"/>
      <c r="BQ288" s="15"/>
      <c r="BR288" s="14"/>
      <c r="BS288" s="23"/>
      <c r="BT288" s="15"/>
      <c r="BU288" s="25"/>
      <c r="BV288" s="23"/>
      <c r="BW288" s="15"/>
      <c r="BX288" s="14"/>
      <c r="BY288" s="23"/>
      <c r="BZ288" s="15"/>
    </row>
    <row r="289" customFormat="false" ht="15" hidden="false" customHeight="false" outlineLevel="0" collapsed="false">
      <c r="A289" s="14"/>
      <c r="B289" s="17" t="str">
        <f aca="false">IF($A289="","",IFERROR(INDEX(Policy!$B$2:$B$301,MATCH($A289,Policy!$A$2:$A$301,0)),"MRO không có"))</f>
        <v/>
      </c>
      <c r="C289" s="17" t="str">
        <f aca="false">IF($A289="","",IFERROR(INDEX(Policy!$E$2:$E$301,MATCH($A289,Policy!$A$2:$A$301,0)),"MRO không có"))</f>
        <v/>
      </c>
      <c r="D289" s="14"/>
      <c r="E289" s="15"/>
      <c r="F289" s="15"/>
      <c r="G289" s="25"/>
      <c r="H289" s="23"/>
      <c r="I289" s="15"/>
      <c r="J289" s="14"/>
      <c r="K289" s="23"/>
      <c r="L289" s="15"/>
      <c r="M289" s="25"/>
      <c r="N289" s="23"/>
      <c r="O289" s="15"/>
      <c r="P289" s="14"/>
      <c r="Q289" s="23"/>
      <c r="R289" s="15"/>
      <c r="S289" s="25"/>
      <c r="T289" s="23"/>
      <c r="U289" s="15"/>
      <c r="V289" s="14"/>
      <c r="W289" s="23"/>
      <c r="X289" s="15"/>
      <c r="Y289" s="25"/>
      <c r="Z289" s="23"/>
      <c r="AA289" s="15"/>
      <c r="AB289" s="14"/>
      <c r="AC289" s="23"/>
      <c r="AD289" s="15"/>
      <c r="AE289" s="25"/>
      <c r="AF289" s="23"/>
      <c r="AG289" s="15"/>
      <c r="AH289" s="14"/>
      <c r="AI289" s="23"/>
      <c r="AJ289" s="15"/>
      <c r="AK289" s="25"/>
      <c r="AL289" s="23"/>
      <c r="AM289" s="15"/>
      <c r="AN289" s="14"/>
      <c r="AO289" s="23"/>
      <c r="AP289" s="15"/>
      <c r="AQ289" s="25"/>
      <c r="AR289" s="23"/>
      <c r="AS289" s="15"/>
      <c r="AT289" s="14"/>
      <c r="AU289" s="23"/>
      <c r="AV289" s="15"/>
      <c r="AW289" s="25"/>
      <c r="AX289" s="23"/>
      <c r="AY289" s="15"/>
      <c r="AZ289" s="14"/>
      <c r="BA289" s="23"/>
      <c r="BB289" s="15"/>
      <c r="BC289" s="25"/>
      <c r="BD289" s="23"/>
      <c r="BE289" s="15"/>
      <c r="BF289" s="14"/>
      <c r="BG289" s="23"/>
      <c r="BH289" s="15"/>
      <c r="BI289" s="25"/>
      <c r="BJ289" s="23"/>
      <c r="BK289" s="15"/>
      <c r="BL289" s="14"/>
      <c r="BM289" s="23"/>
      <c r="BN289" s="15"/>
      <c r="BO289" s="25"/>
      <c r="BP289" s="23"/>
      <c r="BQ289" s="15"/>
      <c r="BR289" s="14"/>
      <c r="BS289" s="23"/>
      <c r="BT289" s="15"/>
      <c r="BU289" s="25"/>
      <c r="BV289" s="23"/>
      <c r="BW289" s="15"/>
      <c r="BX289" s="14"/>
      <c r="BY289" s="23"/>
      <c r="BZ289" s="15"/>
    </row>
    <row r="290" customFormat="false" ht="15" hidden="false" customHeight="false" outlineLevel="0" collapsed="false">
      <c r="A290" s="14"/>
      <c r="B290" s="17" t="str">
        <f aca="false">IF($A290="","",IFERROR(INDEX(Policy!$B$2:$B$301,MATCH($A290,Policy!$A$2:$A$301,0)),"MRO không có"))</f>
        <v/>
      </c>
      <c r="C290" s="17" t="str">
        <f aca="false">IF($A290="","",IFERROR(INDEX(Policy!$E$2:$E$301,MATCH($A290,Policy!$A$2:$A$301,0)),"MRO không có"))</f>
        <v/>
      </c>
      <c r="D290" s="14"/>
      <c r="E290" s="15"/>
      <c r="F290" s="15"/>
      <c r="G290" s="25"/>
      <c r="H290" s="23"/>
      <c r="I290" s="15"/>
      <c r="J290" s="14"/>
      <c r="K290" s="23"/>
      <c r="L290" s="15"/>
      <c r="M290" s="25"/>
      <c r="N290" s="23"/>
      <c r="O290" s="15"/>
      <c r="P290" s="14"/>
      <c r="Q290" s="23"/>
      <c r="R290" s="15"/>
      <c r="S290" s="25"/>
      <c r="T290" s="23"/>
      <c r="U290" s="15"/>
      <c r="V290" s="14"/>
      <c r="W290" s="23"/>
      <c r="X290" s="15"/>
      <c r="Y290" s="25"/>
      <c r="Z290" s="23"/>
      <c r="AA290" s="15"/>
      <c r="AB290" s="14"/>
      <c r="AC290" s="23"/>
      <c r="AD290" s="15"/>
      <c r="AE290" s="25"/>
      <c r="AF290" s="23"/>
      <c r="AG290" s="15"/>
      <c r="AH290" s="14"/>
      <c r="AI290" s="23"/>
      <c r="AJ290" s="15"/>
      <c r="AK290" s="25"/>
      <c r="AL290" s="23"/>
      <c r="AM290" s="15"/>
      <c r="AN290" s="14"/>
      <c r="AO290" s="23"/>
      <c r="AP290" s="15"/>
      <c r="AQ290" s="25"/>
      <c r="AR290" s="23"/>
      <c r="AS290" s="15"/>
      <c r="AT290" s="14"/>
      <c r="AU290" s="23"/>
      <c r="AV290" s="15"/>
      <c r="AW290" s="25"/>
      <c r="AX290" s="23"/>
      <c r="AY290" s="15"/>
      <c r="AZ290" s="14"/>
      <c r="BA290" s="23"/>
      <c r="BB290" s="15"/>
      <c r="BC290" s="25"/>
      <c r="BD290" s="23"/>
      <c r="BE290" s="15"/>
      <c r="BF290" s="14"/>
      <c r="BG290" s="23"/>
      <c r="BH290" s="15"/>
      <c r="BI290" s="25"/>
      <c r="BJ290" s="23"/>
      <c r="BK290" s="15"/>
      <c r="BL290" s="14"/>
      <c r="BM290" s="23"/>
      <c r="BN290" s="15"/>
      <c r="BO290" s="25"/>
      <c r="BP290" s="23"/>
      <c r="BQ290" s="15"/>
      <c r="BR290" s="14"/>
      <c r="BS290" s="23"/>
      <c r="BT290" s="15"/>
      <c r="BU290" s="25"/>
      <c r="BV290" s="23"/>
      <c r="BW290" s="15"/>
      <c r="BX290" s="14"/>
      <c r="BY290" s="23"/>
      <c r="BZ290" s="15"/>
    </row>
    <row r="291" customFormat="false" ht="15" hidden="false" customHeight="false" outlineLevel="0" collapsed="false">
      <c r="A291" s="14"/>
      <c r="B291" s="17" t="str">
        <f aca="false">IF($A291="","",IFERROR(INDEX(Policy!$B$2:$B$301,MATCH($A291,Policy!$A$2:$A$301,0)),"MRO không có"))</f>
        <v/>
      </c>
      <c r="C291" s="17" t="str">
        <f aca="false">IF($A291="","",IFERROR(INDEX(Policy!$E$2:$E$301,MATCH($A291,Policy!$A$2:$A$301,0)),"MRO không có"))</f>
        <v/>
      </c>
      <c r="D291" s="14"/>
      <c r="E291" s="15"/>
      <c r="F291" s="15"/>
      <c r="G291" s="25"/>
      <c r="H291" s="23"/>
      <c r="I291" s="15"/>
      <c r="J291" s="14"/>
      <c r="K291" s="23"/>
      <c r="L291" s="15"/>
      <c r="M291" s="25"/>
      <c r="N291" s="23"/>
      <c r="O291" s="15"/>
      <c r="P291" s="14"/>
      <c r="Q291" s="23"/>
      <c r="R291" s="15"/>
      <c r="S291" s="25"/>
      <c r="T291" s="23"/>
      <c r="U291" s="15"/>
      <c r="V291" s="14"/>
      <c r="W291" s="23"/>
      <c r="X291" s="15"/>
      <c r="Y291" s="25"/>
      <c r="Z291" s="23"/>
      <c r="AA291" s="15"/>
      <c r="AB291" s="14"/>
      <c r="AC291" s="23"/>
      <c r="AD291" s="15"/>
      <c r="AE291" s="25"/>
      <c r="AF291" s="23"/>
      <c r="AG291" s="15"/>
      <c r="AH291" s="14"/>
      <c r="AI291" s="23"/>
      <c r="AJ291" s="15"/>
      <c r="AK291" s="25"/>
      <c r="AL291" s="23"/>
      <c r="AM291" s="15"/>
      <c r="AN291" s="14"/>
      <c r="AO291" s="23"/>
      <c r="AP291" s="15"/>
      <c r="AQ291" s="25"/>
      <c r="AR291" s="23"/>
      <c r="AS291" s="15"/>
      <c r="AT291" s="14"/>
      <c r="AU291" s="23"/>
      <c r="AV291" s="15"/>
      <c r="AW291" s="25"/>
      <c r="AX291" s="23"/>
      <c r="AY291" s="15"/>
      <c r="AZ291" s="14"/>
      <c r="BA291" s="23"/>
      <c r="BB291" s="15"/>
      <c r="BC291" s="25"/>
      <c r="BD291" s="23"/>
      <c r="BE291" s="15"/>
      <c r="BF291" s="14"/>
      <c r="BG291" s="23"/>
      <c r="BH291" s="15"/>
      <c r="BI291" s="25"/>
      <c r="BJ291" s="23"/>
      <c r="BK291" s="15"/>
      <c r="BL291" s="14"/>
      <c r="BM291" s="23"/>
      <c r="BN291" s="15"/>
      <c r="BO291" s="25"/>
      <c r="BP291" s="23"/>
      <c r="BQ291" s="15"/>
      <c r="BR291" s="14"/>
      <c r="BS291" s="23"/>
      <c r="BT291" s="15"/>
      <c r="BU291" s="25"/>
      <c r="BV291" s="23"/>
      <c r="BW291" s="15"/>
      <c r="BX291" s="14"/>
      <c r="BY291" s="23"/>
      <c r="BZ291" s="15"/>
    </row>
    <row r="292" customFormat="false" ht="15" hidden="false" customHeight="false" outlineLevel="0" collapsed="false">
      <c r="A292" s="14"/>
      <c r="B292" s="17" t="str">
        <f aca="false">IF($A292="","",IFERROR(INDEX(Policy!$B$2:$B$301,MATCH($A292,Policy!$A$2:$A$301,0)),"MRO không có"))</f>
        <v/>
      </c>
      <c r="C292" s="17" t="str">
        <f aca="false">IF($A292="","",IFERROR(INDEX(Policy!$E$2:$E$301,MATCH($A292,Policy!$A$2:$A$301,0)),"MRO không có"))</f>
        <v/>
      </c>
      <c r="D292" s="14"/>
      <c r="E292" s="15"/>
      <c r="F292" s="15"/>
      <c r="G292" s="25"/>
      <c r="H292" s="23"/>
      <c r="I292" s="15"/>
      <c r="J292" s="14"/>
      <c r="K292" s="23"/>
      <c r="L292" s="15"/>
      <c r="M292" s="25"/>
      <c r="N292" s="23"/>
      <c r="O292" s="15"/>
      <c r="P292" s="14"/>
      <c r="Q292" s="23"/>
      <c r="R292" s="15"/>
      <c r="S292" s="25"/>
      <c r="T292" s="23"/>
      <c r="U292" s="15"/>
      <c r="V292" s="14"/>
      <c r="W292" s="23"/>
      <c r="X292" s="15"/>
      <c r="Y292" s="25"/>
      <c r="Z292" s="23"/>
      <c r="AA292" s="15"/>
      <c r="AB292" s="14"/>
      <c r="AC292" s="23"/>
      <c r="AD292" s="15"/>
      <c r="AE292" s="25"/>
      <c r="AF292" s="23"/>
      <c r="AG292" s="15"/>
      <c r="AH292" s="14"/>
      <c r="AI292" s="23"/>
      <c r="AJ292" s="15"/>
      <c r="AK292" s="25"/>
      <c r="AL292" s="23"/>
      <c r="AM292" s="15"/>
      <c r="AN292" s="14"/>
      <c r="AO292" s="23"/>
      <c r="AP292" s="15"/>
      <c r="AQ292" s="25"/>
      <c r="AR292" s="23"/>
      <c r="AS292" s="15"/>
      <c r="AT292" s="14"/>
      <c r="AU292" s="23"/>
      <c r="AV292" s="15"/>
      <c r="AW292" s="25"/>
      <c r="AX292" s="23"/>
      <c r="AY292" s="15"/>
      <c r="AZ292" s="14"/>
      <c r="BA292" s="23"/>
      <c r="BB292" s="15"/>
      <c r="BC292" s="25"/>
      <c r="BD292" s="23"/>
      <c r="BE292" s="15"/>
      <c r="BF292" s="14"/>
      <c r="BG292" s="23"/>
      <c r="BH292" s="15"/>
      <c r="BI292" s="25"/>
      <c r="BJ292" s="23"/>
      <c r="BK292" s="15"/>
      <c r="BL292" s="14"/>
      <c r="BM292" s="23"/>
      <c r="BN292" s="15"/>
      <c r="BO292" s="25"/>
      <c r="BP292" s="23"/>
      <c r="BQ292" s="15"/>
      <c r="BR292" s="14"/>
      <c r="BS292" s="23"/>
      <c r="BT292" s="15"/>
      <c r="BU292" s="25"/>
      <c r="BV292" s="23"/>
      <c r="BW292" s="15"/>
      <c r="BX292" s="14"/>
      <c r="BY292" s="23"/>
      <c r="BZ292" s="15"/>
    </row>
    <row r="293" customFormat="false" ht="15" hidden="false" customHeight="false" outlineLevel="0" collapsed="false">
      <c r="A293" s="14"/>
      <c r="B293" s="17" t="str">
        <f aca="false">IF($A293="","",IFERROR(INDEX(Policy!$B$2:$B$301,MATCH($A293,Policy!$A$2:$A$301,0)),"MRO không có"))</f>
        <v/>
      </c>
      <c r="C293" s="17" t="str">
        <f aca="false">IF($A293="","",IFERROR(INDEX(Policy!$E$2:$E$301,MATCH($A293,Policy!$A$2:$A$301,0)),"MRO không có"))</f>
        <v/>
      </c>
      <c r="D293" s="14"/>
      <c r="E293" s="15"/>
      <c r="F293" s="15"/>
      <c r="G293" s="25"/>
      <c r="H293" s="23"/>
      <c r="I293" s="15"/>
      <c r="J293" s="14"/>
      <c r="K293" s="23"/>
      <c r="L293" s="15"/>
      <c r="M293" s="25"/>
      <c r="N293" s="23"/>
      <c r="O293" s="15"/>
      <c r="P293" s="14"/>
      <c r="Q293" s="23"/>
      <c r="R293" s="15"/>
      <c r="S293" s="25"/>
      <c r="T293" s="23"/>
      <c r="U293" s="15"/>
      <c r="V293" s="14"/>
      <c r="W293" s="23"/>
      <c r="X293" s="15"/>
      <c r="Y293" s="25"/>
      <c r="Z293" s="23"/>
      <c r="AA293" s="15"/>
      <c r="AB293" s="14"/>
      <c r="AC293" s="23"/>
      <c r="AD293" s="15"/>
      <c r="AE293" s="25"/>
      <c r="AF293" s="23"/>
      <c r="AG293" s="15"/>
      <c r="AH293" s="14"/>
      <c r="AI293" s="23"/>
      <c r="AJ293" s="15"/>
      <c r="AK293" s="25"/>
      <c r="AL293" s="23"/>
      <c r="AM293" s="15"/>
      <c r="AN293" s="14"/>
      <c r="AO293" s="23"/>
      <c r="AP293" s="15"/>
      <c r="AQ293" s="25"/>
      <c r="AR293" s="23"/>
      <c r="AS293" s="15"/>
      <c r="AT293" s="14"/>
      <c r="AU293" s="23"/>
      <c r="AV293" s="15"/>
      <c r="AW293" s="25"/>
      <c r="AX293" s="23"/>
      <c r="AY293" s="15"/>
      <c r="AZ293" s="14"/>
      <c r="BA293" s="23"/>
      <c r="BB293" s="15"/>
      <c r="BC293" s="25"/>
      <c r="BD293" s="23"/>
      <c r="BE293" s="15"/>
      <c r="BF293" s="14"/>
      <c r="BG293" s="23"/>
      <c r="BH293" s="15"/>
      <c r="BI293" s="25"/>
      <c r="BJ293" s="23"/>
      <c r="BK293" s="15"/>
      <c r="BL293" s="14"/>
      <c r="BM293" s="23"/>
      <c r="BN293" s="15"/>
      <c r="BO293" s="25"/>
      <c r="BP293" s="23"/>
      <c r="BQ293" s="15"/>
      <c r="BR293" s="14"/>
      <c r="BS293" s="23"/>
      <c r="BT293" s="15"/>
      <c r="BU293" s="25"/>
      <c r="BV293" s="23"/>
      <c r="BW293" s="15"/>
      <c r="BX293" s="14"/>
      <c r="BY293" s="23"/>
      <c r="BZ293" s="15"/>
    </row>
    <row r="294" customFormat="false" ht="15" hidden="false" customHeight="false" outlineLevel="0" collapsed="false">
      <c r="A294" s="14"/>
      <c r="B294" s="17" t="str">
        <f aca="false">IF($A294="","",IFERROR(INDEX(Policy!$B$2:$B$301,MATCH($A294,Policy!$A$2:$A$301,0)),"MRO không có"))</f>
        <v/>
      </c>
      <c r="C294" s="17" t="str">
        <f aca="false">IF($A294="","",IFERROR(INDEX(Policy!$E$2:$E$301,MATCH($A294,Policy!$A$2:$A$301,0)),"MRO không có"))</f>
        <v/>
      </c>
      <c r="D294" s="14"/>
      <c r="E294" s="15"/>
      <c r="F294" s="15"/>
      <c r="G294" s="25"/>
      <c r="H294" s="23"/>
      <c r="I294" s="15"/>
      <c r="J294" s="14"/>
      <c r="K294" s="23"/>
      <c r="L294" s="15"/>
      <c r="M294" s="25"/>
      <c r="N294" s="23"/>
      <c r="O294" s="15"/>
      <c r="P294" s="14"/>
      <c r="Q294" s="23"/>
      <c r="R294" s="15"/>
      <c r="S294" s="25"/>
      <c r="T294" s="23"/>
      <c r="U294" s="15"/>
      <c r="V294" s="14"/>
      <c r="W294" s="23"/>
      <c r="X294" s="15"/>
      <c r="Y294" s="25"/>
      <c r="Z294" s="23"/>
      <c r="AA294" s="15"/>
      <c r="AB294" s="14"/>
      <c r="AC294" s="23"/>
      <c r="AD294" s="15"/>
      <c r="AE294" s="25"/>
      <c r="AF294" s="23"/>
      <c r="AG294" s="15"/>
      <c r="AH294" s="14"/>
      <c r="AI294" s="23"/>
      <c r="AJ294" s="15"/>
      <c r="AK294" s="25"/>
      <c r="AL294" s="23"/>
      <c r="AM294" s="15"/>
      <c r="AN294" s="14"/>
      <c r="AO294" s="23"/>
      <c r="AP294" s="15"/>
      <c r="AQ294" s="25"/>
      <c r="AR294" s="23"/>
      <c r="AS294" s="15"/>
      <c r="AT294" s="14"/>
      <c r="AU294" s="23"/>
      <c r="AV294" s="15"/>
      <c r="AW294" s="25"/>
      <c r="AX294" s="23"/>
      <c r="AY294" s="15"/>
      <c r="AZ294" s="14"/>
      <c r="BA294" s="23"/>
      <c r="BB294" s="15"/>
      <c r="BC294" s="25"/>
      <c r="BD294" s="23"/>
      <c r="BE294" s="15"/>
      <c r="BF294" s="14"/>
      <c r="BG294" s="23"/>
      <c r="BH294" s="15"/>
      <c r="BI294" s="25"/>
      <c r="BJ294" s="23"/>
      <c r="BK294" s="15"/>
      <c r="BL294" s="14"/>
      <c r="BM294" s="23"/>
      <c r="BN294" s="15"/>
      <c r="BO294" s="25"/>
      <c r="BP294" s="23"/>
      <c r="BQ294" s="15"/>
      <c r="BR294" s="14"/>
      <c r="BS294" s="23"/>
      <c r="BT294" s="15"/>
      <c r="BU294" s="25"/>
      <c r="BV294" s="23"/>
      <c r="BW294" s="15"/>
      <c r="BX294" s="14"/>
      <c r="BY294" s="23"/>
      <c r="BZ294" s="15"/>
    </row>
    <row r="295" customFormat="false" ht="15" hidden="false" customHeight="false" outlineLevel="0" collapsed="false">
      <c r="A295" s="14"/>
      <c r="B295" s="17" t="str">
        <f aca="false">IF($A295="","",IFERROR(INDEX(Policy!$B$2:$B$301,MATCH($A295,Policy!$A$2:$A$301,0)),"MRO không có"))</f>
        <v/>
      </c>
      <c r="C295" s="17" t="str">
        <f aca="false">IF($A295="","",IFERROR(INDEX(Policy!$E$2:$E$301,MATCH($A295,Policy!$A$2:$A$301,0)),"MRO không có"))</f>
        <v/>
      </c>
      <c r="D295" s="14"/>
      <c r="E295" s="15"/>
      <c r="F295" s="15"/>
      <c r="G295" s="25"/>
      <c r="H295" s="23"/>
      <c r="I295" s="15"/>
      <c r="J295" s="14"/>
      <c r="K295" s="23"/>
      <c r="L295" s="15"/>
      <c r="M295" s="25"/>
      <c r="N295" s="23"/>
      <c r="O295" s="15"/>
      <c r="P295" s="14"/>
      <c r="Q295" s="23"/>
      <c r="R295" s="15"/>
      <c r="S295" s="25"/>
      <c r="T295" s="23"/>
      <c r="U295" s="15"/>
      <c r="V295" s="14"/>
      <c r="W295" s="23"/>
      <c r="X295" s="15"/>
      <c r="Y295" s="25"/>
      <c r="Z295" s="23"/>
      <c r="AA295" s="15"/>
      <c r="AB295" s="14"/>
      <c r="AC295" s="23"/>
      <c r="AD295" s="15"/>
      <c r="AE295" s="25"/>
      <c r="AF295" s="23"/>
      <c r="AG295" s="15"/>
      <c r="AH295" s="14"/>
      <c r="AI295" s="23"/>
      <c r="AJ295" s="15"/>
      <c r="AK295" s="25"/>
      <c r="AL295" s="23"/>
      <c r="AM295" s="15"/>
      <c r="AN295" s="14"/>
      <c r="AO295" s="23"/>
      <c r="AP295" s="15"/>
      <c r="AQ295" s="25"/>
      <c r="AR295" s="23"/>
      <c r="AS295" s="15"/>
      <c r="AT295" s="14"/>
      <c r="AU295" s="23"/>
      <c r="AV295" s="15"/>
      <c r="AW295" s="25"/>
      <c r="AX295" s="23"/>
      <c r="AY295" s="15"/>
      <c r="AZ295" s="14"/>
      <c r="BA295" s="23"/>
      <c r="BB295" s="15"/>
      <c r="BC295" s="25"/>
      <c r="BD295" s="23"/>
      <c r="BE295" s="15"/>
      <c r="BF295" s="14"/>
      <c r="BG295" s="23"/>
      <c r="BH295" s="15"/>
      <c r="BI295" s="25"/>
      <c r="BJ295" s="23"/>
      <c r="BK295" s="15"/>
      <c r="BL295" s="14"/>
      <c r="BM295" s="23"/>
      <c r="BN295" s="15"/>
      <c r="BO295" s="25"/>
      <c r="BP295" s="23"/>
      <c r="BQ295" s="15"/>
      <c r="BR295" s="14"/>
      <c r="BS295" s="23"/>
      <c r="BT295" s="15"/>
      <c r="BU295" s="25"/>
      <c r="BV295" s="23"/>
      <c r="BW295" s="15"/>
      <c r="BX295" s="14"/>
      <c r="BY295" s="23"/>
      <c r="BZ295" s="15"/>
    </row>
    <row r="296" customFormat="false" ht="15" hidden="false" customHeight="false" outlineLevel="0" collapsed="false">
      <c r="A296" s="14"/>
      <c r="B296" s="17" t="str">
        <f aca="false">IF($A296="","",IFERROR(INDEX(Policy!$B$2:$B$301,MATCH($A296,Policy!$A$2:$A$301,0)),"MRO không có"))</f>
        <v/>
      </c>
      <c r="C296" s="17" t="str">
        <f aca="false">IF($A296="","",IFERROR(INDEX(Policy!$E$2:$E$301,MATCH($A296,Policy!$A$2:$A$301,0)),"MRO không có"))</f>
        <v/>
      </c>
      <c r="D296" s="14"/>
      <c r="E296" s="15"/>
      <c r="F296" s="15"/>
      <c r="G296" s="25"/>
      <c r="H296" s="23"/>
      <c r="I296" s="15"/>
      <c r="J296" s="14"/>
      <c r="K296" s="23"/>
      <c r="L296" s="15"/>
      <c r="M296" s="25"/>
      <c r="N296" s="23"/>
      <c r="O296" s="15"/>
      <c r="P296" s="14"/>
      <c r="Q296" s="23"/>
      <c r="R296" s="15"/>
      <c r="S296" s="25"/>
      <c r="T296" s="23"/>
      <c r="U296" s="15"/>
      <c r="V296" s="14"/>
      <c r="W296" s="23"/>
      <c r="X296" s="15"/>
      <c r="Y296" s="25"/>
      <c r="Z296" s="23"/>
      <c r="AA296" s="15"/>
      <c r="AB296" s="14"/>
      <c r="AC296" s="23"/>
      <c r="AD296" s="15"/>
      <c r="AE296" s="25"/>
      <c r="AF296" s="23"/>
      <c r="AG296" s="15"/>
      <c r="AH296" s="14"/>
      <c r="AI296" s="23"/>
      <c r="AJ296" s="15"/>
      <c r="AK296" s="25"/>
      <c r="AL296" s="23"/>
      <c r="AM296" s="15"/>
      <c r="AN296" s="14"/>
      <c r="AO296" s="23"/>
      <c r="AP296" s="15"/>
      <c r="AQ296" s="25"/>
      <c r="AR296" s="23"/>
      <c r="AS296" s="15"/>
      <c r="AT296" s="14"/>
      <c r="AU296" s="23"/>
      <c r="AV296" s="15"/>
      <c r="AW296" s="25"/>
      <c r="AX296" s="23"/>
      <c r="AY296" s="15"/>
      <c r="AZ296" s="14"/>
      <c r="BA296" s="23"/>
      <c r="BB296" s="15"/>
      <c r="BC296" s="25"/>
      <c r="BD296" s="23"/>
      <c r="BE296" s="15"/>
      <c r="BF296" s="14"/>
      <c r="BG296" s="23"/>
      <c r="BH296" s="15"/>
      <c r="BI296" s="25"/>
      <c r="BJ296" s="23"/>
      <c r="BK296" s="15"/>
      <c r="BL296" s="14"/>
      <c r="BM296" s="23"/>
      <c r="BN296" s="15"/>
      <c r="BO296" s="25"/>
      <c r="BP296" s="23"/>
      <c r="BQ296" s="15"/>
      <c r="BR296" s="14"/>
      <c r="BS296" s="23"/>
      <c r="BT296" s="15"/>
      <c r="BU296" s="25"/>
      <c r="BV296" s="23"/>
      <c r="BW296" s="15"/>
      <c r="BX296" s="14"/>
      <c r="BY296" s="23"/>
      <c r="BZ296" s="15"/>
    </row>
    <row r="297" customFormat="false" ht="15" hidden="false" customHeight="false" outlineLevel="0" collapsed="false">
      <c r="A297" s="14"/>
      <c r="B297" s="17" t="str">
        <f aca="false">IF($A297="","",IFERROR(INDEX(Policy!$B$2:$B$301,MATCH($A297,Policy!$A$2:$A$301,0)),"MRO không có"))</f>
        <v/>
      </c>
      <c r="C297" s="17" t="str">
        <f aca="false">IF($A297="","",IFERROR(INDEX(Policy!$E$2:$E$301,MATCH($A297,Policy!$A$2:$A$301,0)),"MRO không có"))</f>
        <v/>
      </c>
      <c r="D297" s="14"/>
      <c r="E297" s="15"/>
      <c r="F297" s="15"/>
      <c r="G297" s="25"/>
      <c r="H297" s="23"/>
      <c r="I297" s="15"/>
      <c r="J297" s="14"/>
      <c r="K297" s="23"/>
      <c r="L297" s="15"/>
      <c r="M297" s="25"/>
      <c r="N297" s="23"/>
      <c r="O297" s="15"/>
      <c r="P297" s="14"/>
      <c r="Q297" s="23"/>
      <c r="R297" s="15"/>
      <c r="S297" s="25"/>
      <c r="T297" s="23"/>
      <c r="U297" s="15"/>
      <c r="V297" s="14"/>
      <c r="W297" s="23"/>
      <c r="X297" s="15"/>
      <c r="Y297" s="25"/>
      <c r="Z297" s="23"/>
      <c r="AA297" s="15"/>
      <c r="AB297" s="14"/>
      <c r="AC297" s="23"/>
      <c r="AD297" s="15"/>
      <c r="AE297" s="25"/>
      <c r="AF297" s="23"/>
      <c r="AG297" s="15"/>
      <c r="AH297" s="14"/>
      <c r="AI297" s="23"/>
      <c r="AJ297" s="15"/>
      <c r="AK297" s="25"/>
      <c r="AL297" s="23"/>
      <c r="AM297" s="15"/>
      <c r="AN297" s="14"/>
      <c r="AO297" s="23"/>
      <c r="AP297" s="15"/>
      <c r="AQ297" s="25"/>
      <c r="AR297" s="23"/>
      <c r="AS297" s="15"/>
      <c r="AT297" s="14"/>
      <c r="AU297" s="23"/>
      <c r="AV297" s="15"/>
      <c r="AW297" s="25"/>
      <c r="AX297" s="23"/>
      <c r="AY297" s="15"/>
      <c r="AZ297" s="14"/>
      <c r="BA297" s="23"/>
      <c r="BB297" s="15"/>
      <c r="BC297" s="25"/>
      <c r="BD297" s="23"/>
      <c r="BE297" s="15"/>
      <c r="BF297" s="14"/>
      <c r="BG297" s="23"/>
      <c r="BH297" s="15"/>
      <c r="BI297" s="25"/>
      <c r="BJ297" s="23"/>
      <c r="BK297" s="15"/>
      <c r="BL297" s="14"/>
      <c r="BM297" s="23"/>
      <c r="BN297" s="15"/>
      <c r="BO297" s="25"/>
      <c r="BP297" s="23"/>
      <c r="BQ297" s="15"/>
      <c r="BR297" s="14"/>
      <c r="BS297" s="23"/>
      <c r="BT297" s="15"/>
      <c r="BU297" s="25"/>
      <c r="BV297" s="23"/>
      <c r="BW297" s="15"/>
      <c r="BX297" s="14"/>
      <c r="BY297" s="23"/>
      <c r="BZ297" s="15"/>
    </row>
    <row r="298" customFormat="false" ht="15" hidden="false" customHeight="false" outlineLevel="0" collapsed="false">
      <c r="A298" s="14"/>
      <c r="B298" s="17" t="str">
        <f aca="false">IF($A298="","",IFERROR(INDEX(Policy!$B$2:$B$301,MATCH($A298,Policy!$A$2:$A$301,0)),"MRO không có"))</f>
        <v/>
      </c>
      <c r="C298" s="17" t="str">
        <f aca="false">IF($A298="","",IFERROR(INDEX(Policy!$E$2:$E$301,MATCH($A298,Policy!$A$2:$A$301,0)),"MRO không có"))</f>
        <v/>
      </c>
      <c r="D298" s="14"/>
      <c r="E298" s="15"/>
      <c r="F298" s="15"/>
      <c r="G298" s="25"/>
      <c r="H298" s="23"/>
      <c r="I298" s="15"/>
      <c r="J298" s="14"/>
      <c r="K298" s="23"/>
      <c r="L298" s="15"/>
      <c r="M298" s="25"/>
      <c r="N298" s="23"/>
      <c r="O298" s="15"/>
      <c r="P298" s="14"/>
      <c r="Q298" s="23"/>
      <c r="R298" s="15"/>
      <c r="S298" s="25"/>
      <c r="T298" s="23"/>
      <c r="U298" s="15"/>
      <c r="V298" s="14"/>
      <c r="W298" s="23"/>
      <c r="X298" s="15"/>
      <c r="Y298" s="25"/>
      <c r="Z298" s="23"/>
      <c r="AA298" s="15"/>
      <c r="AB298" s="14"/>
      <c r="AC298" s="23"/>
      <c r="AD298" s="15"/>
      <c r="AE298" s="25"/>
      <c r="AF298" s="23"/>
      <c r="AG298" s="15"/>
      <c r="AH298" s="14"/>
      <c r="AI298" s="23"/>
      <c r="AJ298" s="15"/>
      <c r="AK298" s="25"/>
      <c r="AL298" s="23"/>
      <c r="AM298" s="15"/>
      <c r="AN298" s="14"/>
      <c r="AO298" s="23"/>
      <c r="AP298" s="15"/>
      <c r="AQ298" s="25"/>
      <c r="AR298" s="23"/>
      <c r="AS298" s="15"/>
      <c r="AT298" s="14"/>
      <c r="AU298" s="23"/>
      <c r="AV298" s="15"/>
      <c r="AW298" s="25"/>
      <c r="AX298" s="23"/>
      <c r="AY298" s="15"/>
      <c r="AZ298" s="14"/>
      <c r="BA298" s="23"/>
      <c r="BB298" s="15"/>
      <c r="BC298" s="25"/>
      <c r="BD298" s="23"/>
      <c r="BE298" s="15"/>
      <c r="BF298" s="14"/>
      <c r="BG298" s="23"/>
      <c r="BH298" s="15"/>
      <c r="BI298" s="25"/>
      <c r="BJ298" s="23"/>
      <c r="BK298" s="15"/>
      <c r="BL298" s="14"/>
      <c r="BM298" s="23"/>
      <c r="BN298" s="15"/>
      <c r="BO298" s="25"/>
      <c r="BP298" s="23"/>
      <c r="BQ298" s="15"/>
      <c r="BR298" s="14"/>
      <c r="BS298" s="23"/>
      <c r="BT298" s="15"/>
      <c r="BU298" s="25"/>
      <c r="BV298" s="23"/>
      <c r="BW298" s="15"/>
      <c r="BX298" s="14"/>
      <c r="BY298" s="23"/>
      <c r="BZ298" s="15"/>
    </row>
    <row r="299" customFormat="false" ht="15" hidden="false" customHeight="false" outlineLevel="0" collapsed="false">
      <c r="A299" s="14"/>
      <c r="B299" s="17" t="str">
        <f aca="false">IF($A299="","",IFERROR(INDEX(Policy!$B$2:$B$301,MATCH($A299,Policy!$A$2:$A$301,0)),"MRO không có"))</f>
        <v/>
      </c>
      <c r="C299" s="17" t="str">
        <f aca="false">IF($A299="","",IFERROR(INDEX(Policy!$E$2:$E$301,MATCH($A299,Policy!$A$2:$A$301,0)),"MRO không có"))</f>
        <v/>
      </c>
      <c r="D299" s="14"/>
      <c r="E299" s="15"/>
      <c r="F299" s="15"/>
      <c r="G299" s="25"/>
      <c r="H299" s="23"/>
      <c r="I299" s="15"/>
      <c r="J299" s="14"/>
      <c r="K299" s="23"/>
      <c r="L299" s="15"/>
      <c r="M299" s="25"/>
      <c r="N299" s="23"/>
      <c r="O299" s="15"/>
      <c r="P299" s="14"/>
      <c r="Q299" s="23"/>
      <c r="R299" s="15"/>
      <c r="S299" s="25"/>
      <c r="T299" s="23"/>
      <c r="U299" s="15"/>
      <c r="V299" s="14"/>
      <c r="W299" s="23"/>
      <c r="X299" s="15"/>
      <c r="Y299" s="25"/>
      <c r="Z299" s="23"/>
      <c r="AA299" s="15"/>
      <c r="AB299" s="14"/>
      <c r="AC299" s="23"/>
      <c r="AD299" s="15"/>
      <c r="AE299" s="25"/>
      <c r="AF299" s="23"/>
      <c r="AG299" s="15"/>
      <c r="AH299" s="14"/>
      <c r="AI299" s="23"/>
      <c r="AJ299" s="15"/>
      <c r="AK299" s="25"/>
      <c r="AL299" s="23"/>
      <c r="AM299" s="15"/>
      <c r="AN299" s="14"/>
      <c r="AO299" s="23"/>
      <c r="AP299" s="15"/>
      <c r="AQ299" s="25"/>
      <c r="AR299" s="23"/>
      <c r="AS299" s="15"/>
      <c r="AT299" s="14"/>
      <c r="AU299" s="23"/>
      <c r="AV299" s="15"/>
      <c r="AW299" s="25"/>
      <c r="AX299" s="23"/>
      <c r="AY299" s="15"/>
      <c r="AZ299" s="14"/>
      <c r="BA299" s="23"/>
      <c r="BB299" s="15"/>
      <c r="BC299" s="25"/>
      <c r="BD299" s="23"/>
      <c r="BE299" s="15"/>
      <c r="BF299" s="14"/>
      <c r="BG299" s="23"/>
      <c r="BH299" s="15"/>
      <c r="BI299" s="25"/>
      <c r="BJ299" s="23"/>
      <c r="BK299" s="15"/>
      <c r="BL299" s="14"/>
      <c r="BM299" s="23"/>
      <c r="BN299" s="15"/>
      <c r="BO299" s="25"/>
      <c r="BP299" s="23"/>
      <c r="BQ299" s="15"/>
      <c r="BR299" s="14"/>
      <c r="BS299" s="23"/>
      <c r="BT299" s="15"/>
      <c r="BU299" s="25"/>
      <c r="BV299" s="23"/>
      <c r="BW299" s="15"/>
      <c r="BX299" s="14"/>
      <c r="BY299" s="23"/>
      <c r="BZ299" s="15"/>
    </row>
    <row r="300" customFormat="false" ht="15" hidden="false" customHeight="false" outlineLevel="0" collapsed="false">
      <c r="A300" s="14"/>
      <c r="B300" s="17" t="str">
        <f aca="false">IF($A300="","",IFERROR(INDEX(Policy!$B$2:$B$301,MATCH($A300,Policy!$A$2:$A$301,0)),"MRO không có"))</f>
        <v/>
      </c>
      <c r="C300" s="17" t="str">
        <f aca="false">IF($A300="","",IFERROR(INDEX(Policy!$E$2:$E$301,MATCH($A300,Policy!$A$2:$A$301,0)),"MRO không có"))</f>
        <v/>
      </c>
      <c r="D300" s="14"/>
      <c r="E300" s="15"/>
      <c r="F300" s="15"/>
      <c r="G300" s="25"/>
      <c r="H300" s="23"/>
      <c r="I300" s="15"/>
      <c r="J300" s="14"/>
      <c r="K300" s="23"/>
      <c r="L300" s="15"/>
      <c r="M300" s="25"/>
      <c r="N300" s="23"/>
      <c r="O300" s="15"/>
      <c r="P300" s="14"/>
      <c r="Q300" s="23"/>
      <c r="R300" s="15"/>
      <c r="S300" s="25"/>
      <c r="T300" s="23"/>
      <c r="U300" s="15"/>
      <c r="V300" s="14"/>
      <c r="W300" s="23"/>
      <c r="X300" s="15"/>
      <c r="Y300" s="25"/>
      <c r="Z300" s="23"/>
      <c r="AA300" s="15"/>
      <c r="AB300" s="14"/>
      <c r="AC300" s="23"/>
      <c r="AD300" s="15"/>
      <c r="AE300" s="25"/>
      <c r="AF300" s="23"/>
      <c r="AG300" s="15"/>
      <c r="AH300" s="14"/>
      <c r="AI300" s="23"/>
      <c r="AJ300" s="15"/>
      <c r="AK300" s="25"/>
      <c r="AL300" s="23"/>
      <c r="AM300" s="15"/>
      <c r="AN300" s="14"/>
      <c r="AO300" s="23"/>
      <c r="AP300" s="15"/>
      <c r="AQ300" s="25"/>
      <c r="AR300" s="23"/>
      <c r="AS300" s="15"/>
      <c r="AT300" s="14"/>
      <c r="AU300" s="23"/>
      <c r="AV300" s="15"/>
      <c r="AW300" s="25"/>
      <c r="AX300" s="23"/>
      <c r="AY300" s="15"/>
      <c r="AZ300" s="14"/>
      <c r="BA300" s="23"/>
      <c r="BB300" s="15"/>
      <c r="BC300" s="25"/>
      <c r="BD300" s="23"/>
      <c r="BE300" s="15"/>
      <c r="BF300" s="14"/>
      <c r="BG300" s="23"/>
      <c r="BH300" s="15"/>
      <c r="BI300" s="25"/>
      <c r="BJ300" s="23"/>
      <c r="BK300" s="15"/>
      <c r="BL300" s="14"/>
      <c r="BM300" s="23"/>
      <c r="BN300" s="15"/>
      <c r="BO300" s="25"/>
      <c r="BP300" s="23"/>
      <c r="BQ300" s="15"/>
      <c r="BR300" s="14"/>
      <c r="BS300" s="23"/>
      <c r="BT300" s="15"/>
      <c r="BU300" s="25"/>
      <c r="BV300" s="23"/>
      <c r="BW300" s="15"/>
      <c r="BX300" s="14"/>
      <c r="BY300" s="23"/>
      <c r="BZ300" s="15"/>
    </row>
    <row r="301" customFormat="false" ht="15" hidden="false" customHeight="false" outlineLevel="0" collapsed="false">
      <c r="A301" s="14"/>
      <c r="B301" s="17" t="str">
        <f aca="false">IF($A301="","",IFERROR(INDEX(Policy!$B$2:$B$301,MATCH($A301,Policy!$A$2:$A$301,0)),"MRO không có"))</f>
        <v/>
      </c>
      <c r="C301" s="17" t="str">
        <f aca="false">IF($A301="","",IFERROR(INDEX(Policy!$E$2:$E$301,MATCH($A301,Policy!$A$2:$A$301,0)),"MRO không có"))</f>
        <v/>
      </c>
      <c r="D301" s="14"/>
      <c r="E301" s="15"/>
      <c r="F301" s="15"/>
      <c r="G301" s="25"/>
      <c r="H301" s="23"/>
      <c r="I301" s="15"/>
      <c r="J301" s="14"/>
      <c r="K301" s="23"/>
      <c r="L301" s="15"/>
      <c r="M301" s="25"/>
      <c r="N301" s="23"/>
      <c r="O301" s="15"/>
      <c r="P301" s="14"/>
      <c r="Q301" s="23"/>
      <c r="R301" s="15"/>
      <c r="S301" s="25"/>
      <c r="T301" s="23"/>
      <c r="U301" s="15"/>
      <c r="V301" s="14"/>
      <c r="W301" s="23"/>
      <c r="X301" s="15"/>
      <c r="Y301" s="25"/>
      <c r="Z301" s="23"/>
      <c r="AA301" s="15"/>
      <c r="AB301" s="14"/>
      <c r="AC301" s="23"/>
      <c r="AD301" s="15"/>
      <c r="AE301" s="25"/>
      <c r="AF301" s="23"/>
      <c r="AG301" s="15"/>
      <c r="AH301" s="14"/>
      <c r="AI301" s="23"/>
      <c r="AJ301" s="15"/>
      <c r="AK301" s="25"/>
      <c r="AL301" s="23"/>
      <c r="AM301" s="15"/>
      <c r="AN301" s="14"/>
      <c r="AO301" s="23"/>
      <c r="AP301" s="15"/>
      <c r="AQ301" s="25"/>
      <c r="AR301" s="23"/>
      <c r="AS301" s="15"/>
      <c r="AT301" s="14"/>
      <c r="AU301" s="23"/>
      <c r="AV301" s="15"/>
      <c r="AW301" s="25"/>
      <c r="AX301" s="23"/>
      <c r="AY301" s="15"/>
      <c r="AZ301" s="14"/>
      <c r="BA301" s="23"/>
      <c r="BB301" s="15"/>
      <c r="BC301" s="25"/>
      <c r="BD301" s="23"/>
      <c r="BE301" s="15"/>
      <c r="BF301" s="14"/>
      <c r="BG301" s="23"/>
      <c r="BH301" s="15"/>
      <c r="BI301" s="25"/>
      <c r="BJ301" s="23"/>
      <c r="BK301" s="15"/>
      <c r="BL301" s="14"/>
      <c r="BM301" s="23"/>
      <c r="BN301" s="15"/>
      <c r="BO301" s="25"/>
      <c r="BP301" s="23"/>
      <c r="BQ301" s="15"/>
      <c r="BR301" s="14"/>
      <c r="BS301" s="23"/>
      <c r="BT301" s="15"/>
      <c r="BU301" s="25"/>
      <c r="BV301" s="23"/>
      <c r="BW301" s="15"/>
      <c r="BX301" s="14"/>
      <c r="BY301" s="23"/>
      <c r="BZ301" s="15"/>
    </row>
  </sheetData>
  <autoFilter ref="A1:BZ301"/>
  <conditionalFormatting sqref="I2:I301">
    <cfRule type="expression" priority="2" aboveAverage="0" equalAverage="0" bottom="0" percent="0" rank="0" text="" dxfId="7">
      <formula>AND(I2&lt;&gt;"",I2&lt;TODAY(),J2&lt;&gt;"Paid")</formula>
    </cfRule>
    <cfRule type="expression" priority="3" aboveAverage="0" equalAverage="0" bottom="0" percent="0" rank="0" text="" dxfId="9">
      <formula>AND(I2&lt;&gt;"",I2&gt;=TODAY(),I2&lt;=TODAY()+30,J2&lt;&gt;"Paid")</formula>
    </cfRule>
  </conditionalFormatting>
  <conditionalFormatting sqref="K2:K301">
    <cfRule type="expression" priority="4" aboveAverage="0" equalAverage="0" bottom="0" percent="0" rank="0" text="" dxfId="8">
      <formula>AND(J2="Paid",OR(K2="",K2=0))</formula>
    </cfRule>
  </conditionalFormatting>
  <conditionalFormatting sqref="O2:O301">
    <cfRule type="expression" priority="5" aboveAverage="0" equalAverage="0" bottom="0" percent="0" rank="0" text="" dxfId="7">
      <formula>AND(O2&lt;&gt;"",O2&lt;TODAY(),P2&lt;&gt;"Paid")</formula>
    </cfRule>
    <cfRule type="expression" priority="6" aboveAverage="0" equalAverage="0" bottom="0" percent="0" rank="0" text="" dxfId="9">
      <formula>AND(O2&lt;&gt;"",O2&gt;=TODAY(),O2&lt;=TODAY()+30,P2&lt;&gt;"Paid")</formula>
    </cfRule>
  </conditionalFormatting>
  <conditionalFormatting sqref="Q2:Q301">
    <cfRule type="expression" priority="7" aboveAverage="0" equalAverage="0" bottom="0" percent="0" rank="0" text="" dxfId="8">
      <formula>AND(P2="Paid",OR(Q2="",Q2=0))</formula>
    </cfRule>
  </conditionalFormatting>
  <conditionalFormatting sqref="U2:U301">
    <cfRule type="expression" priority="8" aboveAverage="0" equalAverage="0" bottom="0" percent="0" rank="0" text="" dxfId="7">
      <formula>AND(U2&lt;&gt;"",U2&lt;TODAY(),V2&lt;&gt;"Paid")</formula>
    </cfRule>
    <cfRule type="expression" priority="9" aboveAverage="0" equalAverage="0" bottom="0" percent="0" rank="0" text="" dxfId="9">
      <formula>AND(U2&lt;&gt;"",U2&gt;=TODAY(),U2&lt;=TODAY()+30,V2&lt;&gt;"Paid")</formula>
    </cfRule>
  </conditionalFormatting>
  <conditionalFormatting sqref="W2:W301">
    <cfRule type="expression" priority="10" aboveAverage="0" equalAverage="0" bottom="0" percent="0" rank="0" text="" dxfId="8">
      <formula>AND(V2="Paid",OR(W2="",W2=0))</formula>
    </cfRule>
  </conditionalFormatting>
  <conditionalFormatting sqref="AA2:AA301">
    <cfRule type="expression" priority="11" aboveAverage="0" equalAverage="0" bottom="0" percent="0" rank="0" text="" dxfId="7">
      <formula>AND(AA2&lt;&gt;"",AA2&lt;TODAY(),AB2&lt;&gt;"Paid")</formula>
    </cfRule>
    <cfRule type="expression" priority="12" aboveAverage="0" equalAverage="0" bottom="0" percent="0" rank="0" text="" dxfId="9">
      <formula>AND(AA2&lt;&gt;"",AA2&gt;=TODAY(),AA2&lt;=TODAY()+30,AB2&lt;&gt;"Paid")</formula>
    </cfRule>
  </conditionalFormatting>
  <conditionalFormatting sqref="AC2:AC301">
    <cfRule type="expression" priority="13" aboveAverage="0" equalAverage="0" bottom="0" percent="0" rank="0" text="" dxfId="8">
      <formula>AND(AB2="Paid",OR(AC2="",AC2=0))</formula>
    </cfRule>
  </conditionalFormatting>
  <conditionalFormatting sqref="AG2:AG301">
    <cfRule type="expression" priority="14" aboveAverage="0" equalAverage="0" bottom="0" percent="0" rank="0" text="" dxfId="7">
      <formula>AND(AG2&lt;&gt;"",AG2&lt;TODAY(),AH2&lt;&gt;"Paid")</formula>
    </cfRule>
    <cfRule type="expression" priority="15" aboveAverage="0" equalAverage="0" bottom="0" percent="0" rank="0" text="" dxfId="9">
      <formula>AND(AG2&lt;&gt;"",AG2&gt;=TODAY(),AG2&lt;=TODAY()+30,AH2&lt;&gt;"Paid")</formula>
    </cfRule>
  </conditionalFormatting>
  <conditionalFormatting sqref="AI2:AI301">
    <cfRule type="expression" priority="16" aboveAverage="0" equalAverage="0" bottom="0" percent="0" rank="0" text="" dxfId="8">
      <formula>AND(AH2="Paid",OR(AI2="",AI2=0))</formula>
    </cfRule>
  </conditionalFormatting>
  <conditionalFormatting sqref="AM2:AM301">
    <cfRule type="expression" priority="17" aboveAverage="0" equalAverage="0" bottom="0" percent="0" rank="0" text="" dxfId="7">
      <formula>AND(AM2&lt;&gt;"",AM2&lt;TODAY(),AN2&lt;&gt;"Paid")</formula>
    </cfRule>
    <cfRule type="expression" priority="18" aboveAverage="0" equalAverage="0" bottom="0" percent="0" rank="0" text="" dxfId="9">
      <formula>AND(AM2&lt;&gt;"",AM2&gt;=TODAY(),AM2&lt;=TODAY()+30,AN2&lt;&gt;"Paid")</formula>
    </cfRule>
  </conditionalFormatting>
  <conditionalFormatting sqref="AO2:AO301">
    <cfRule type="expression" priority="19" aboveAverage="0" equalAverage="0" bottom="0" percent="0" rank="0" text="" dxfId="8">
      <formula>AND(AN2="Paid",OR(AO2="",AO2=0))</formula>
    </cfRule>
  </conditionalFormatting>
  <conditionalFormatting sqref="AS2:AS301">
    <cfRule type="expression" priority="20" aboveAverage="0" equalAverage="0" bottom="0" percent="0" rank="0" text="" dxfId="7">
      <formula>AND(AS2&lt;&gt;"",AS2&lt;TODAY(),AT2&lt;&gt;"Paid")</formula>
    </cfRule>
    <cfRule type="expression" priority="21" aboveAverage="0" equalAverage="0" bottom="0" percent="0" rank="0" text="" dxfId="9">
      <formula>AND(AS2&lt;&gt;"",AS2&gt;=TODAY(),AS2&lt;=TODAY()+30,AT2&lt;&gt;"Paid")</formula>
    </cfRule>
  </conditionalFormatting>
  <conditionalFormatting sqref="AU2:AU301">
    <cfRule type="expression" priority="22" aboveAverage="0" equalAverage="0" bottom="0" percent="0" rank="0" text="" dxfId="8">
      <formula>AND(AT2="Paid",OR(AU2="",AU2=0))</formula>
    </cfRule>
  </conditionalFormatting>
  <conditionalFormatting sqref="AY2:AY301">
    <cfRule type="expression" priority="23" aboveAverage="0" equalAverage="0" bottom="0" percent="0" rank="0" text="" dxfId="7">
      <formula>AND(AY2&lt;&gt;"",AY2&lt;TODAY(),AZ2&lt;&gt;"Paid")</formula>
    </cfRule>
    <cfRule type="expression" priority="24" aboveAverage="0" equalAverage="0" bottom="0" percent="0" rank="0" text="" dxfId="9">
      <formula>AND(AY2&lt;&gt;"",AY2&gt;=TODAY(),AY2&lt;=TODAY()+30,AZ2&lt;&gt;"Paid")</formula>
    </cfRule>
  </conditionalFormatting>
  <conditionalFormatting sqref="BA2:BA301">
    <cfRule type="expression" priority="25" aboveAverage="0" equalAverage="0" bottom="0" percent="0" rank="0" text="" dxfId="8">
      <formula>AND(AZ2="Paid",OR(BA2="",BA2=0))</formula>
    </cfRule>
  </conditionalFormatting>
  <conditionalFormatting sqref="BE2:BE301">
    <cfRule type="expression" priority="26" aboveAverage="0" equalAverage="0" bottom="0" percent="0" rank="0" text="" dxfId="7">
      <formula>AND(BE2&lt;&gt;"",BE2&lt;TODAY(),BF2&lt;&gt;"Paid")</formula>
    </cfRule>
    <cfRule type="expression" priority="27" aboveAverage="0" equalAverage="0" bottom="0" percent="0" rank="0" text="" dxfId="9">
      <formula>AND(BE2&lt;&gt;"",BE2&gt;=TODAY(),BE2&lt;=TODAY()+30,BF2&lt;&gt;"Paid")</formula>
    </cfRule>
  </conditionalFormatting>
  <conditionalFormatting sqref="BG2:BG301">
    <cfRule type="expression" priority="28" aboveAverage="0" equalAverage="0" bottom="0" percent="0" rank="0" text="" dxfId="8">
      <formula>AND(BF2="Paid",OR(BG2="",BG2=0))</formula>
    </cfRule>
  </conditionalFormatting>
  <conditionalFormatting sqref="BK2:BK301">
    <cfRule type="expression" priority="29" aboveAverage="0" equalAverage="0" bottom="0" percent="0" rank="0" text="" dxfId="7">
      <formula>AND(BK2&lt;&gt;"",BK2&lt;TODAY(),BL2&lt;&gt;"Paid")</formula>
    </cfRule>
    <cfRule type="expression" priority="30" aboveAverage="0" equalAverage="0" bottom="0" percent="0" rank="0" text="" dxfId="9">
      <formula>AND(BK2&lt;&gt;"",BK2&gt;=TODAY(),BK2&lt;=TODAY()+30,BL2&lt;&gt;"Paid")</formula>
    </cfRule>
  </conditionalFormatting>
  <conditionalFormatting sqref="BM2:BM301">
    <cfRule type="expression" priority="31" aboveAverage="0" equalAverage="0" bottom="0" percent="0" rank="0" text="" dxfId="8">
      <formula>AND(BL2="Paid",OR(BM2="",BM2=0))</formula>
    </cfRule>
  </conditionalFormatting>
  <conditionalFormatting sqref="BQ2:BQ301">
    <cfRule type="expression" priority="32" aboveAverage="0" equalAverage="0" bottom="0" percent="0" rank="0" text="" dxfId="7">
      <formula>AND(BQ2&lt;&gt;"",BQ2&lt;TODAY(),BR2&lt;&gt;"Paid")</formula>
    </cfRule>
    <cfRule type="expression" priority="33" aboveAverage="0" equalAverage="0" bottom="0" percent="0" rank="0" text="" dxfId="9">
      <formula>AND(BQ2&lt;&gt;"",BQ2&gt;=TODAY(),BQ2&lt;=TODAY()+30,BR2&lt;&gt;"Paid")</formula>
    </cfRule>
  </conditionalFormatting>
  <conditionalFormatting sqref="BS2:BS301">
    <cfRule type="expression" priority="34" aboveAverage="0" equalAverage="0" bottom="0" percent="0" rank="0" text="" dxfId="8">
      <formula>AND(BR2="Paid",OR(BS2="",BS2=0))</formula>
    </cfRule>
  </conditionalFormatting>
  <conditionalFormatting sqref="BW2:BW301">
    <cfRule type="expression" priority="35" aboveAverage="0" equalAverage="0" bottom="0" percent="0" rank="0" text="" dxfId="7">
      <formula>AND(BW2&lt;&gt;"",BW2&lt;TODAY(),BX2&lt;&gt;"Paid")</formula>
    </cfRule>
    <cfRule type="expression" priority="36" aboveAverage="0" equalAverage="0" bottom="0" percent="0" rank="0" text="" dxfId="9">
      <formula>AND(BW2&lt;&gt;"",BW2&gt;=TODAY(),BW2&lt;=TODAY()+30,BX2&lt;&gt;"Paid")</formula>
    </cfRule>
  </conditionalFormatting>
  <conditionalFormatting sqref="BY2:BY301">
    <cfRule type="expression" priority="37" aboveAverage="0" equalAverage="0" bottom="0" percent="0" rank="0" text="" dxfId="8">
      <formula>AND(BX2="Paid",OR(BY2="",BY2=0))</formula>
    </cfRule>
  </conditionalFormatting>
  <dataValidations count="63">
    <dataValidation allowBlank="true" error="Chọn MRO đã nhập ở sheet Policy." errorStyle="stop" errorTitle="MRO không có trong Policy" operator="between" showDropDown="false" showErrorMessage="true" showInputMessage="false" sqref="A2:A301" type="list">
      <formula1>Policy!$A$2:$A$301</formula1>
      <formula2>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E2:E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Z2:BZ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F2:F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I2:I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J2:J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H2:H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K2:K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L2:L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O2:O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P2:P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N2:N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Q2:Q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R2:R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U2:U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V2:V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T2:T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W2:W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X2:X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A2:AA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AB2:AB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Z2:Z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AC2:AC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D2:AD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G2:AG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AH2:AH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AF2:AF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AI2:AI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J2:AJ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M2:AM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AN2:AN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AL2:AL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AO2:AO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P2:AP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S2:AS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AT2:AT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AR2:AR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AU2:AU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V2:AV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AY2:AY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AZ2:AZ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AX2:AX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BA2:BA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B2:BB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E2:BE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BF2:BF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BD2:BD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BG2:BG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H2:BH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K2:BK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BL2:BL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BJ2:BJ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BM2:BM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N2:BN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Q2:BQ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BR2:BR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BP2:BP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BS2:BS301" type="decimal">
      <formula1>-1000000000</formula1>
      <formula2>1000000000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T2:BT301" type="date">
      <formula1>DATE(2015,1,1)</formula1>
      <formula2>DATE(2040,12,31)</formula2>
    </dataValidation>
    <dataValidation allowBlank="true" error="Nhập ngày thật trong khoảng 2015–2040, dạng dd/mm/yyyy. Chưa biết thì để trống, không điền ngày tạm." errorStyle="stop" errorTitle="Ngày không hợp lệ" operator="between" prompt="Nhập ngày dạng dd/mm/yyyy (ô ngày của Excel), không gõ chữ." promptTitle="Ngày" showDropDown="false" showErrorMessage="true" showInputMessage="true" sqref="BW2:BW301" type="date">
      <formula1>DATE(2015,1,1)</formula1>
      <formula2>DATE(2040,12,31)</formula2>
    </dataValidation>
    <dataValidation allowBlank="true" error="Chọn từ danh sách. Muốn thêm giá trị mới, bổ sung vào sheet &quot;Danh mục&quot;." errorStyle="stop" errorTitle="Giá trị không có trong danh mục" operator="between" showDropDown="false" showErrorMessage="true" showInputMessage="false" sqref="BX2:BX301" type="list">
      <formula1>L_InstPaid</formula1>
      <formula2>0</formula2>
    </dataValidation>
    <dataValidation allowBlank="true" error="Nhập số tiền kỳ (USD)." errorStyle="stop" errorTitle="Số không hợp lệ" operator="between" showDropDown="false" showErrorMessage="true" showInputMessage="false" sqref="BV2:BV301" type="decimal">
      <formula1>-1000000000</formula1>
      <formula2>1000000000</formula2>
    </dataValidation>
    <dataValidation allowBlank="true" error="Nhập số thực thu (USD)." errorStyle="stop" errorTitle="Số không hợp lệ" operator="between" showDropDown="false" showErrorMessage="true" showInputMessage="false" sqref="BY2:BY3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  <col collapsed="false" customWidth="true" hidden="false" outlineLevel="0" max="11" min="11" style="0" width="16"/>
    <col collapsed="false" customWidth="true" hidden="false" outlineLevel="0" max="14" min="12" style="0" width="14"/>
    <col collapsed="false" customWidth="true" hidden="false" outlineLevel="0" max="15" min="15" style="0" width="17"/>
    <col collapsed="false" customWidth="true" hidden="false" outlineLevel="0" max="16" min="16" style="0" width="16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27" t="s">
        <v>214</v>
      </c>
      <c r="B1" s="27" t="s">
        <v>215</v>
      </c>
      <c r="C1" s="27" t="s">
        <v>216</v>
      </c>
      <c r="D1" s="27" t="s">
        <v>217</v>
      </c>
      <c r="E1" s="27" t="s">
        <v>218</v>
      </c>
      <c r="F1" s="27" t="s">
        <v>219</v>
      </c>
      <c r="G1" s="27" t="s">
        <v>220</v>
      </c>
      <c r="H1" s="27" t="s">
        <v>221</v>
      </c>
      <c r="I1" s="27" t="s">
        <v>222</v>
      </c>
      <c r="J1" s="27" t="s">
        <v>223</v>
      </c>
      <c r="K1" s="27" t="s">
        <v>224</v>
      </c>
      <c r="L1" s="27" t="s">
        <v>84</v>
      </c>
      <c r="M1" s="27" t="s">
        <v>225</v>
      </c>
      <c r="N1" s="27" t="s">
        <v>226</v>
      </c>
      <c r="O1" s="27" t="s">
        <v>227</v>
      </c>
      <c r="P1" s="27" t="s">
        <v>228</v>
      </c>
      <c r="Q1" s="27" t="s">
        <v>229</v>
      </c>
    </row>
    <row r="2" customFormat="false" ht="15" hidden="false" customHeight="false" outlineLevel="0" collapsed="false">
      <c r="A2" s="14" t="s">
        <v>230</v>
      </c>
      <c r="B2" s="14" t="s">
        <v>66</v>
      </c>
      <c r="C2" s="14" t="s">
        <v>70</v>
      </c>
      <c r="D2" s="14" t="s">
        <v>78</v>
      </c>
      <c r="E2" s="14" t="s">
        <v>74</v>
      </c>
      <c r="F2" s="14" t="s">
        <v>75</v>
      </c>
      <c r="G2" s="14" t="s">
        <v>76</v>
      </c>
      <c r="H2" s="14" t="s">
        <v>77</v>
      </c>
      <c r="I2" s="14" t="s">
        <v>73</v>
      </c>
      <c r="J2" s="14" t="s">
        <v>80</v>
      </c>
      <c r="K2" s="14" t="s">
        <v>111</v>
      </c>
      <c r="L2" s="14" t="s">
        <v>135</v>
      </c>
      <c r="M2" s="14" t="s">
        <v>231</v>
      </c>
      <c r="N2" s="14" t="s">
        <v>84</v>
      </c>
      <c r="O2" s="14" t="s">
        <v>136</v>
      </c>
      <c r="P2" s="14" t="s">
        <v>212</v>
      </c>
      <c r="Q2" s="14" t="s">
        <v>212</v>
      </c>
    </row>
    <row r="3" customFormat="false" ht="15" hidden="false" customHeight="false" outlineLevel="0" collapsed="false">
      <c r="A3" s="14" t="s">
        <v>72</v>
      </c>
      <c r="B3" s="14" t="s">
        <v>232</v>
      </c>
      <c r="C3" s="14" t="s">
        <v>233</v>
      </c>
      <c r="D3" s="14" t="s">
        <v>234</v>
      </c>
      <c r="E3" s="14" t="s">
        <v>235</v>
      </c>
      <c r="F3" s="14" t="s">
        <v>236</v>
      </c>
      <c r="G3" s="14" t="s">
        <v>237</v>
      </c>
      <c r="H3" s="14" t="s">
        <v>238</v>
      </c>
      <c r="I3" s="14" t="s">
        <v>239</v>
      </c>
      <c r="J3" s="14" t="s">
        <v>240</v>
      </c>
      <c r="K3" s="14" t="s">
        <v>241</v>
      </c>
      <c r="L3" s="14" t="s">
        <v>242</v>
      </c>
      <c r="M3" s="14" t="s">
        <v>243</v>
      </c>
      <c r="N3" s="14" t="s">
        <v>225</v>
      </c>
      <c r="O3" s="14" t="s">
        <v>244</v>
      </c>
      <c r="P3" s="14" t="s">
        <v>245</v>
      </c>
      <c r="Q3" s="14" t="s">
        <v>213</v>
      </c>
    </row>
    <row r="4" customFormat="false" ht="15" hidden="false" customHeight="false" outlineLevel="0" collapsed="false">
      <c r="A4" s="14" t="s">
        <v>246</v>
      </c>
      <c r="B4" s="14" t="s">
        <v>247</v>
      </c>
      <c r="C4" s="14" t="s">
        <v>248</v>
      </c>
      <c r="D4" s="14" t="s">
        <v>249</v>
      </c>
      <c r="E4" s="14" t="s">
        <v>250</v>
      </c>
      <c r="F4" s="14" t="s">
        <v>251</v>
      </c>
      <c r="G4" s="14" t="s">
        <v>252</v>
      </c>
      <c r="K4" s="14" t="s">
        <v>253</v>
      </c>
      <c r="L4" s="14" t="s">
        <v>254</v>
      </c>
      <c r="M4" s="14" t="s">
        <v>255</v>
      </c>
      <c r="O4" s="14" t="s">
        <v>256</v>
      </c>
      <c r="P4" s="14" t="s">
        <v>213</v>
      </c>
    </row>
    <row r="5" customFormat="false" ht="15" hidden="false" customHeight="false" outlineLevel="0" collapsed="false">
      <c r="A5" s="14" t="s">
        <v>257</v>
      </c>
      <c r="B5" s="14" t="s">
        <v>258</v>
      </c>
      <c r="C5" s="14" t="s">
        <v>259</v>
      </c>
      <c r="E5" s="14" t="s">
        <v>260</v>
      </c>
      <c r="F5" s="14" t="s">
        <v>261</v>
      </c>
      <c r="G5" s="14" t="s">
        <v>262</v>
      </c>
      <c r="L5" s="14" t="s">
        <v>263</v>
      </c>
      <c r="M5" s="14" t="s">
        <v>242</v>
      </c>
    </row>
    <row r="6" customFormat="false" ht="15" hidden="false" customHeight="false" outlineLevel="0" collapsed="false">
      <c r="B6" s="14" t="s">
        <v>264</v>
      </c>
      <c r="C6" s="14" t="s">
        <v>265</v>
      </c>
      <c r="E6" s="14" t="s">
        <v>266</v>
      </c>
      <c r="L6" s="14" t="s">
        <v>267</v>
      </c>
      <c r="M6" s="14" t="s">
        <v>268</v>
      </c>
    </row>
    <row r="7" customFormat="false" ht="15" hidden="false" customHeight="false" outlineLevel="0" collapsed="false">
      <c r="B7" s="14" t="s">
        <v>269</v>
      </c>
      <c r="E7" s="14" t="s">
        <v>270</v>
      </c>
      <c r="L7" s="14" t="s">
        <v>271</v>
      </c>
      <c r="M7" s="14" t="s">
        <v>272</v>
      </c>
    </row>
    <row r="8" customFormat="false" ht="15" hidden="false" customHeight="false" outlineLevel="0" collapsed="false">
      <c r="B8" s="14" t="s">
        <v>273</v>
      </c>
      <c r="E8" s="14" t="s">
        <v>274</v>
      </c>
      <c r="L8" s="14" t="s">
        <v>275</v>
      </c>
    </row>
    <row r="9" customFormat="false" ht="15" hidden="false" customHeight="false" outlineLevel="0" collapsed="false">
      <c r="B9" s="14" t="s">
        <v>276</v>
      </c>
      <c r="E9" s="14" t="s">
        <v>277</v>
      </c>
      <c r="L9" s="14" t="s">
        <v>272</v>
      </c>
    </row>
    <row r="10" customFormat="false" ht="15" hidden="false" customHeight="false" outlineLevel="0" collapsed="false">
      <c r="B10" s="14" t="s">
        <v>278</v>
      </c>
      <c r="E10" s="14" t="s">
        <v>279</v>
      </c>
    </row>
    <row r="11" customFormat="false" ht="15" hidden="false" customHeight="false" outlineLevel="0" collapsed="false">
      <c r="B11" s="14" t="s">
        <v>280</v>
      </c>
      <c r="E11" s="14" t="s">
        <v>281</v>
      </c>
    </row>
    <row r="12" customFormat="false" ht="15" hidden="false" customHeight="false" outlineLevel="0" collapsed="false">
      <c r="B12" s="14" t="s">
        <v>282</v>
      </c>
      <c r="E12" s="14" t="s">
        <v>283</v>
      </c>
    </row>
    <row r="13" customFormat="false" ht="15" hidden="false" customHeight="false" outlineLevel="0" collapsed="false">
      <c r="B13" s="14" t="s">
        <v>284</v>
      </c>
      <c r="E13" s="14" t="s">
        <v>285</v>
      </c>
    </row>
    <row r="14" customFormat="false" ht="15" hidden="false" customHeight="false" outlineLevel="0" collapsed="false">
      <c r="B14" s="14" t="s">
        <v>286</v>
      </c>
      <c r="E14" s="14" t="s">
        <v>287</v>
      </c>
    </row>
    <row r="15" customFormat="false" ht="15" hidden="false" customHeight="false" outlineLevel="0" collapsed="false">
      <c r="B15" s="14" t="s">
        <v>288</v>
      </c>
      <c r="E15" s="14" t="s">
        <v>289</v>
      </c>
    </row>
    <row r="16" customFormat="false" ht="15" hidden="false" customHeight="false" outlineLevel="0" collapsed="false">
      <c r="E16" s="14" t="s">
        <v>290</v>
      </c>
    </row>
    <row r="35" customFormat="false" ht="15" hidden="false" customHeight="false" outlineLevel="0" collapsed="false">
      <c r="A35" s="28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2026-10-13T03:55:27Z</dcterms:created>
  <dc:creator>openpyxl</dc:creator>
  <dc:description/>
  <dc:language>en-US</dc:language>
  <cp:lastModifiedBy/>
  <dcterms:modified xsi:type="dcterms:W3CDTF">2026-10-13T03:55:27Z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